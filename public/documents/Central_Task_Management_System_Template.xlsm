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xr:revisionPtr revIDLastSave="0" documentId="13_ncr:1_{78556F09-6377-4F06-82EC-4F0B45C6079B}" xr6:coauthVersionLast="47" xr6:coauthVersionMax="47" xr10:uidLastSave="{00000000-0000-0000-0000-000000000000}"/>
  <bookViews>
    <workbookView xWindow="28680" yWindow="-120" windowWidth="29040" windowHeight="15720" tabRatio="636" xr2:uid="{3239F09A-ED63-4A87-AFC5-5738207061EE}"/>
  </bookViews>
  <sheets>
    <sheet name="Learning To-Do" sheetId="3" r:id="rId1"/>
    <sheet name="General To-Do" sheetId="4" r:id="rId2"/>
    <sheet name="Project Management" sheetId="20" r:id="rId3"/>
    <sheet name="Weekly Study Plan" sheetId="5" r:id="rId4"/>
    <sheet name="Monthly Study Summary" sheetId="16" r:id="rId5"/>
    <sheet name="Data Insights" sheetId="17" r:id="rId6"/>
    <sheet name="Tomorrow Plan" sheetId="12" r:id="rId7"/>
    <sheet name="Shopping &amp; Meal List" sheetId="11" r:id="rId8"/>
    <sheet name="Schedule" sheetId="8" r:id="rId9"/>
    <sheet name="Score Calculator" sheetId="9" r:id="rId10"/>
    <sheet name="Study Check-In" sheetId="10" r:id="rId11"/>
    <sheet name="Update Backlog" sheetId="19" r:id="rId12"/>
  </sheets>
  <definedNames>
    <definedName name="_xlnm._FilterDatabase" localSheetId="1" hidden="1">'General To-Do'!$A$4:$L$4</definedName>
    <definedName name="_xlnm._FilterDatabase" localSheetId="0" hidden="1">'Learning To-Do'!$A$4:$N$4</definedName>
    <definedName name="_xleta.AND" hidden="1" xlm="1">#NAME?</definedName>
    <definedName name="_xleta.TODAY" hidden="1" xlm="1">#NAME?</definedName>
    <definedName name="_xlpm.d" hidden="1" xlm="1">#NAME?</definedName>
    <definedName name="_xlpm.n" hidden="1" xlm="1">#NAME?</definedName>
    <definedName name="_xlpm.nB" hidden="1" xlm="1">#NAME?</definedName>
    <definedName name="_xlpm.nIP" hidden="1" xlm="1">#NAME?</definedName>
    <definedName name="_xlpm.nU" hidden="1" xlm="1">#NAME?</definedName>
    <definedName name="_xlpm.nW" hidden="1" xlm="1">#NAME?</definedName>
    <definedName name="_xlpm.nx" hidden="1" xlm="1">#NAME?</definedName>
    <definedName name="_xlpm.pid" hidden="1" xlm="1">#NAME?</definedName>
    <definedName name="_xlpm.s" hidden="1" xlm="1">#NAME?</definedName>
    <definedName name="_xlpm.tp" hidden="1" xlm="1">#NAME?</definedName>
    <definedName name="_xlpm.v" hidden="1" xlm="1">#NAME?</definedName>
    <definedName name="ProjectIDList">'Project Management'!$EN$1:$EN$5</definedName>
    <definedName name="ProjectNameList">'Project Management'!$B$61:$B$70</definedName>
    <definedName name="ProjectPriorityList">'Project Management'!$EJ$1:$EJ$3</definedName>
    <definedName name="ProjectStatusList">'Project Management'!$EK$1:$EK$7</definedName>
    <definedName name="StepStatusList">'Project Management'!$EL$1:$EL$6</definedName>
  </definedNames>
  <calcPr calcId="191029" calcMode="auto" fullCalcOnLoad="1"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52" i="8" l="1"/>
  <c r="AC48" i="8"/>
  <c r="AC44" i="8"/>
  <c r="AC40" i="8"/>
  <c r="AC36" i="8"/>
  <c r="AC32" i="8"/>
  <c r="AC28" i="8"/>
  <c r="AC24" i="8"/>
  <c r="AC20" i="8"/>
  <c r="AC16" i="8"/>
  <c r="AC12" i="8"/>
  <c r="AC8" i="8"/>
  <c r="X52" i="8"/>
  <c r="X48" i="8"/>
  <c r="X44" i="8"/>
  <c r="X40" i="8"/>
  <c r="X36" i="8"/>
  <c r="X32" i="8"/>
  <c r="X28" i="8"/>
  <c r="X24" i="8"/>
  <c r="X20" i="8"/>
  <c r="X16" i="8"/>
  <c r="X12" i="8"/>
  <c r="X8" i="8"/>
  <c r="S52" i="8"/>
  <c r="S48" i="8"/>
  <c r="S44" i="8"/>
  <c r="S40" i="8"/>
  <c r="S36" i="8"/>
  <c r="S32" i="8"/>
  <c r="S28" i="8"/>
  <c r="S24" i="8"/>
  <c r="S20" i="8"/>
  <c r="S16" i="8"/>
  <c r="S12" i="8"/>
  <c r="S8" i="8"/>
  <c r="N52" i="8"/>
  <c r="N48" i="8"/>
  <c r="N44" i="8"/>
  <c r="N40" i="8"/>
  <c r="N36" i="8"/>
  <c r="N32" i="8"/>
  <c r="N28" i="8"/>
  <c r="N24" i="8"/>
  <c r="N20" i="8"/>
  <c r="N16" i="8"/>
  <c r="N12" i="8"/>
  <c r="N8" i="8"/>
  <c r="I52" i="8"/>
  <c r="I48" i="8"/>
  <c r="I44" i="8"/>
  <c r="I40" i="8"/>
  <c r="I36" i="8"/>
  <c r="I32" i="8"/>
  <c r="I28" i="8"/>
  <c r="I24" i="8"/>
  <c r="I20" i="8"/>
  <c r="I16" i="8"/>
  <c r="I12" i="8"/>
  <c r="I8" i="8"/>
  <c r="D52" i="8"/>
  <c r="D48" i="8"/>
  <c r="D44" i="8"/>
  <c r="D40" i="8"/>
  <c r="D36" i="8"/>
  <c r="D32" i="8"/>
  <c r="D28" i="8"/>
  <c r="D24" i="8"/>
  <c r="D20" i="8"/>
  <c r="D16" i="8"/>
  <c r="D12" i="8"/>
  <c r="AC299" i="8"/>
  <c r="AC296" i="8"/>
  <c r="AC293" i="8"/>
  <c r="AC290" i="8"/>
  <c r="AC287" i="8"/>
  <c r="AC284" i="8"/>
  <c r="AC281" i="8"/>
  <c r="AC278" i="8"/>
  <c r="AC275" i="8"/>
  <c r="AC272" i="8"/>
  <c r="AC269" i="8"/>
  <c r="AC266" i="8"/>
  <c r="AC263" i="8"/>
  <c r="AC260" i="8"/>
  <c r="AC257" i="8"/>
  <c r="AC254" i="8"/>
  <c r="AC251" i="8"/>
  <c r="AC248" i="8"/>
  <c r="AC245" i="8"/>
  <c r="AC242" i="8"/>
  <c r="AC239" i="8"/>
  <c r="AC236" i="8"/>
  <c r="AC233" i="8"/>
  <c r="AC230" i="8"/>
  <c r="AC227" i="8"/>
  <c r="AC224" i="8"/>
  <c r="AC221" i="8"/>
  <c r="AC218" i="8"/>
  <c r="AC215" i="8"/>
  <c r="AC212" i="8"/>
  <c r="AC209" i="8"/>
  <c r="AC206" i="8"/>
  <c r="AC203" i="8"/>
  <c r="AC200" i="8"/>
  <c r="AC197" i="8"/>
  <c r="AC194" i="8"/>
  <c r="AC191" i="8"/>
  <c r="AC188" i="8"/>
  <c r="AC185" i="8"/>
  <c r="AC182" i="8"/>
  <c r="AC179" i="8"/>
  <c r="AC176" i="8"/>
  <c r="AC173" i="8"/>
  <c r="AC170" i="8"/>
  <c r="AC167" i="8"/>
  <c r="AC164" i="8"/>
  <c r="AC161" i="8"/>
  <c r="AC158" i="8"/>
  <c r="AC155" i="8"/>
  <c r="AC152" i="8"/>
  <c r="AC149" i="8"/>
  <c r="AC146" i="8"/>
  <c r="AC143" i="8"/>
  <c r="AC140" i="8"/>
  <c r="AC137" i="8"/>
  <c r="AC134" i="8"/>
  <c r="AC131" i="8"/>
  <c r="AC128" i="8"/>
  <c r="AC125" i="8"/>
  <c r="AC122" i="8"/>
  <c r="AC119" i="8"/>
  <c r="AC116" i="8"/>
  <c r="AC113" i="8"/>
  <c r="AC110" i="8"/>
  <c r="AC107" i="8"/>
  <c r="AC104" i="8"/>
  <c r="AC101" i="8"/>
  <c r="AC98" i="8"/>
  <c r="AC95" i="8"/>
  <c r="AC92" i="8"/>
  <c r="AC89" i="8"/>
  <c r="AC86" i="8"/>
  <c r="AC83" i="8"/>
  <c r="AC80" i="8"/>
  <c r="AC77" i="8"/>
  <c r="AC74" i="8"/>
  <c r="AC71" i="8"/>
  <c r="AC68" i="8"/>
  <c r="AC65" i="8"/>
  <c r="AC62" i="8"/>
  <c r="N299" i="8"/>
  <c r="N296" i="8"/>
  <c r="N293" i="8"/>
  <c r="N290" i="8"/>
  <c r="N287" i="8"/>
  <c r="N284" i="8"/>
  <c r="N281" i="8"/>
  <c r="N278" i="8"/>
  <c r="N275" i="8"/>
  <c r="N272" i="8"/>
  <c r="N269" i="8"/>
  <c r="N266" i="8"/>
  <c r="N263" i="8"/>
  <c r="N260" i="8"/>
  <c r="N257" i="8"/>
  <c r="N254" i="8"/>
  <c r="N251" i="8"/>
  <c r="N248" i="8"/>
  <c r="N245" i="8"/>
  <c r="N242" i="8"/>
  <c r="N239" i="8"/>
  <c r="N236" i="8"/>
  <c r="N233" i="8"/>
  <c r="N230" i="8"/>
  <c r="N227" i="8"/>
  <c r="N224" i="8"/>
  <c r="N221" i="8"/>
  <c r="N218" i="8"/>
  <c r="N215" i="8"/>
  <c r="N212" i="8"/>
  <c r="N209" i="8"/>
  <c r="N206" i="8"/>
  <c r="N203" i="8"/>
  <c r="N200" i="8"/>
  <c r="N197" i="8"/>
  <c r="N194" i="8"/>
  <c r="N191" i="8"/>
  <c r="N188" i="8"/>
  <c r="N185" i="8"/>
  <c r="N182" i="8"/>
  <c r="N179" i="8"/>
  <c r="N176" i="8"/>
  <c r="N173" i="8"/>
  <c r="N170" i="8"/>
  <c r="N167" i="8"/>
  <c r="N164" i="8"/>
  <c r="N161" i="8"/>
  <c r="N158" i="8"/>
  <c r="N155" i="8"/>
  <c r="N152" i="8"/>
  <c r="N149" i="8"/>
  <c r="N146" i="8"/>
  <c r="N143" i="8"/>
  <c r="N140" i="8"/>
  <c r="N137" i="8"/>
  <c r="N134" i="8"/>
  <c r="N131" i="8"/>
  <c r="N128" i="8"/>
  <c r="N125" i="8"/>
  <c r="N122" i="8"/>
  <c r="N119" i="8"/>
  <c r="N116" i="8"/>
  <c r="N113" i="8"/>
  <c r="N110" i="8"/>
  <c r="N107" i="8"/>
  <c r="N104" i="8"/>
  <c r="N101" i="8"/>
  <c r="N98" i="8"/>
  <c r="N95" i="8"/>
  <c r="N92" i="8"/>
  <c r="N89" i="8"/>
  <c r="N86" i="8"/>
  <c r="N83" i="8"/>
  <c r="N80" i="8"/>
  <c r="N77" i="8"/>
  <c r="N74" i="8"/>
  <c r="N71" i="8"/>
  <c r="N68" i="8"/>
  <c r="N65" i="8"/>
  <c r="K14" i="17"/>
  <c r="K13" i="17"/>
  <c r="K12" i="17"/>
  <c r="K11" i="17"/>
  <c r="J5" i="17"/>
  <c r="H5" i="17"/>
  <c r="F5" i="17"/>
  <c r="D5" i="17"/>
  <c r="B5" i="17"/>
  <c r="H23" i="17"/>
  <c r="H22" i="17"/>
  <c r="H21" i="17"/>
  <c r="H20" i="17"/>
  <c r="H19" i="17"/>
  <c r="H18" i="17"/>
  <c r="H17" i="17"/>
  <c r="H16" i="17"/>
  <c r="H15" i="17"/>
  <c r="H14" i="17"/>
  <c r="H13" i="17"/>
  <c r="H12" i="17"/>
  <c r="H11" i="17"/>
  <c r="A61" i="20" a="1"/>
  <c r="A61" i="20" s="1"/>
  <c r="A62" i="20" a="1"/>
  <c r="A62" i="20" s="1"/>
  <c r="A63" i="20" a="1"/>
  <c r="A63" i="20" s="1"/>
  <c r="A64" i="20" a="1"/>
  <c r="A64" i="20" s="1"/>
  <c r="A65" i="20" a="1"/>
  <c r="A65" i="20" s="1"/>
  <c r="A66" i="20" a="1"/>
  <c r="A66" i="20" s="1"/>
  <c r="A67" i="20" a="1"/>
  <c r="A67" i="20" s="1"/>
  <c r="A68" i="20" a="1"/>
  <c r="A68" i="20" s="1"/>
  <c r="A69" i="20" a="1"/>
  <c r="A69" i="20" s="1"/>
  <c r="A70" i="20" a="1"/>
  <c r="A70" i="20" s="1"/>
  <c r="L23" i="5" a="1"/>
  <c r="L23" i="5" s="1"/>
  <c r="N23" i="5" s="1"/>
  <c r="L22" i="5" a="1"/>
  <c r="L22" i="5" s="1"/>
  <c r="N22" i="5" s="1"/>
  <c r="L21" i="5" a="1"/>
  <c r="L21" i="5" s="1"/>
  <c r="N21" i="5" s="1"/>
  <c r="I21" i="5" a="1"/>
  <c r="I21" i="5" s="1"/>
  <c r="L20" i="5" a="1"/>
  <c r="L20" i="5" s="1"/>
  <c r="N20" i="5" s="1"/>
  <c r="Q19" i="5"/>
  <c r="L19" i="5" a="1"/>
  <c r="L19" i="5" s="1"/>
  <c r="Q18" i="5"/>
  <c r="L18" i="5" a="1"/>
  <c r="L18" i="5" s="1"/>
  <c r="Q17" i="5"/>
  <c r="L17" i="5" a="1"/>
  <c r="L17" i="5" s="1"/>
  <c r="Q16" i="5"/>
  <c r="L16" i="5" a="1"/>
  <c r="L16" i="5" s="1"/>
  <c r="P16" i="5" s="1"/>
  <c r="Q15" i="5"/>
  <c r="L15" i="5" a="1"/>
  <c r="L15" i="5" s="1"/>
  <c r="Q14" i="5"/>
  <c r="L14" i="5" a="1"/>
  <c r="L14" i="5" s="1"/>
  <c r="Q13" i="5"/>
  <c r="L13" i="5" a="1"/>
  <c r="L13" i="5" s="1"/>
  <c r="Q12" i="5"/>
  <c r="L12" i="5" a="1"/>
  <c r="L12" i="5" s="1"/>
  <c r="Q11" i="5"/>
  <c r="L11" i="5" a="1"/>
  <c r="L11" i="5" s="1"/>
  <c r="Q10" i="5"/>
  <c r="L10" i="5" a="1"/>
  <c r="L10" i="5" s="1"/>
  <c r="Q9" i="5"/>
  <c r="L9" i="5" a="1"/>
  <c r="L9" i="5" s="1"/>
  <c r="P9" i="5" s="1"/>
  <c r="Q8" i="5"/>
  <c r="L8" i="5" a="1"/>
  <c r="L8" i="5" s="1"/>
  <c r="Q7" i="5"/>
  <c r="L7" i="5" a="1"/>
  <c r="L7" i="5" s="1"/>
  <c r="P7" i="5" s="1"/>
  <c r="Q6" i="5"/>
  <c r="L6" i="5" a="1"/>
  <c r="L6" i="5" s="1"/>
  <c r="Q5" i="5"/>
  <c r="L5" i="5" a="1"/>
  <c r="L5" i="5" s="1"/>
  <c r="Q4" i="5"/>
  <c r="L4" i="5" a="1"/>
  <c r="L4" i="5" s="1"/>
  <c r="P4" i="5" s="1"/>
  <c r="Q3" i="5"/>
  <c r="L3" i="5" a="1"/>
  <c r="L3" i="5" s="1"/>
  <c r="N8" i="5" l="1"/>
  <c r="P8" i="5"/>
  <c r="O8" i="5"/>
  <c r="P12" i="5"/>
  <c r="O12" i="5"/>
  <c r="O15" i="5"/>
  <c r="N15" i="5"/>
  <c r="P3" i="5"/>
  <c r="O3" i="5"/>
  <c r="N3" i="5"/>
  <c r="P6" i="5"/>
  <c r="O6" i="5"/>
  <c r="N6" i="5"/>
  <c r="P10" i="5"/>
  <c r="N10" i="5"/>
  <c r="O10" i="5"/>
  <c r="P11" i="5"/>
  <c r="O11" i="5"/>
  <c r="N11" i="5"/>
  <c r="P18" i="5"/>
  <c r="O18" i="5"/>
  <c r="N18" i="5"/>
  <c r="P13" i="5"/>
  <c r="O13" i="5"/>
  <c r="N13" i="5"/>
  <c r="N5" i="5"/>
  <c r="P5" i="5"/>
  <c r="O5" i="5"/>
  <c r="P17" i="5"/>
  <c r="O17" i="5"/>
  <c r="N17" i="5"/>
  <c r="P19" i="5"/>
  <c r="O19" i="5"/>
  <c r="N19" i="5"/>
  <c r="P14" i="5"/>
  <c r="O14" i="5"/>
  <c r="N14" i="5"/>
  <c r="N12" i="5"/>
  <c r="N7" i="5"/>
  <c r="O7" i="5"/>
  <c r="N4" i="5"/>
  <c r="N9" i="5"/>
  <c r="O4" i="5"/>
  <c r="O9" i="5"/>
  <c r="P15" i="5"/>
  <c r="N16" i="5"/>
  <c r="O16" i="5"/>
  <c r="A5" i="20" a="1"/>
  <c r="A5" i="20" s="1"/>
  <c r="F5" i="20" s="1"/>
  <c r="A6" i="20" a="1"/>
  <c r="A6" i="20" s="1"/>
  <c r="A7" i="20" a="1"/>
  <c r="A7" i="20" s="1"/>
  <c r="A8" i="20" a="1"/>
  <c r="A8" i="20" s="1"/>
  <c r="M8" i="20" s="1"/>
  <c r="A9" i="20" a="1"/>
  <c r="A9" i="20" s="1"/>
  <c r="N9" i="20" s="1"/>
  <c r="A10" i="20" a="1"/>
  <c r="A10" i="20" s="1"/>
  <c r="K10" i="20" s="1" a="1"/>
  <c r="K10" i="20" s="1"/>
  <c r="A11" i="20" a="1"/>
  <c r="A11" i="20" s="1"/>
  <c r="N11" i="20" s="1"/>
  <c r="A12" i="20" a="1"/>
  <c r="A12" i="20" s="1"/>
  <c r="I12" i="20" s="1" a="1"/>
  <c r="I12" i="20" s="1"/>
  <c r="A13" i="20" a="1"/>
  <c r="A13" i="20" s="1"/>
  <c r="D18" i="20"/>
  <c r="B18" i="20"/>
  <c r="J17" i="20"/>
  <c r="G17" i="20"/>
  <c r="B159" i="20"/>
  <c r="B158" i="20"/>
  <c r="B157" i="20"/>
  <c r="B156" i="20"/>
  <c r="B155" i="20"/>
  <c r="B154" i="20"/>
  <c r="B153" i="20"/>
  <c r="B152" i="20"/>
  <c r="B151" i="20"/>
  <c r="B150" i="20"/>
  <c r="B149" i="20"/>
  <c r="B148" i="20"/>
  <c r="B147" i="20"/>
  <c r="B146" i="20"/>
  <c r="B145" i="20"/>
  <c r="B144" i="20"/>
  <c r="B143" i="20"/>
  <c r="B142" i="20"/>
  <c r="B141" i="20"/>
  <c r="B140" i="20"/>
  <c r="B139" i="20"/>
  <c r="B138" i="20"/>
  <c r="B137" i="20"/>
  <c r="B136" i="20"/>
  <c r="B135" i="20"/>
  <c r="B134" i="20"/>
  <c r="B133" i="20"/>
  <c r="B132" i="20"/>
  <c r="B131" i="20"/>
  <c r="B130" i="20"/>
  <c r="B129" i="20"/>
  <c r="B128" i="20"/>
  <c r="B127" i="20"/>
  <c r="B126" i="20"/>
  <c r="B125" i="20"/>
  <c r="B124" i="20"/>
  <c r="B123" i="20"/>
  <c r="B122" i="20"/>
  <c r="B121" i="20"/>
  <c r="B120" i="20"/>
  <c r="B119" i="20"/>
  <c r="B118" i="20"/>
  <c r="B117" i="20"/>
  <c r="B116" i="20"/>
  <c r="B115" i="20"/>
  <c r="B114" i="20"/>
  <c r="B113" i="20"/>
  <c r="B112" i="20"/>
  <c r="B111" i="20"/>
  <c r="B110" i="20"/>
  <c r="B109" i="20"/>
  <c r="B108" i="20"/>
  <c r="B107" i="20"/>
  <c r="B106" i="20"/>
  <c r="B105" i="20"/>
  <c r="B104" i="20"/>
  <c r="B103" i="20"/>
  <c r="B102" i="20"/>
  <c r="B101" i="20"/>
  <c r="B100" i="20"/>
  <c r="B99" i="20"/>
  <c r="B98" i="20"/>
  <c r="B97" i="20"/>
  <c r="B96" i="20"/>
  <c r="B95" i="20"/>
  <c r="B94" i="20"/>
  <c r="B93" i="20"/>
  <c r="B92" i="20"/>
  <c r="B91" i="20"/>
  <c r="B90" i="20"/>
  <c r="B89" i="20"/>
  <c r="B88" i="20"/>
  <c r="B87" i="20"/>
  <c r="B86" i="20"/>
  <c r="B85" i="20"/>
  <c r="B84" i="20"/>
  <c r="B83" i="20"/>
  <c r="B82" i="20"/>
  <c r="B81" i="20"/>
  <c r="S20" i="5" l="1" a="1"/>
  <c r="S20" i="5" s="1"/>
  <c r="S5" i="5" a="1"/>
  <c r="S5" i="5" s="1"/>
  <c r="S12" i="5"/>
  <c r="EG1" i="20"/>
  <c r="EG2" i="20" s="1"/>
  <c r="B77" i="20"/>
  <c r="B78" i="20"/>
  <c r="B79" i="20"/>
  <c r="B80" i="20"/>
  <c r="B76" i="20"/>
  <c r="H13" i="20"/>
  <c r="N13" i="20"/>
  <c r="I10" i="20" a="1"/>
  <c r="I10" i="20" s="1"/>
  <c r="H10" i="20"/>
  <c r="I5" i="20" a="1"/>
  <c r="I5" i="20" s="1"/>
  <c r="N10" i="20"/>
  <c r="I9" i="20" a="1"/>
  <c r="I9" i="20" s="1"/>
  <c r="H9" i="20"/>
  <c r="K6" i="20" a="1"/>
  <c r="K6" i="20" s="1"/>
  <c r="H6" i="20"/>
  <c r="I6" i="20" a="1"/>
  <c r="I6" i="20" s="1"/>
  <c r="K11" i="20" a="1"/>
  <c r="K11" i="20" s="1"/>
  <c r="I11" i="20" a="1"/>
  <c r="I11" i="20" s="1"/>
  <c r="K8" i="20" a="1"/>
  <c r="K8" i="20" s="1"/>
  <c r="H11" i="20"/>
  <c r="I8" i="20" a="1"/>
  <c r="I8" i="20" s="1"/>
  <c r="K5" i="20" a="1"/>
  <c r="K5" i="20" s="1"/>
  <c r="H8" i="20"/>
  <c r="H5" i="20"/>
  <c r="K7" i="20" a="1"/>
  <c r="K7" i="20" s="1"/>
  <c r="K13" i="20" a="1"/>
  <c r="K13" i="20" s="1"/>
  <c r="I13" i="20" a="1"/>
  <c r="I13" i="20" s="1"/>
  <c r="I7" i="20" a="1"/>
  <c r="I7" i="20" s="1"/>
  <c r="H12" i="20"/>
  <c r="H7" i="20"/>
  <c r="N8" i="20"/>
  <c r="K12" i="20" a="1"/>
  <c r="K12" i="20" s="1"/>
  <c r="N12" i="20"/>
  <c r="K9" i="20" a="1"/>
  <c r="K9" i="20" s="1"/>
  <c r="A4" i="20" a="1"/>
  <c r="A4" i="20" s="1"/>
  <c r="B75" i="20"/>
  <c r="B7" i="20"/>
  <c r="D8" i="20"/>
  <c r="E8" i="20"/>
  <c r="D9" i="20"/>
  <c r="M10" i="20"/>
  <c r="B11" i="20"/>
  <c r="D11" i="20"/>
  <c r="M11" i="20"/>
  <c r="B12" i="20"/>
  <c r="G12" i="20"/>
  <c r="M13" i="20"/>
  <c r="B5" i="20"/>
  <c r="D5" i="20"/>
  <c r="E5" i="20"/>
  <c r="B8" i="20"/>
  <c r="G5" i="20"/>
  <c r="F8" i="20"/>
  <c r="E11" i="20"/>
  <c r="G8" i="20"/>
  <c r="F11" i="20"/>
  <c r="G11" i="20"/>
  <c r="B6" i="20"/>
  <c r="D6" i="20"/>
  <c r="B9" i="20"/>
  <c r="E6" i="20"/>
  <c r="F6" i="20"/>
  <c r="E9" i="20"/>
  <c r="D12" i="20"/>
  <c r="G6" i="20"/>
  <c r="F9" i="20"/>
  <c r="E12" i="20"/>
  <c r="G9" i="20"/>
  <c r="F12" i="20"/>
  <c r="M9" i="20"/>
  <c r="M12" i="20"/>
  <c r="D7" i="20"/>
  <c r="B10" i="20"/>
  <c r="E7" i="20"/>
  <c r="D10" i="20"/>
  <c r="F7" i="20"/>
  <c r="E10" i="20"/>
  <c r="B13" i="20"/>
  <c r="G7" i="20"/>
  <c r="F10" i="20"/>
  <c r="D13" i="20"/>
  <c r="G10" i="20"/>
  <c r="E13" i="20"/>
  <c r="F13" i="20"/>
  <c r="G13" i="20"/>
  <c r="N7" i="20" l="1"/>
  <c r="M7" i="20"/>
  <c r="N6" i="20"/>
  <c r="B20" i="20"/>
  <c r="EM1" i="20" a="1"/>
  <c r="EM1" i="20" s="1"/>
  <c r="EG3" i="20"/>
  <c r="F20" i="20" a="1"/>
  <c r="F20" i="20" s="1"/>
  <c r="B21" i="20" a="1"/>
  <c r="B21" i="20" s="1"/>
  <c r="B22" i="20" a="1"/>
  <c r="B22" i="20" s="1"/>
  <c r="E22" i="20" a="1"/>
  <c r="E22" i="20" s="1"/>
  <c r="G22" i="20" a="1"/>
  <c r="G22" i="20" s="1"/>
  <c r="N5" i="20"/>
  <c r="B4" i="20"/>
  <c r="H4" i="20"/>
  <c r="H18" i="20" s="1"/>
  <c r="I4" i="20" a="1"/>
  <c r="I4" i="20" s="1"/>
  <c r="K4" i="20" a="1"/>
  <c r="K4" i="20" s="1"/>
  <c r="A27" i="20" a="1"/>
  <c r="A27" i="20" s="1"/>
  <c r="G4" i="20"/>
  <c r="F4" i="20"/>
  <c r="E4" i="20"/>
  <c r="D4" i="20"/>
  <c r="M5" i="20"/>
  <c r="M6" i="20"/>
  <c r="M3" i="10"/>
  <c r="M4" i="10"/>
  <c r="M4" i="20" l="1"/>
  <c r="M17" i="20" s="1"/>
  <c r="EM2" i="20" a="1"/>
  <c r="EM2" i="20" s="1"/>
  <c r="EG4" i="20"/>
  <c r="N4" i="20"/>
  <c r="J18" i="20" s="1"/>
  <c r="J20" i="20"/>
  <c r="A5" i="10"/>
  <c r="EM3" i="20" l="1" a="1"/>
  <c r="EM3" i="20" s="1"/>
  <c r="EG5" i="20"/>
  <c r="EM4" i="20" s="1" a="1"/>
  <c r="EM4" i="20" s="1"/>
  <c r="J22" i="20" s="1"/>
  <c r="J21" i="20"/>
  <c r="M182" i="9" l="1"/>
  <c r="H182" i="9"/>
  <c r="M180" i="9"/>
  <c r="H180" i="9"/>
  <c r="M178" i="9"/>
  <c r="H178" i="9"/>
  <c r="M176" i="9"/>
  <c r="H176" i="9"/>
  <c r="M174" i="9"/>
  <c r="H174" i="9"/>
  <c r="M172" i="9"/>
  <c r="H172" i="9"/>
  <c r="M170" i="9"/>
  <c r="H170" i="9"/>
  <c r="M168" i="9"/>
  <c r="H168" i="9"/>
  <c r="M166" i="9"/>
  <c r="H166" i="9"/>
  <c r="M164" i="9"/>
  <c r="H164" i="9"/>
  <c r="M162" i="9"/>
  <c r="H162" i="9"/>
  <c r="M151" i="9"/>
  <c r="H151" i="9"/>
  <c r="M149" i="9"/>
  <c r="H149" i="9"/>
  <c r="M147" i="9"/>
  <c r="H147" i="9"/>
  <c r="M145" i="9"/>
  <c r="H145" i="9"/>
  <c r="M143" i="9"/>
  <c r="H143" i="9"/>
  <c r="M141" i="9"/>
  <c r="H141" i="9"/>
  <c r="M139" i="9"/>
  <c r="H139" i="9"/>
  <c r="M137" i="9"/>
  <c r="H137" i="9"/>
  <c r="M135" i="9"/>
  <c r="H135" i="9"/>
  <c r="M133" i="9"/>
  <c r="H133" i="9"/>
  <c r="M131" i="9"/>
  <c r="H131" i="9"/>
  <c r="M120" i="9"/>
  <c r="H120" i="9"/>
  <c r="M118" i="9"/>
  <c r="H118" i="9"/>
  <c r="M116" i="9"/>
  <c r="H116" i="9"/>
  <c r="M114" i="9"/>
  <c r="H114" i="9"/>
  <c r="M112" i="9"/>
  <c r="H112" i="9"/>
  <c r="M110" i="9"/>
  <c r="H110" i="9"/>
  <c r="M108" i="9"/>
  <c r="H108" i="9"/>
  <c r="M106" i="9"/>
  <c r="H106" i="9"/>
  <c r="M104" i="9"/>
  <c r="H104" i="9"/>
  <c r="M102" i="9"/>
  <c r="H102" i="9"/>
  <c r="M100" i="9"/>
  <c r="H100" i="9"/>
  <c r="M89" i="9"/>
  <c r="H89" i="9"/>
  <c r="M87" i="9"/>
  <c r="H87" i="9"/>
  <c r="M85" i="9"/>
  <c r="H85" i="9"/>
  <c r="M83" i="9"/>
  <c r="H83" i="9"/>
  <c r="M81" i="9"/>
  <c r="H81" i="9"/>
  <c r="M79" i="9"/>
  <c r="H79" i="9"/>
  <c r="M77" i="9"/>
  <c r="H77" i="9"/>
  <c r="M75" i="9"/>
  <c r="H75" i="9"/>
  <c r="M73" i="9"/>
  <c r="H73" i="9"/>
  <c r="M71" i="9"/>
  <c r="H71" i="9"/>
  <c r="M69" i="9"/>
  <c r="H69" i="9"/>
  <c r="M58" i="9"/>
  <c r="H58" i="9"/>
  <c r="M56" i="9"/>
  <c r="H56" i="9"/>
  <c r="M54" i="9"/>
  <c r="H54" i="9"/>
  <c r="M52" i="9"/>
  <c r="H52" i="9"/>
  <c r="M50" i="9"/>
  <c r="H50" i="9"/>
  <c r="M48" i="9"/>
  <c r="H48" i="9"/>
  <c r="M46" i="9"/>
  <c r="H46" i="9"/>
  <c r="M44" i="9"/>
  <c r="H44" i="9"/>
  <c r="M42" i="9"/>
  <c r="H42" i="9"/>
  <c r="M40" i="9"/>
  <c r="H40" i="9"/>
  <c r="M38" i="9"/>
  <c r="H38" i="9"/>
  <c r="M17" i="9"/>
  <c r="H21" i="9"/>
  <c r="H23" i="9"/>
  <c r="H25" i="9"/>
  <c r="H9" i="9"/>
  <c r="H11" i="9"/>
  <c r="H13" i="9"/>
  <c r="H15" i="9"/>
  <c r="H17" i="9"/>
  <c r="H19" i="9"/>
  <c r="M11" i="9"/>
  <c r="M13" i="9"/>
  <c r="M15" i="9"/>
  <c r="M19" i="9"/>
  <c r="M21" i="9"/>
  <c r="M23" i="9"/>
  <c r="M25" i="9"/>
  <c r="M27" i="9"/>
  <c r="M9" i="9"/>
  <c r="R32" i="9" l="1"/>
  <c r="R1" i="9"/>
  <c r="R156" i="9"/>
  <c r="R125" i="9"/>
  <c r="R94" i="9"/>
  <c r="R63" i="9"/>
  <c r="P5" i="10"/>
  <c r="V104" i="9" l="1"/>
  <c r="V100" i="9"/>
  <c r="V85" i="9"/>
  <c r="V81" i="9"/>
  <c r="V77" i="9"/>
  <c r="V73" i="9"/>
  <c r="V69" i="9"/>
  <c r="V54" i="9"/>
  <c r="V50" i="9"/>
  <c r="V46" i="9"/>
  <c r="V42" i="9"/>
  <c r="V38" i="9"/>
  <c r="V23" i="9"/>
  <c r="V19" i="9"/>
  <c r="V15" i="9"/>
  <c r="V11" i="9"/>
  <c r="V7" i="9"/>
  <c r="V178" i="9"/>
  <c r="V174" i="9"/>
  <c r="V170" i="9"/>
  <c r="V166" i="9"/>
  <c r="V162" i="9"/>
  <c r="V147" i="9"/>
  <c r="V143" i="9"/>
  <c r="V139" i="9"/>
  <c r="V135" i="9"/>
  <c r="V131" i="9"/>
  <c r="V116" i="9"/>
  <c r="V112" i="9"/>
  <c r="V108" i="9"/>
  <c r="T162" i="9"/>
  <c r="T174" i="9"/>
  <c r="T139" i="9"/>
  <c r="T104" i="9"/>
  <c r="T69" i="9"/>
  <c r="T116" i="9"/>
  <c r="T81" i="9"/>
  <c r="T46" i="9"/>
  <c r="T170" i="9"/>
  <c r="T135" i="9"/>
  <c r="T100" i="9"/>
  <c r="T147" i="9"/>
  <c r="T112" i="9"/>
  <c r="T77" i="9"/>
  <c r="T42" i="9"/>
  <c r="T50" i="9"/>
  <c r="T54" i="9"/>
  <c r="T85" i="9"/>
  <c r="T166" i="9"/>
  <c r="T131" i="9"/>
  <c r="T178" i="9"/>
  <c r="T143" i="9"/>
  <c r="T108" i="9"/>
  <c r="T73" i="9"/>
  <c r="T38" i="9"/>
  <c r="T7" i="9"/>
  <c r="T11" i="9"/>
  <c r="T15" i="9"/>
  <c r="T19" i="9"/>
  <c r="T2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<sst xmlns="http://schemas.openxmlformats.org/spreadsheetml/2006/main" count="691" uniqueCount="193">
  <si>
    <t>To Do List</t>
  </si>
  <si>
    <t>Task</t>
  </si>
  <si>
    <t>Priority</t>
  </si>
  <si>
    <t>Purpose</t>
  </si>
  <si>
    <t>Notes</t>
  </si>
  <si>
    <t>Item</t>
  </si>
  <si>
    <t>Progress</t>
  </si>
  <si>
    <t>Target</t>
  </si>
  <si>
    <t>Unit</t>
  </si>
  <si>
    <t>Status</t>
  </si>
  <si>
    <t>Completion Rate:</t>
  </si>
  <si>
    <t>Incomplete Rate:</t>
  </si>
  <si>
    <t>Behind Rate:</t>
  </si>
  <si>
    <t>Summary:</t>
  </si>
  <si>
    <t>Weight</t>
  </si>
  <si>
    <t>Complete %</t>
  </si>
  <si>
    <t>Incomplete %</t>
  </si>
  <si>
    <t>Behind</t>
  </si>
  <si>
    <t>Spare Slot</t>
  </si>
  <si>
    <t>Other Task Status:</t>
  </si>
  <si>
    <t>min</t>
  </si>
  <si>
    <t>Target</t>
  </si>
  <si>
    <t>Est. Grade</t>
  </si>
  <si>
    <t>h</t>
  </si>
  <si>
    <t>Use this list as the source for your weekly plan.</t>
  </si>
  <si>
    <t>Date</t>
  </si>
  <si>
    <t>Study Content</t>
  </si>
  <si>
    <t>Target Study Hours:</t>
  </si>
  <si>
    <t>Accumulated Study Time:</t>
  </si>
  <si>
    <t>Study Time</t>
  </si>
  <si>
    <t>Progress</t>
  </si>
  <si>
    <t>Other Tasks (10% / 4% Bonus)</t>
  </si>
  <si>
    <t>Next-Day Study Plan</t>
  </si>
  <si>
    <t>Planned Task</t>
  </si>
  <si>
    <t>Cumulative?</t>
  </si>
  <si>
    <t>Task #</t>
  </si>
  <si>
    <t>Priority</t>
  </si>
  <si>
    <t>A+</t>
  </si>
  <si>
    <t>A</t>
  </si>
  <si>
    <t/>
  </si>
  <si>
    <t>ANNUAL KPI</t>
  </si>
  <si>
    <t>A-</t>
  </si>
  <si>
    <t>Cancelled</t>
  </si>
  <si>
    <t>Progress Bar (%)</t>
  </si>
  <si>
    <t>Notes:</t>
  </si>
  <si>
    <t>Max</t>
  </si>
  <si>
    <t>Weight %</t>
  </si>
  <si>
    <t>Required</t>
  </si>
  <si>
    <t>Weight Left</t>
  </si>
  <si>
    <t>B+</t>
  </si>
  <si>
    <t>B</t>
  </si>
  <si>
    <t>Final Needed</t>
  </si>
  <si>
    <t>Weighted Score:</t>
  </si>
  <si>
    <t>Score</t>
  </si>
  <si>
    <t>Weighted %</t>
  </si>
  <si>
    <t>Raw %</t>
  </si>
  <si>
    <t>Other Tasks (one-time / ad hoc)</t>
  </si>
  <si>
    <t>Recurring / Learning Tasks</t>
  </si>
  <si>
    <t>Time</t>
  </si>
  <si>
    <t>Other Scheduled Events</t>
  </si>
  <si>
    <t>Academic Scheduled Deadline</t>
  </si>
  <si>
    <t>People</t>
  </si>
  <si>
    <t>Location</t>
  </si>
  <si>
    <t>Event</t>
  </si>
  <si>
    <t>Final Exam</t>
  </si>
  <si>
    <t>Done</t>
    <phoneticPr fontId="47" type="noConversion"/>
  </si>
  <si>
    <t>Week 1</t>
    <phoneticPr fontId="47" type="noConversion"/>
  </si>
  <si>
    <t>Completed</t>
    <phoneticPr fontId="47" type="noConversion"/>
  </si>
  <si>
    <t>Weekly Study Plan</t>
  </si>
  <si>
    <t>Status</t>
  </si>
  <si>
    <t>Data Insights</t>
  </si>
  <si>
    <t>Source</t>
  </si>
  <si>
    <t>Updated</t>
  </si>
  <si>
    <t>Tasks This Month</t>
  </si>
  <si>
    <t>Monthly Completion Rate</t>
  </si>
  <si>
    <t>Weekly Blocks</t>
  </si>
  <si>
    <t>Month</t>
  </si>
  <si>
    <t>Tasks</t>
  </si>
  <si>
    <t>Active Tasks</t>
  </si>
  <si>
    <t>Completed</t>
  </si>
  <si>
    <t>Complete</t>
  </si>
  <si>
    <t>Avg Progress</t>
  </si>
  <si>
    <t>2025-08</t>
  </si>
  <si>
    <t>2025-09</t>
  </si>
  <si>
    <t>2025-10</t>
  </si>
  <si>
    <t>2025-11</t>
  </si>
  <si>
    <t>2025-12</t>
  </si>
  <si>
    <t>2026-01</t>
  </si>
  <si>
    <t>2026-02</t>
  </si>
  <si>
    <t>2026-03</t>
  </si>
  <si>
    <t>2026-04</t>
  </si>
  <si>
    <t>2026-05</t>
  </si>
  <si>
    <t>2026-06</t>
  </si>
  <si>
    <t>Count</t>
  </si>
  <si>
    <t>Data Check</t>
  </si>
  <si>
    <t>Result</t>
  </si>
  <si>
    <t>Formula Errors</t>
  </si>
  <si>
    <t>Blank Task with Status</t>
  </si>
  <si>
    <t>Progress Over 200%</t>
  </si>
  <si>
    <t>Last Source Row</t>
  </si>
  <si>
    <t>MONTHLY_SUMMARY_V3_SIMPLE</t>
  </si>
  <si>
    <t>Study Task Completion Summary</t>
  </si>
  <si>
    <t>Completed Other Tasks</t>
  </si>
  <si>
    <t>AUTOMATED MONTHLY STUDY SUMMARY</t>
    <phoneticPr fontId="47" type="noConversion"/>
  </si>
  <si>
    <t>Combines weekly learning records into a monthly review. Completed other tasks are listed by month.</t>
    <phoneticPr fontId="47" type="noConversion"/>
  </si>
  <si>
    <t>Low Urgency</t>
  </si>
  <si>
    <t>0 h</t>
    <phoneticPr fontId="17" type="noConversion"/>
  </si>
  <si>
    <t>NEXT-STEP TASKS</t>
    <phoneticPr fontId="47" type="noConversion"/>
  </si>
  <si>
    <t>ProgressSum</t>
  </si>
  <si>
    <t>ProgressCount</t>
  </si>
  <si>
    <t>WeekBlocks</t>
  </si>
  <si>
    <t>Canceled</t>
  </si>
  <si>
    <t>Other</t>
  </si>
  <si>
    <t>TotalWeekBlocks</t>
  </si>
  <si>
    <t>2026-07</t>
  </si>
  <si>
    <t>Behind</t>
    <phoneticPr fontId="47" type="noConversion"/>
  </si>
  <si>
    <t>Cancelled</t>
    <phoneticPr fontId="47" type="noConversion"/>
  </si>
  <si>
    <t>Other / Incomplete</t>
    <phoneticPr fontId="47" type="noConversion"/>
  </si>
  <si>
    <t>LaggedCount</t>
  </si>
  <si>
    <t>Incomplete</t>
    <phoneticPr fontId="47" type="noConversion"/>
  </si>
  <si>
    <t>Behind</t>
    <phoneticPr fontId="47" type="noConversion"/>
  </si>
  <si>
    <t>Monthly Incomplete Rate</t>
    <phoneticPr fontId="47" type="noConversion"/>
  </si>
  <si>
    <t>Monthly Behind Rate</t>
    <phoneticPr fontId="47" type="noConversion"/>
  </si>
  <si>
    <t>September</t>
    <phoneticPr fontId="17" type="noConversion"/>
  </si>
  <si>
    <t>2026-08</t>
  </si>
  <si>
    <t>PROJECT MANAGEMENT CENTER</t>
  </si>
  <si>
    <t>Project ID</t>
  </si>
  <si>
    <t>Project Name</t>
  </si>
  <si>
    <t>Priority</t>
  </si>
  <si>
    <t>Start Date</t>
  </si>
  <si>
    <t>Deadline</t>
  </si>
  <si>
    <t>Project Progress</t>
  </si>
  <si>
    <t>Current Step</t>
  </si>
  <si>
    <t>Next Step</t>
  </si>
  <si>
    <t>Days Left</t>
  </si>
  <si>
    <t>Risk</t>
  </si>
  <si>
    <t>Project:</t>
  </si>
  <si>
    <t>Step #</t>
  </si>
  <si>
    <t>Phase</t>
  </si>
  <si>
    <t>Step / Action</t>
  </si>
  <si>
    <t>Planned Start</t>
  </si>
  <si>
    <t>Planned End</t>
  </si>
  <si>
    <t>Progress %</t>
  </si>
  <si>
    <t>Depends On</t>
  </si>
  <si>
    <t>Notes</t>
  </si>
  <si>
    <t>NEXT</t>
  </si>
  <si>
    <t>+2</t>
  </si>
  <si>
    <t>+3</t>
  </si>
  <si>
    <t>Duration</t>
  </si>
  <si>
    <t>Actual Completion Date</t>
  </si>
  <si>
    <t>Important</t>
    <phoneticPr fontId="47" type="noConversion"/>
  </si>
  <si>
    <t>Priority</t>
    <phoneticPr fontId="47" type="noConversion"/>
  </si>
  <si>
    <t>Not Started</t>
    <phoneticPr fontId="47" type="noConversion"/>
  </si>
  <si>
    <t>In Progress</t>
    <phoneticPr fontId="47" type="noConversion"/>
  </si>
  <si>
    <t>Waiting</t>
    <phoneticPr fontId="47" type="noConversion"/>
  </si>
  <si>
    <t>Blocked</t>
    <phoneticPr fontId="47" type="noConversion"/>
  </si>
  <si>
    <t>Paused</t>
    <phoneticPr fontId="47" type="noConversion"/>
  </si>
  <si>
    <t>P001</t>
  </si>
  <si>
    <t>P002</t>
  </si>
  <si>
    <t>INSTRUCTIONS</t>
    <phoneticPr fontId="47" type="noConversion"/>
  </si>
  <si>
    <t>Follow the steps below</t>
    <phoneticPr fontId="47" type="noConversion"/>
  </si>
  <si>
    <t>Create a project: enter its name, priority, status, start date, deadline, and notes in Project Setup. Project IDs are generated automatically—do not edit them.</t>
    <phoneticPr fontId="47" type="noConversion"/>
  </si>
  <si>
    <t>Add steps: choose the Project ID in the Project Step Database, then enter phase, action, status, progress, dates, dependencies, and notes.</t>
    <phoneticPr fontId="47" type="noConversion"/>
  </si>
  <si>
    <t>Select a project: use the project dropdown above to choose the project you want to review or update.</t>
    <phoneticPr fontId="47" type="noConversion"/>
  </si>
  <si>
    <t>Review results: Portfolio, Current Step, Next Actions, and Project Breakdown update automatically for the selected project.</t>
    <phoneticPr fontId="47" type="noConversion"/>
  </si>
  <si>
    <t>Update progress: edit status, progress, dates, or notes in the step database. The dashboard recalculates automatically.</t>
    <phoneticPr fontId="47" type="noConversion"/>
  </si>
  <si>
    <t>Complete a project: select it, then click Clear Current Project. Its records are removed and the remaining Project IDs are renumbered automatically.</t>
    <phoneticPr fontId="47" type="noConversion"/>
  </si>
  <si>
    <t>P003</t>
  </si>
  <si>
    <t>P004</t>
  </si>
  <si>
    <t>P005</t>
  </si>
  <si>
    <t>Start here: add a project in Project Setup, add its steps in the Project Step Database, then select it above to review the results.</t>
    <phoneticPr fontId="47" type="noConversion"/>
  </si>
  <si>
    <t>1. PROJECT SETUP</t>
    <phoneticPr fontId="47" type="noConversion"/>
  </si>
  <si>
    <t>2. PROJECT STEP DATABASE</t>
    <phoneticPr fontId="47" type="noConversion"/>
  </si>
  <si>
    <t>3. SELECTED PROJECT</t>
    <phoneticPr fontId="47" type="noConversion"/>
  </si>
  <si>
    <t>4. PROJECT PORTFOLIO</t>
    <phoneticPr fontId="47" type="noConversion"/>
  </si>
  <si>
    <t>CURRENT STEP</t>
    <phoneticPr fontId="47" type="noConversion"/>
  </si>
  <si>
    <t>NEXT ACTIONS</t>
    <phoneticPr fontId="47" type="noConversion"/>
  </si>
  <si>
    <t>5. PROJECT BREAKDOWN</t>
    <phoneticPr fontId="47" type="noConversion"/>
  </si>
  <si>
    <t>Notes</t>
    <phoneticPr fontId="17" type="noConversion"/>
  </si>
  <si>
    <t xml:space="preserve">Goal: </t>
    <phoneticPr fontId="47" type="noConversion"/>
  </si>
  <si>
    <t>2026/9/1 - 2026/9/6</t>
    <phoneticPr fontId="47" type="noConversion"/>
  </si>
  <si>
    <t>Monthly Study Summary (Auto-Generated)</t>
  </si>
  <si>
    <r>
      <t>Study Task Types</t>
    </r>
    <r>
      <rPr>
        <b/>
        <sz val="12"/>
        <color theme="1"/>
        <rFont val="Aptos"/>
        <family val="2"/>
        <charset val="134"/>
      </rPr>
      <t xml:space="preserve">
</t>
    </r>
    <r>
      <rPr>
        <b/>
        <sz val="12"/>
        <color rgb="FF1F4E79"/>
        <rFont val="Aptos"/>
        <family val="2"/>
        <charset val="134"/>
      </rPr>
      <t>0 Types</t>
    </r>
  </si>
  <si>
    <r>
      <t>Study Completion Records</t>
    </r>
    <r>
      <rPr>
        <b/>
        <sz val="12"/>
        <color theme="1"/>
        <rFont val="Aptos"/>
        <family val="2"/>
        <charset val="134"/>
      </rPr>
      <t xml:space="preserve">
</t>
    </r>
    <r>
      <rPr>
        <b/>
        <sz val="12"/>
        <color rgb="FF1F4E79"/>
        <rFont val="Aptos"/>
        <family val="2"/>
        <charset val="134"/>
      </rPr>
      <t>0 Records</t>
    </r>
  </si>
  <si>
    <r>
      <t>Completed Other Tasks</t>
    </r>
    <r>
      <rPr>
        <b/>
        <sz val="12"/>
        <color theme="1"/>
        <rFont val="Aptos"/>
        <family val="2"/>
        <charset val="134"/>
      </rPr>
      <t xml:space="preserve">
</t>
    </r>
    <r>
      <rPr>
        <b/>
        <sz val="12"/>
        <color rgb="FF1F4E79"/>
        <rFont val="Aptos"/>
        <family val="2"/>
        <charset val="134"/>
      </rPr>
      <t>0 Items</t>
    </r>
  </si>
  <si>
    <r>
      <t>Monthly Completion Rate</t>
    </r>
    <r>
      <rPr>
        <b/>
        <sz val="12"/>
        <color theme="1"/>
        <rFont val="Aptos"/>
        <family val="2"/>
        <charset val="134"/>
      </rPr>
      <t xml:space="preserve">
</t>
    </r>
    <r>
      <rPr>
        <b/>
        <sz val="12"/>
        <color rgb="FF217346"/>
        <rFont val="Aptos"/>
        <family val="2"/>
        <charset val="134"/>
      </rPr>
      <t>0.0%</t>
    </r>
  </si>
  <si>
    <r>
      <t>Monthly Incomplete Rate</t>
    </r>
    <r>
      <rPr>
        <b/>
        <sz val="12"/>
        <color theme="1"/>
        <rFont val="Aptos"/>
        <family val="2"/>
        <charset val="134"/>
      </rPr>
      <t xml:space="preserve">
</t>
    </r>
    <r>
      <rPr>
        <b/>
        <sz val="12"/>
        <color rgb="FFB76E00"/>
        <rFont val="Aptos"/>
        <family val="2"/>
        <charset val="134"/>
      </rPr>
      <t>0.0%</t>
    </r>
  </si>
  <si>
    <r>
      <t>Monthly Behind Rate</t>
    </r>
    <r>
      <rPr>
        <b/>
        <sz val="12"/>
        <color theme="1"/>
        <rFont val="Aptos"/>
        <family val="2"/>
        <charset val="134"/>
      </rPr>
      <t xml:space="preserve">
</t>
    </r>
    <r>
      <rPr>
        <b/>
        <sz val="12"/>
        <color rgb="FFC0392B"/>
        <rFont val="Aptos"/>
        <family val="2"/>
        <charset val="134"/>
      </rPr>
      <t>0.0%</t>
    </r>
  </si>
  <si>
    <t>No study progress has been entered yet.</t>
  </si>
  <si>
    <t>No completed other tasks yet.</t>
  </si>
  <si>
    <t>Source: Weekly Study Plan | Run Refresh Monthly Summary to update.</t>
  </si>
  <si>
    <t>October</t>
    <phoneticPr fontId="17" type="noConversion"/>
  </si>
  <si>
    <t>Progress</t>
    <phoneticPr fontId="1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</si>
</sst>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 &quot;¥&quot;* #,##0.00_ ;_ &quot;¥&quot;* \-#,##0.00_ ;_ &quot;¥&quot;* &quot;-&quot;??_ ;_ @_ "/>
    <numFmt numFmtId="176" formatCode="_-&quot;$&quot;* #,##0.00_-;\-&quot;$&quot;* #,##0.00_-;_-&quot;$&quot;* &quot;-&quot;??_-;_-@_-"/>
    <numFmt numFmtId="178" formatCode="0.0%"/>
    <numFmt numFmtId="179" formatCode="yyyy\-mm\-dd"/>
    <numFmt numFmtId="180" formatCode="yyyy/m/d"/>
  </numFmts>
  <fonts count="82">
    <font>
      <sz val="11"/>
      <color theme="1"/>
      <name val="Aptos"/>
      <family val="2"/>
      <charset val="134"/>
      <scheme val="minor"/>
    </font>
    <font>
      <sz val="11"/>
      <color theme="1"/>
      <name val="Aptos"/>
      <family val="2"/>
      <scheme val="minor"/>
    </font>
    <font>
      <b/>
      <sz val="11"/>
      <color theme="1"/>
      <name val="Aptos"/>
      <family val="2"/>
      <charset val="134"/>
      <scheme val="minor"/>
    </font>
    <font>
      <b/>
      <sz val="20"/>
      <color theme="1"/>
      <name val="Aptos"/>
      <family val="2"/>
      <scheme val="minor"/>
    </font>
    <font>
      <b/>
      <sz val="12"/>
      <color theme="1"/>
      <name val="Aptos"/>
      <family val="2"/>
      <scheme val="minor"/>
    </font>
    <font>
      <b/>
      <sz val="11"/>
      <color theme="1"/>
      <name val="Aptos"/>
      <family val="2"/>
      <scheme val="minor"/>
    </font>
    <font>
      <b/>
      <sz val="14"/>
      <color theme="1"/>
      <name val="Aptos"/>
      <family val="2"/>
      <scheme val="minor"/>
    </font>
    <font>
      <sz val="11"/>
      <color theme="1"/>
      <name val="Aptos"/>
      <family val="2"/>
      <charset val="134"/>
      <scheme val="minor"/>
    </font>
    <font>
      <b/>
      <sz val="16"/>
      <color theme="1"/>
      <name val="Aptos"/>
      <family val="2"/>
      <scheme val="minor"/>
    </font>
    <font>
      <sz val="14"/>
      <color theme="1"/>
      <name val="Aptos"/>
      <family val="2"/>
      <scheme val="minor"/>
    </font>
    <font>
      <b/>
      <sz val="36"/>
      <color rgb="FFFF0000"/>
      <name val="Aptos"/>
      <family val="2"/>
      <scheme val="minor"/>
    </font>
    <font>
      <b/>
      <sz val="12"/>
      <color theme="1"/>
      <name val="Aptos"/>
      <family val="2"/>
      <charset val="134"/>
      <scheme val="minor"/>
    </font>
    <font>
      <sz val="12"/>
      <color theme="1"/>
      <name val="Aptos"/>
      <family val="2"/>
      <charset val="134"/>
      <scheme val="minor"/>
    </font>
    <font>
      <b/>
      <sz val="16"/>
      <color rgb="FFFF0000"/>
      <name val="Aptos"/>
      <family val="2"/>
      <scheme val="minor"/>
    </font>
    <font>
      <b/>
      <sz val="18"/>
      <color rgb="FFFF0000"/>
      <name val="Aptos"/>
      <family val="2"/>
      <scheme val="minor"/>
    </font>
    <font>
      <sz val="12"/>
      <color theme="1"/>
      <name val="Aptos"/>
      <family val="2"/>
      <scheme val="minor"/>
    </font>
    <font>
      <sz val="16"/>
      <color theme="1"/>
      <name val="Aptos"/>
      <family val="2"/>
      <charset val="134"/>
      <scheme val="minor"/>
    </font>
    <font>
      <sz val="8"/>
      <name val="Aptos"/>
      <family val="2"/>
      <charset val="134"/>
      <scheme val="minor"/>
    </font>
    <font>
      <b/>
      <sz val="14"/>
      <color rgb="FFFF0000"/>
      <name val="Aptos"/>
      <family val="2"/>
      <scheme val="minor"/>
    </font>
    <font>
      <b/>
      <sz val="18"/>
      <color theme="1"/>
      <name val="Aptos"/>
      <family val="2"/>
      <scheme val="minor"/>
    </font>
    <font>
      <b/>
      <sz val="48"/>
      <color theme="7" tint="-0.499984740745262"/>
      <name val="Aptos"/>
      <family val="2"/>
      <scheme val="minor"/>
    </font>
    <font>
      <sz val="14"/>
      <color rgb="FFFF0000"/>
      <name val="Aptos"/>
      <family val="2"/>
      <scheme val="minor"/>
    </font>
    <font>
      <sz val="14"/>
      <color theme="1"/>
      <name val="Aptos"/>
      <family val="2"/>
      <charset val="134"/>
      <scheme val="minor"/>
    </font>
    <font>
      <b/>
      <sz val="26"/>
      <color theme="1"/>
      <name val="Times New Roman"/>
      <family val="1"/>
      <charset val="134"/>
    </font>
    <font>
      <sz val="18"/>
      <color theme="1"/>
      <name val="Aptos"/>
      <family val="2"/>
      <charset val="134"/>
      <scheme val="minor"/>
    </font>
    <font>
      <b/>
      <sz val="26"/>
      <color theme="1"/>
      <name val="Aptos"/>
      <family val="2"/>
      <scheme val="minor"/>
    </font>
    <font>
      <sz val="28"/>
      <color theme="1"/>
      <name val="Aptos"/>
      <family val="2"/>
      <charset val="134"/>
      <scheme val="minor"/>
    </font>
    <font>
      <b/>
      <sz val="28"/>
      <name val="Aptos"/>
      <family val="2"/>
      <scheme val="minor"/>
    </font>
    <font>
      <sz val="24"/>
      <color theme="1" tint="4.9989318521683403E-2"/>
      <name val="Aptos"/>
      <family val="2"/>
      <charset val="134"/>
      <scheme val="minor"/>
    </font>
    <font>
      <sz val="11"/>
      <color theme="1"/>
      <name val="Aptos"/>
      <family val="2"/>
      <scheme val="minor"/>
    </font>
    <font>
      <sz val="22"/>
      <color theme="1"/>
      <name val="Aptos"/>
      <family val="2"/>
      <charset val="134"/>
      <scheme val="minor"/>
    </font>
    <font>
      <b/>
      <i/>
      <sz val="22"/>
      <color theme="1"/>
      <name val="Aptos"/>
      <family val="2"/>
      <scheme val="minor"/>
    </font>
    <font>
      <b/>
      <sz val="24"/>
      <color theme="1"/>
      <name val="Aptos"/>
      <family val="2"/>
      <scheme val="minor"/>
    </font>
    <font>
      <i/>
      <sz val="12"/>
      <color theme="1"/>
      <name val="Aptos"/>
      <family val="2"/>
      <scheme val="minor"/>
    </font>
    <font>
      <b/>
      <sz val="14"/>
      <color rgb="FF00B050"/>
      <name val="Aptos"/>
      <family val="2"/>
      <scheme val="minor"/>
    </font>
    <font>
      <b/>
      <sz val="22"/>
      <color rgb="FFFF0000"/>
      <name val="Aptos"/>
      <family val="2"/>
      <scheme val="minor"/>
    </font>
    <font>
      <b/>
      <sz val="14"/>
      <name val="Aptos"/>
      <family val="2"/>
      <scheme val="minor"/>
    </font>
    <font>
      <b/>
      <sz val="22"/>
      <color theme="1"/>
      <name val="Aptos"/>
      <family val="2"/>
      <scheme val="minor"/>
    </font>
    <font>
      <b/>
      <sz val="14"/>
      <color rgb="FFC00000"/>
      <name val="Aptos"/>
      <family val="2"/>
      <scheme val="minor"/>
    </font>
    <font>
      <b/>
      <sz val="11"/>
      <color rgb="FFFA7D00"/>
      <name val="Aptos"/>
      <family val="2"/>
      <charset val="134"/>
      <scheme val="minor"/>
    </font>
    <font>
      <sz val="20"/>
      <color theme="1"/>
      <name val="Aptos"/>
      <family val="2"/>
      <charset val="134"/>
      <scheme val="minor"/>
    </font>
    <font>
      <b/>
      <sz val="36"/>
      <color theme="1"/>
      <name val="Aptos"/>
      <family val="2"/>
      <scheme val="minor"/>
    </font>
    <font>
      <b/>
      <sz val="20"/>
      <color rgb="FFFA7D00"/>
      <name val="Aptos"/>
      <family val="2"/>
      <charset val="134"/>
      <scheme val="minor"/>
    </font>
    <font>
      <sz val="22"/>
      <color rgb="FFFA7D00"/>
      <name val="Aptos"/>
      <family val="2"/>
      <charset val="134"/>
      <scheme val="minor"/>
    </font>
    <font>
      <b/>
      <sz val="24"/>
      <name val="Aptos"/>
      <family val="2"/>
      <scheme val="minor"/>
    </font>
    <font>
      <b/>
      <sz val="16"/>
      <name val="Aptos"/>
      <family val="2"/>
      <scheme val="minor"/>
    </font>
    <font>
      <b/>
      <sz val="18"/>
      <name val="Aptos"/>
      <family val="2"/>
      <scheme val="minor"/>
    </font>
    <font>
      <sz val="9"/>
      <name val="Aptos"/>
      <family val="2"/>
      <charset val="134"/>
      <scheme val="minor"/>
    </font>
    <font>
      <b/>
      <sz val="11"/>
      <color theme="1"/>
      <name val="Aptos"/>
      <family val="3"/>
      <charset val="134"/>
      <scheme val="minor"/>
    </font>
    <font>
      <b/>
      <sz val="16"/>
      <color theme="1"/>
      <name val="Aptos"/>
      <family val="3"/>
      <charset val="134"/>
      <scheme val="minor"/>
    </font>
    <font>
      <sz val="12"/>
      <color theme="1"/>
      <name val="Aptos"/>
      <family val="3"/>
      <charset val="134"/>
      <scheme val="minor"/>
    </font>
    <font>
      <b/>
      <sz val="12"/>
      <color theme="1"/>
      <name val="Aptos"/>
      <family val="3"/>
      <charset val="134"/>
      <scheme val="minor"/>
    </font>
    <font>
      <b/>
      <sz val="18"/>
      <color rgb="FFFFFFFF"/>
      <name val="Aptos"/>
      <family val="3"/>
      <charset val="134"/>
      <scheme val="minor"/>
    </font>
    <font>
      <sz val="11"/>
      <color rgb="FFFFFFFF"/>
      <name val="Aptos"/>
      <family val="2"/>
      <charset val="134"/>
      <scheme val="minor"/>
    </font>
    <font>
      <sz val="10"/>
      <color theme="1"/>
      <name val="Aptos"/>
      <family val="2"/>
      <charset val="134"/>
    </font>
    <font>
      <b/>
      <sz val="20"/>
      <color rgb="FFFFFFFF"/>
      <name val="Aptos"/>
      <family val="2"/>
      <charset val="134"/>
    </font>
    <font>
      <sz val="10"/>
      <color rgb="FF505F70"/>
      <name val="Aptos"/>
      <family val="2"/>
      <charset val="134"/>
    </font>
    <font>
      <b/>
      <sz val="17"/>
      <color rgb="FFFFFFFF"/>
      <name val="Aptos"/>
      <family val="2"/>
      <charset val="134"/>
    </font>
    <font>
      <sz val="10"/>
      <color rgb="FF525F70"/>
      <name val="Aptos"/>
      <family val="2"/>
      <charset val="134"/>
    </font>
    <font>
      <b/>
      <sz val="12"/>
      <color theme="1"/>
      <name val="Aptos"/>
      <family val="2"/>
      <charset val="134"/>
    </font>
    <font>
      <b/>
      <sz val="12"/>
      <color rgb="FF4B5869"/>
      <name val="Aptos"/>
      <family val="2"/>
      <charset val="134"/>
    </font>
    <font>
      <b/>
      <sz val="12"/>
      <color rgb="FF1F4E79"/>
      <name val="Aptos"/>
      <family val="2"/>
      <charset val="134"/>
    </font>
    <font>
      <b/>
      <sz val="13"/>
      <color rgb="FF1F4E79"/>
      <name val="Aptos"/>
      <family val="2"/>
      <charset val="134"/>
    </font>
    <font>
      <b/>
      <sz val="12"/>
      <color rgb="FF217346"/>
      <name val="Aptos"/>
      <family val="2"/>
      <charset val="134"/>
    </font>
    <font>
      <b/>
      <sz val="12"/>
      <color rgb="FFB76E00"/>
      <name val="Aptos"/>
      <family val="2"/>
      <charset val="134"/>
    </font>
    <font>
      <b/>
      <sz val="12"/>
      <color rgb="FFC0392B"/>
      <name val="Aptos"/>
      <family val="2"/>
      <charset val="134"/>
    </font>
    <font>
      <b/>
      <sz val="28"/>
      <name val="Aptos"/>
      <family val="3"/>
      <charset val="134"/>
      <scheme val="minor"/>
    </font>
    <font>
      <sz val="10"/>
      <color theme="1"/>
      <name val="Aptos"/>
      <family val="2"/>
      <charset val="134"/>
      <scheme val="minor"/>
    </font>
    <font>
      <b/>
      <sz val="9"/>
      <color rgb="FF000000"/>
      <name val="Arial"/>
      <family val="2"/>
    </font>
    <font>
      <b/>
      <sz val="10"/>
      <color theme="1"/>
      <name val="Aptos"/>
      <family val="2"/>
      <charset val="134"/>
      <scheme val="minor"/>
    </font>
    <font>
      <sz val="11"/>
      <color theme="1"/>
      <name val="Arial"/>
      <family val="2"/>
    </font>
    <font>
      <sz val="9"/>
      <color rgb="FF000000"/>
      <name val="Arial"/>
      <family val="2"/>
    </font>
    <font>
      <b/>
      <sz val="22"/>
      <color rgb="FF000000"/>
      <name val="Arial"/>
      <family val="2"/>
    </font>
    <font>
      <sz val="10"/>
      <color theme="1"/>
      <name val="Arial"/>
      <family val="2"/>
    </font>
    <font>
      <b/>
      <sz val="24"/>
      <color rgb="FF000000"/>
      <name val="Arial"/>
      <family val="2"/>
    </font>
    <font>
      <b/>
      <sz val="13"/>
      <color rgb="FF000000"/>
      <name val="Arial"/>
      <family val="2"/>
    </font>
    <font>
      <b/>
      <sz val="15"/>
      <color rgb="FF000000"/>
      <name val="Arial"/>
      <family val="2"/>
    </font>
    <font>
      <b/>
      <sz val="10"/>
      <color rgb="FF000000"/>
      <name val="Arial"/>
      <family val="2"/>
    </font>
    <font>
      <sz val="9"/>
      <color rgb="FF000000"/>
      <name val="Times New Roman"/>
      <family val="2"/>
      <charset val="134"/>
    </font>
    <font>
      <sz val="9"/>
      <color rgb="FF000000"/>
      <name val="Arial"/>
      <family val="2"/>
      <charset val="134"/>
    </font>
    <font>
      <b/>
      <sz val="16"/>
      <color rgb="FF000000"/>
      <name val="Arial"/>
      <family val="2"/>
    </font>
    <font>
      <sz val="10"/>
      <color rgb="FF637080"/>
      <name val="Aptos"/>
      <family val="2"/>
      <charset val="134"/>
    </font>
  </fonts>
  <fills count="42">
    <fill>
      <patternFill patternType="none"/>
    </fill>
    <fill>
      <patternFill patternType="gray125"/>
    </fill>
    <fill>
      <patternFill patternType="solid">
        <fgColor theme="4" tint="0.39997558519241921"/>
        <bgColor indexed="64"/>
      </patternFill>
    </fill>
    <fill>
      <patternFill patternType="solid">
        <fgColor theme="7"/>
        <bgColor indexed="64"/>
      </patternFill>
    </fill>
    <fill>
      <patternFill patternType="solid">
        <fgColor theme="0"/>
        <bgColor indexed="64"/>
      </patternFill>
    </fill>
    <fill>
      <patternFill patternType="solid">
        <fgColor theme="5" tint="0.59999389629810485"/>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rgb="FFF2F2F2"/>
      </patternFill>
    </fill>
    <fill>
      <patternFill patternType="solid">
        <fgColor rgb="FFFFFFCC"/>
      </patternFill>
    </fill>
    <fill>
      <patternFill patternType="solid">
        <fgColor theme="5" tint="0.79998168889431442"/>
        <bgColor indexed="65"/>
      </patternFill>
    </fill>
    <fill>
      <patternFill patternType="solid">
        <fgColor theme="9" tint="0.79998168889431442"/>
        <bgColor indexed="65"/>
      </patternFill>
    </fill>
    <fill>
      <patternFill patternType="solid">
        <fgColor rgb="FFAFCCF7"/>
        <bgColor indexed="64"/>
      </patternFill>
    </fill>
    <fill>
      <patternFill patternType="solid">
        <fgColor rgb="FF1F4E79"/>
        <bgColor indexed="64"/>
      </patternFill>
    </fill>
    <fill>
      <patternFill patternType="solid">
        <fgColor rgb="FFDDEBF7"/>
        <bgColor indexed="64"/>
      </patternFill>
    </fill>
    <fill>
      <patternFill patternType="solid">
        <fgColor rgb="FF2F5879"/>
        <bgColor indexed="64"/>
      </patternFill>
    </fill>
    <fill>
      <patternFill patternType="solid">
        <fgColor rgb="FFF8FAFC"/>
        <bgColor indexed="64"/>
      </patternFill>
    </fill>
    <fill>
      <patternFill patternType="solid">
        <fgColor rgb="FFE8F1FA"/>
        <bgColor indexed="64"/>
      </patternFill>
    </fill>
    <fill>
      <patternFill patternType="solid">
        <fgColor rgb="FF225A84"/>
        <bgColor indexed="64"/>
      </patternFill>
    </fill>
    <fill>
      <patternFill patternType="solid">
        <fgColor rgb="FFFFFFFF"/>
        <bgColor indexed="64"/>
      </patternFill>
    </fill>
    <fill>
      <patternFill patternType="solid">
        <fgColor rgb="FFDAEAF7"/>
        <bgColor indexed="64"/>
      </patternFill>
    </fill>
    <fill>
      <patternFill patternType="solid">
        <fgColor rgb="FFDDE8F9"/>
        <bgColor indexed="64"/>
      </patternFill>
    </fill>
    <fill>
      <patternFill patternType="solid">
        <fgColor rgb="FF8EAADB"/>
        <bgColor indexed="64"/>
      </patternFill>
    </fill>
    <fill>
      <patternFill patternType="solid">
        <fgColor rgb="FFFFF2CC"/>
        <bgColor indexed="64"/>
      </patternFill>
    </fill>
    <fill>
      <patternFill patternType="solid">
        <fgColor rgb="FFF4B183"/>
        <bgColor indexed="64"/>
      </patternFill>
    </fill>
    <fill>
      <patternFill patternType="solid">
        <fgColor rgb="FFF8CBAD"/>
        <bgColor indexed="64"/>
      </patternFill>
    </fill>
    <fill>
      <patternFill patternType="solid">
        <fgColor rgb="FFE2EFDA"/>
        <bgColor indexed="64"/>
      </patternFill>
    </fill>
    <fill>
      <patternFill patternType="solid">
        <fgColor rgb="FFFFD966"/>
        <bgColor indexed="64"/>
      </patternFill>
    </fill>
  </fills>
  <borders count="66">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rgb="FFB2B2B2"/>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C6D8E8"/>
      </left>
      <right/>
      <top style="thin">
        <color rgb="FFC6D8E8"/>
      </top>
      <bottom/>
      <diagonal/>
    </border>
    <border>
      <left/>
      <right/>
      <top style="thin">
        <color rgb="FFC6D8E8"/>
      </top>
      <bottom/>
      <diagonal/>
    </border>
    <border>
      <left/>
      <right style="thin">
        <color rgb="FFC6D8E8"/>
      </right>
      <top style="thin">
        <color rgb="FFC6D8E8"/>
      </top>
      <bottom/>
      <diagonal/>
    </border>
    <border>
      <left style="thin">
        <color rgb="FFC6D8E8"/>
      </left>
      <right/>
      <top/>
      <bottom style="thin">
        <color rgb="FFC6D8E8"/>
      </bottom>
      <diagonal/>
    </border>
    <border>
      <left/>
      <right/>
      <top/>
      <bottom style="thin">
        <color rgb="FFC6D8E8"/>
      </bottom>
      <diagonal/>
    </border>
    <border>
      <left/>
      <right style="thin">
        <color rgb="FFC6D8E8"/>
      </right>
      <top/>
      <bottom style="thin">
        <color rgb="FFC6D8E8"/>
      </bottom>
      <diagonal/>
    </border>
    <border>
      <left style="thin">
        <color rgb="FFBDCFE0"/>
      </left>
      <right/>
      <top/>
      <bottom/>
      <diagonal/>
    </border>
    <border>
      <left style="thin">
        <color rgb="FFBDCFE0"/>
      </left>
      <right/>
      <top style="thin">
        <color rgb="FFC6D8E8"/>
      </top>
      <bottom/>
      <diagonal/>
    </border>
    <border>
      <left style="thin">
        <color rgb="FFBDCFE0"/>
      </left>
      <right/>
      <top/>
      <bottom style="thin">
        <color rgb="FFC6D8E8"/>
      </bottom>
      <diagonal/>
    </border>
    <border>
      <left style="thin">
        <color rgb="FFBDCFE0"/>
      </left>
      <right/>
      <top style="thin">
        <color rgb="FFBDCFE0"/>
      </top>
      <bottom/>
      <diagonal/>
    </border>
    <border>
      <left/>
      <right/>
      <top style="thin">
        <color rgb="FFBDCFE0"/>
      </top>
      <bottom/>
      <diagonal/>
    </border>
    <border>
      <left/>
      <right style="thin">
        <color rgb="FFBDCFE0"/>
      </right>
      <top style="thin">
        <color rgb="FFBDCFE0"/>
      </top>
      <bottom/>
      <diagonal/>
    </border>
    <border>
      <left/>
      <right style="thin">
        <color rgb="FFBDCFE0"/>
      </right>
      <top/>
      <bottom/>
      <diagonal/>
    </border>
    <border>
      <left/>
      <right style="thin">
        <color rgb="FFBDCFE0"/>
      </right>
      <top style="thin">
        <color rgb="FFC6D8E8"/>
      </top>
      <bottom/>
      <diagonal/>
    </border>
    <border>
      <left/>
      <right style="thin">
        <color rgb="FFBDCFE0"/>
      </right>
      <top/>
      <bottom style="thin">
        <color rgb="FFC6D8E8"/>
      </bottom>
      <diagonal/>
    </border>
    <border>
      <left style="thin">
        <color rgb="FFBDCFE0"/>
      </left>
      <right/>
      <top/>
      <bottom style="thin">
        <color rgb="FFBDCFE0"/>
      </bottom>
      <diagonal/>
    </border>
    <border>
      <left/>
      <right/>
      <top/>
      <bottom style="thin">
        <color rgb="FFBDCFE0"/>
      </bottom>
      <diagonal/>
    </border>
    <border>
      <left/>
      <right style="thin">
        <color rgb="FFBDCFE0"/>
      </right>
      <top/>
      <bottom style="thin">
        <color rgb="FFBDCFE0"/>
      </bottom>
      <diagonal/>
    </border>
    <border>
      <left style="thin">
        <color rgb="FF9BB8E3"/>
      </left>
      <right style="thin">
        <color rgb="FF9BB8E3"/>
      </right>
      <top style="thin">
        <color rgb="FF9BB8E3"/>
      </top>
      <bottom style="thin">
        <color rgb="FF9BB8E3"/>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s>
  <cellStyleXfs count="7">
    <xf numFmtId="0" fontId="0" fillId="0" borderId="0"/>
    <xf numFmtId="176" fontId="7" fillId="0" borderId="0" applyFont="0" applyFill="0" applyBorder="0" applyAlignment="0" applyProtection="0"/>
    <xf numFmtId="0" fontId="39" fillId="22" borderId="35" applyNumberFormat="0" applyAlignment="0" applyProtection="0"/>
    <xf numFmtId="0" fontId="7" fillId="23" borderId="36" applyNumberFormat="0" applyFont="0" applyAlignment="0" applyProtection="0"/>
    <xf numFmtId="0" fontId="7" fillId="24" borderId="0" applyNumberFormat="0" applyBorder="0" applyAlignment="0" applyProtection="0"/>
    <xf numFmtId="0" fontId="7" fillId="25" borderId="0" applyNumberFormat="0" applyBorder="0" applyAlignment="0" applyProtection="0"/>
    <xf numFmtId="44" fontId="7" fillId="0" borderId="0" applyFont="0" applyFill="0" applyBorder="0" applyAlignment="0" applyProtection="0"/>
  </cellStyleXfs>
  <cellXfs count="497">
    <xf numFmtId="0" fontId="0" fillId="0" borderId="0" xfId="0"/>
    <xf numFmtId="0" fontId="4" fillId="4" borderId="12" xfId="0" applyFont="1" applyFill="1" applyBorder="1" applyAlignment="1">
      <alignment horizontal="center" vertical="center"/>
    </xf>
    <xf numFmtId="0" fontId="0" fillId="0" borderId="0" xfId="0" applyAlignment="1">
      <alignment vertical="center"/>
    </xf>
    <xf numFmtId="0" fontId="4" fillId="13" borderId="3" xfId="0" applyFont="1" applyFill="1" applyBorder="1" applyAlignment="1">
      <alignment horizontal="center" vertical="center"/>
    </xf>
    <xf numFmtId="0" fontId="4" fillId="13" borderId="2" xfId="0" applyFont="1" applyFill="1" applyBorder="1" applyAlignment="1">
      <alignment horizontal="center" vertical="center"/>
    </xf>
    <xf numFmtId="0" fontId="4" fillId="13" borderId="12" xfId="0" applyFont="1" applyFill="1" applyBorder="1" applyAlignment="1">
      <alignment horizontal="center" vertical="center"/>
    </xf>
    <xf numFmtId="9" fontId="21" fillId="5" borderId="12" xfId="0" applyNumberFormat="1" applyFont="1" applyFill="1" applyBorder="1" applyAlignment="1">
      <alignment horizontal="center" vertical="center"/>
    </xf>
    <xf numFmtId="9" fontId="22" fillId="10" borderId="12" xfId="0" applyNumberFormat="1" applyFont="1" applyFill="1" applyBorder="1" applyAlignment="1">
      <alignment horizontal="center" vertical="center"/>
    </xf>
    <xf numFmtId="9" fontId="22" fillId="18" borderId="4" xfId="0" applyNumberFormat="1" applyFont="1" applyFill="1" applyBorder="1" applyAlignment="1">
      <alignment horizontal="center" vertical="center"/>
    </xf>
    <xf numFmtId="9" fontId="22" fillId="16" borderId="4" xfId="0" applyNumberFormat="1" applyFont="1" applyFill="1" applyBorder="1" applyAlignment="1">
      <alignment horizontal="center" vertical="center"/>
    </xf>
    <xf numFmtId="2" fontId="6" fillId="6" borderId="12" xfId="0" applyNumberFormat="1" applyFont="1" applyFill="1" applyBorder="1" applyAlignment="1">
      <alignment horizontal="center" vertical="center"/>
    </xf>
    <xf numFmtId="2" fontId="6" fillId="10" borderId="0" xfId="0" applyNumberFormat="1" applyFont="1" applyFill="1" applyAlignment="1">
      <alignment horizontal="center" vertical="center"/>
    </xf>
    <xf numFmtId="1" fontId="8" fillId="4" borderId="12" xfId="0" applyNumberFormat="1" applyFont="1" applyFill="1" applyBorder="1" applyAlignment="1">
      <alignment horizontal="center" vertical="center"/>
    </xf>
    <xf numFmtId="9" fontId="22" fillId="10" borderId="26" xfId="0" applyNumberFormat="1" applyFont="1" applyFill="1" applyBorder="1" applyAlignment="1">
      <alignment horizontal="center" vertical="center"/>
    </xf>
    <xf numFmtId="0" fontId="4" fillId="4" borderId="29" xfId="0" applyFont="1" applyFill="1" applyBorder="1" applyAlignment="1">
      <alignment horizontal="center" vertical="center"/>
    </xf>
    <xf numFmtId="0" fontId="4" fillId="4" borderId="28" xfId="0" applyFont="1" applyFill="1" applyBorder="1" applyAlignment="1">
      <alignment horizontal="center" vertical="center"/>
    </xf>
    <xf numFmtId="9" fontId="21" fillId="5" borderId="30" xfId="0" applyNumberFormat="1" applyFont="1" applyFill="1" applyBorder="1" applyAlignment="1">
      <alignment horizontal="center" vertical="center"/>
    </xf>
    <xf numFmtId="9" fontId="21" fillId="5" borderId="31" xfId="0" applyNumberFormat="1" applyFont="1" applyFill="1" applyBorder="1" applyAlignment="1">
      <alignment horizontal="center" vertical="center"/>
    </xf>
    <xf numFmtId="9" fontId="21" fillId="5" borderId="34" xfId="0" applyNumberFormat="1" applyFont="1" applyFill="1" applyBorder="1" applyAlignment="1">
      <alignment horizontal="center" vertical="center"/>
    </xf>
    <xf numFmtId="0" fontId="5" fillId="0" borderId="0" xfId="0" applyFont="1"/>
    <xf numFmtId="0" fontId="5" fillId="0" borderId="7" xfId="0" applyFont="1" applyBorder="1" applyAlignment="1">
      <alignment vertical="center"/>
    </xf>
    <xf numFmtId="0" fontId="5" fillId="0" borderId="0" xfId="0" applyFont="1" applyAlignment="1">
      <alignment vertical="center"/>
    </xf>
    <xf numFmtId="0" fontId="33" fillId="20" borderId="1" xfId="0" applyFont="1" applyFill="1" applyBorder="1" applyAlignment="1">
      <alignment horizontal="center" vertical="center"/>
    </xf>
    <xf numFmtId="0" fontId="34" fillId="0" borderId="12" xfId="0" applyFont="1" applyBorder="1" applyAlignment="1">
      <alignment horizontal="center" vertical="center"/>
    </xf>
    <xf numFmtId="0" fontId="18" fillId="0" borderId="12" xfId="0" applyFont="1" applyBorder="1" applyAlignment="1">
      <alignment horizontal="center" vertical="center"/>
    </xf>
    <xf numFmtId="0" fontId="6" fillId="5" borderId="26" xfId="0" applyFont="1" applyFill="1" applyBorder="1" applyAlignment="1">
      <alignment horizontal="center" vertical="center"/>
    </xf>
    <xf numFmtId="0" fontId="6" fillId="5" borderId="26" xfId="0" applyFont="1" applyFill="1" applyBorder="1" applyAlignment="1">
      <alignment horizontal="center" vertical="center" wrapText="1"/>
    </xf>
    <xf numFmtId="0" fontId="0" fillId="0" borderId="0" xfId="0" applyAlignment="1">
      <alignment horizontal="center" vertical="center"/>
    </xf>
    <xf numFmtId="0" fontId="48" fillId="28" borderId="0" xfId="0" applyFont="1" applyFill="1"/>
    <xf numFmtId="0" fontId="53" fillId="29" borderId="0" xfId="0" applyFont="1" applyFill="1"/>
    <xf numFmtId="178" fontId="48" fillId="28" borderId="0" xfId="0" applyNumberFormat="1" applyFont="1" applyFill="1"/>
    <xf numFmtId="0" fontId="54" fillId="30" borderId="0" xfId="0" applyFont="1" applyFill="1"/>
    <xf numFmtId="0" fontId="54" fillId="30" borderId="46" xfId="0" applyFont="1" applyFill="1" applyBorder="1"/>
    <xf numFmtId="0" fontId="54" fillId="30" borderId="52" xfId="0" applyFont="1" applyFill="1" applyBorder="1"/>
    <xf numFmtId="0" fontId="54" fillId="30" borderId="55" xfId="0" applyFont="1" applyFill="1" applyBorder="1"/>
    <xf numFmtId="0" fontId="54" fillId="30" borderId="56" xfId="0" applyFont="1" applyFill="1" applyBorder="1"/>
    <xf numFmtId="0" fontId="54" fillId="30" borderId="57" xfId="0" applyFont="1" applyFill="1" applyBorder="1"/>
    <xf numFmtId="0" fontId="22" fillId="0" borderId="0" xfId="0" applyFont="1" applyAlignment="1">
      <alignment horizontal="center" vertical="center"/>
    </xf>
    <xf numFmtId="0" fontId="0" fillId="35" borderId="58" xfId="0" applyFill="1" applyBorder="1"/>
    <xf numFmtId="178" fontId="0" fillId="35" borderId="58" xfId="0" applyNumberFormat="1" applyFill="1" applyBorder="1"/>
    <xf numFmtId="0" fontId="0" fillId="33" borderId="58" xfId="0" applyFill="1" applyBorder="1"/>
    <xf numFmtId="178" fontId="0" fillId="33" borderId="58" xfId="0" applyNumberFormat="1" applyFill="1" applyBorder="1"/>
    <xf numFmtId="1" fontId="0" fillId="35" borderId="58" xfId="0" applyNumberFormat="1" applyFill="1" applyBorder="1"/>
    <xf numFmtId="1" fontId="0" fillId="33" borderId="58" xfId="0" applyNumberFormat="1" applyFill="1" applyBorder="1"/>
    <xf numFmtId="0" fontId="68" fillId="39" borderId="59" xfId="0" applyFont="1" applyFill="1" applyBorder="1" applyAlignment="1">
      <alignment horizontal="center" vertical="center"/>
    </xf>
    <xf numFmtId="0" fontId="2" fillId="0" borderId="0" xfId="0" applyFont="1" applyAlignment="1">
      <alignment horizontal="center" vertical="center"/>
    </xf>
    <xf numFmtId="0" fontId="69" fillId="0" borderId="0" xfId="0" applyFont="1" applyAlignment="1">
      <alignment horizontal="center" vertical="center"/>
    </xf>
    <xf numFmtId="0" fontId="71" fillId="37" borderId="59" xfId="0" applyFont="1" applyFill="1" applyBorder="1" applyAlignment="1">
      <alignment horizontal="center" vertical="center"/>
    </xf>
    <xf numFmtId="179" fontId="71" fillId="37" borderId="59" xfId="0" applyNumberFormat="1" applyFont="1" applyFill="1" applyBorder="1" applyAlignment="1">
      <alignment horizontal="center" vertical="center"/>
    </xf>
    <xf numFmtId="0" fontId="68" fillId="39" borderId="59" xfId="0" applyFont="1" applyFill="1" applyBorder="1" applyAlignment="1">
      <alignment horizontal="center" vertical="center" wrapText="1"/>
    </xf>
    <xf numFmtId="9" fontId="71" fillId="37" borderId="59" xfId="0" applyNumberFormat="1" applyFont="1" applyFill="1" applyBorder="1" applyAlignment="1">
      <alignment horizontal="center" vertical="center"/>
    </xf>
    <xf numFmtId="0" fontId="71" fillId="40" borderId="59" xfId="0" applyFont="1" applyFill="1" applyBorder="1" applyAlignment="1">
      <alignment horizontal="center" vertical="center"/>
    </xf>
    <xf numFmtId="0" fontId="71" fillId="33" borderId="59" xfId="0" applyFont="1" applyFill="1" applyBorder="1" applyAlignment="1">
      <alignment horizontal="center" vertical="center" wrapText="1"/>
    </xf>
    <xf numFmtId="9" fontId="71" fillId="33" borderId="59" xfId="0" applyNumberFormat="1" applyFont="1" applyFill="1" applyBorder="1" applyAlignment="1">
      <alignment horizontal="center" vertical="center" wrapText="1"/>
    </xf>
    <xf numFmtId="179" fontId="71" fillId="33" borderId="59" xfId="0" applyNumberFormat="1" applyFont="1" applyFill="1" applyBorder="1" applyAlignment="1">
      <alignment horizontal="center" vertical="center" wrapText="1"/>
    </xf>
    <xf numFmtId="1" fontId="71" fillId="33" borderId="59" xfId="0" applyNumberFormat="1" applyFont="1" applyFill="1" applyBorder="1" applyAlignment="1">
      <alignment horizontal="center" vertical="center" wrapText="1"/>
    </xf>
    <xf numFmtId="0" fontId="73" fillId="0" borderId="0" xfId="0" applyFont="1" applyAlignment="1">
      <alignment horizontal="center" vertical="center"/>
    </xf>
    <xf numFmtId="0" fontId="70" fillId="0" borderId="0" xfId="0" applyFont="1" applyAlignment="1">
      <alignment horizontal="center" vertical="center"/>
    </xf>
    <xf numFmtId="0" fontId="72" fillId="36" borderId="0" xfId="0" applyFont="1" applyFill="1" applyAlignment="1">
      <alignment horizontal="center" vertical="center" wrapText="1"/>
    </xf>
    <xf numFmtId="0" fontId="68" fillId="40" borderId="59" xfId="0" applyFont="1" applyFill="1" applyBorder="1" applyAlignment="1">
      <alignment horizontal="center" vertical="center"/>
    </xf>
    <xf numFmtId="0" fontId="68" fillId="39" borderId="61" xfId="0" applyFont="1" applyFill="1" applyBorder="1" applyAlignment="1">
      <alignment horizontal="center" vertical="center"/>
    </xf>
    <xf numFmtId="49" fontId="67" fillId="0" borderId="0" xfId="0" applyNumberFormat="1" applyFont="1" applyAlignment="1">
      <alignment horizontal="center"/>
    </xf>
    <xf numFmtId="0" fontId="67" fillId="0" borderId="0" xfId="0" applyFont="1" applyAlignment="1">
      <alignment horizontal="center"/>
    </xf>
    <xf numFmtId="0" fontId="0" fillId="0" borderId="0" xfId="0" applyAlignment="1">
      <alignment horizontal="center"/>
    </xf>
    <xf numFmtId="0" fontId="79" fillId="37" borderId="59" xfId="0" applyFont="1" applyFill="1" applyBorder="1" applyAlignment="1">
      <alignment horizontal="center" vertical="center"/>
    </xf>
    <xf numFmtId="0" fontId="78" fillId="37" borderId="59" xfId="0" applyFont="1" applyFill="1" applyBorder="1" applyAlignment="1">
      <alignment horizontal="center" vertical="center" wrapText="1"/>
    </xf>
    <xf numFmtId="0" fontId="71" fillId="37" borderId="59" xfId="0" applyFont="1" applyFill="1" applyBorder="1" applyAlignment="1">
      <alignment horizontal="center" vertical="center" wrapText="1"/>
    </xf>
    <xf numFmtId="0" fontId="78" fillId="37" borderId="59" xfId="0" applyFont="1" applyFill="1" applyBorder="1" applyAlignment="1">
      <alignment horizontal="center" vertical="center"/>
    </xf>
    <xf numFmtId="0" fontId="79" fillId="37" borderId="59" xfId="0" applyFont="1" applyFill="1" applyBorder="1" applyAlignment="1">
      <alignment horizontal="center" vertical="center" wrapText="1"/>
    </xf>
    <xf numFmtId="179" fontId="68" fillId="40" borderId="59" xfId="0" applyNumberFormat="1" applyFont="1" applyFill="1" applyBorder="1" applyAlignment="1">
      <alignment horizontal="center" vertical="center"/>
    </xf>
    <xf numFmtId="9" fontId="2" fillId="40" borderId="59" xfId="0" applyNumberFormat="1" applyFont="1" applyFill="1" applyBorder="1" applyAlignment="1">
      <alignment horizontal="center" vertical="center"/>
    </xf>
    <xf numFmtId="0" fontId="2" fillId="40" borderId="59" xfId="0" applyFont="1" applyFill="1" applyBorder="1" applyAlignment="1">
      <alignment horizontal="center" vertical="center"/>
    </xf>
    <xf numFmtId="0" fontId="77" fillId="40" borderId="59" xfId="0" applyFont="1" applyFill="1" applyBorder="1" applyAlignment="1">
      <alignment horizontal="center" vertical="center"/>
    </xf>
    <xf numFmtId="0" fontId="77" fillId="41" borderId="59" xfId="0" applyFont="1" applyFill="1" applyBorder="1" applyAlignment="1">
      <alignment horizontal="center" vertical="center"/>
    </xf>
    <xf numFmtId="179" fontId="68" fillId="39" borderId="59" xfId="0" applyNumberFormat="1" applyFont="1" applyFill="1" applyBorder="1" applyAlignment="1">
      <alignment horizontal="center" vertical="center"/>
    </xf>
    <xf numFmtId="0" fontId="68" fillId="39" borderId="60" xfId="0" applyFont="1" applyFill="1" applyBorder="1" applyAlignment="1">
      <alignment horizontal="center" vertical="center"/>
    </xf>
    <xf numFmtId="9" fontId="77" fillId="40" borderId="59" xfId="0" applyNumberFormat="1" applyFont="1" applyFill="1" applyBorder="1" applyAlignment="1">
      <alignment horizontal="center" vertical="center"/>
    </xf>
    <xf numFmtId="0" fontId="68" fillId="39" borderId="64" xfId="0" applyFont="1" applyFill="1" applyBorder="1" applyAlignment="1">
      <alignment horizontal="center" vertical="center"/>
    </xf>
    <xf numFmtId="49" fontId="77" fillId="41" borderId="59" xfId="0" quotePrefix="1" applyNumberFormat="1" applyFont="1" applyFill="1" applyBorder="1" applyAlignment="1">
      <alignment horizontal="center" vertical="center"/>
    </xf>
    <xf numFmtId="0" fontId="68" fillId="39" borderId="65" xfId="0" applyFont="1" applyFill="1" applyBorder="1" applyAlignment="1">
      <alignment horizontal="center" vertical="center"/>
    </xf>
    <xf numFmtId="179" fontId="77" fillId="37" borderId="60" xfId="0" applyNumberFormat="1" applyFont="1" applyFill="1" applyBorder="1" applyAlignment="1">
      <alignment horizontal="center" vertical="center"/>
    </xf>
    <xf numFmtId="179" fontId="68" fillId="39" borderId="60" xfId="0" applyNumberFormat="1" applyFont="1" applyFill="1" applyBorder="1" applyAlignment="1">
      <alignment horizontal="center" vertical="center"/>
    </xf>
    <xf numFmtId="49" fontId="77" fillId="41" borderId="63" xfId="0" quotePrefix="1" applyNumberFormat="1" applyFont="1" applyFill="1" applyBorder="1" applyAlignment="1">
      <alignment horizontal="center" vertical="center"/>
    </xf>
    <xf numFmtId="0" fontId="14" fillId="0" borderId="4" xfId="0" applyFont="1" applyBorder="1" applyAlignment="1">
      <alignment horizontal="center" vertical="center"/>
    </xf>
    <xf numFmtId="0" fontId="14" fillId="0" borderId="5" xfId="0" applyFont="1" applyBorder="1" applyAlignment="1">
      <alignment horizontal="center" vertical="center"/>
    </xf>
    <xf numFmtId="0" fontId="14" fillId="0" borderId="7" xfId="0" applyFont="1" applyBorder="1" applyAlignment="1">
      <alignment horizontal="center" vertical="center"/>
    </xf>
    <xf numFmtId="0" fontId="14" fillId="0" borderId="0" xfId="0" applyFont="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0" fillId="19" borderId="4" xfId="0" applyFont="1" applyFill="1" applyBorder="1" applyAlignment="1">
      <alignment horizontal="center" vertical="center"/>
    </xf>
    <xf numFmtId="0" fontId="30" fillId="19" borderId="5" xfId="0" applyFont="1" applyFill="1" applyBorder="1" applyAlignment="1">
      <alignment horizontal="center" vertical="center"/>
    </xf>
    <xf numFmtId="0" fontId="30" fillId="19" borderId="6" xfId="0" applyFont="1" applyFill="1" applyBorder="1" applyAlignment="1">
      <alignment horizontal="center" vertical="center"/>
    </xf>
    <xf numFmtId="0" fontId="30" fillId="19" borderId="9" xfId="0" applyFont="1" applyFill="1" applyBorder="1" applyAlignment="1">
      <alignment horizontal="center" vertical="center"/>
    </xf>
    <xf numFmtId="0" fontId="30" fillId="19" borderId="10" xfId="0" applyFont="1" applyFill="1" applyBorder="1" applyAlignment="1">
      <alignment horizontal="center" vertical="center"/>
    </xf>
    <xf numFmtId="0" fontId="30" fillId="19" borderId="11" xfId="0" applyFont="1" applyFill="1" applyBorder="1" applyAlignment="1">
      <alignment horizontal="center" vertical="center"/>
    </xf>
    <xf numFmtId="0" fontId="11" fillId="5" borderId="7" xfId="0" applyFont="1" applyFill="1" applyBorder="1" applyAlignment="1">
      <alignment horizontal="center" vertical="center" wrapText="1"/>
    </xf>
    <xf numFmtId="0" fontId="11" fillId="5" borderId="0" xfId="0" applyFont="1" applyFill="1" applyAlignment="1">
      <alignment horizontal="center" vertical="center" wrapText="1"/>
    </xf>
    <xf numFmtId="0" fontId="11" fillId="5" borderId="8" xfId="0" applyFont="1" applyFill="1" applyBorder="1" applyAlignment="1">
      <alignment horizontal="center" vertical="center" wrapText="1"/>
    </xf>
    <xf numFmtId="1" fontId="12" fillId="0" borderId="7" xfId="1" applyNumberFormat="1" applyFont="1" applyBorder="1" applyAlignment="1">
      <alignment horizontal="center" vertical="center"/>
    </xf>
    <xf numFmtId="1" fontId="12" fillId="0" borderId="8" xfId="1" applyNumberFormat="1" applyFont="1" applyBorder="1" applyAlignment="1">
      <alignment horizontal="center" vertical="center"/>
    </xf>
    <xf numFmtId="0" fontId="12" fillId="10" borderId="7" xfId="0" applyFont="1" applyFill="1" applyBorder="1" applyAlignment="1">
      <alignment horizontal="center" vertical="center"/>
    </xf>
    <xf numFmtId="0" fontId="12" fillId="10" borderId="0" xfId="0" applyFont="1" applyFill="1" applyAlignment="1">
      <alignment horizontal="center" vertical="center"/>
    </xf>
    <xf numFmtId="0" fontId="12" fillId="10" borderId="8"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9" fontId="8" fillId="0" borderId="1" xfId="0" applyNumberFormat="1" applyFont="1" applyBorder="1" applyAlignment="1">
      <alignment horizontal="center" vertical="center" wrapText="1"/>
    </xf>
    <xf numFmtId="9" fontId="8" fillId="0" borderId="3" xfId="0" applyNumberFormat="1" applyFont="1" applyBorder="1" applyAlignment="1">
      <alignment horizontal="center" vertical="center" wrapText="1"/>
    </xf>
    <xf numFmtId="10" fontId="14" fillId="12" borderId="7" xfId="0" applyNumberFormat="1" applyFont="1" applyFill="1" applyBorder="1" applyAlignment="1">
      <alignment horizontal="center" vertical="center"/>
    </xf>
    <xf numFmtId="10" fontId="14" fillId="12" borderId="0" xfId="0" applyNumberFormat="1" applyFont="1" applyFill="1" applyAlignment="1">
      <alignment horizontal="center" vertical="center"/>
    </xf>
    <xf numFmtId="10" fontId="14" fillId="12" borderId="8" xfId="0" applyNumberFormat="1" applyFont="1" applyFill="1" applyBorder="1" applyAlignment="1">
      <alignment horizontal="center" vertical="center"/>
    </xf>
    <xf numFmtId="1" fontId="12" fillId="0" borderId="32" xfId="1" applyNumberFormat="1" applyFont="1" applyBorder="1" applyAlignment="1">
      <alignment horizontal="center" vertical="center"/>
    </xf>
    <xf numFmtId="1" fontId="12" fillId="0" borderId="33" xfId="1" applyNumberFormat="1" applyFont="1" applyBorder="1" applyAlignment="1">
      <alignment horizontal="center" vertical="center"/>
    </xf>
    <xf numFmtId="0" fontId="38" fillId="3" borderId="0" xfId="0" applyFont="1" applyFill="1" applyAlignment="1">
      <alignment horizontal="center" vertical="center"/>
    </xf>
    <xf numFmtId="0" fontId="38" fillId="3" borderId="8" xfId="0" applyFont="1" applyFill="1" applyBorder="1" applyAlignment="1">
      <alignment horizontal="center" vertical="center"/>
    </xf>
    <xf numFmtId="0" fontId="11" fillId="5" borderId="14" xfId="0" applyFont="1" applyFill="1" applyBorder="1" applyAlignment="1">
      <alignment horizontal="center" vertical="center" wrapText="1"/>
    </xf>
    <xf numFmtId="0" fontId="11" fillId="5" borderId="27" xfId="0" applyFont="1" applyFill="1" applyBorder="1" applyAlignment="1">
      <alignment horizontal="center" vertical="center" wrapText="1"/>
    </xf>
    <xf numFmtId="1" fontId="12" fillId="0" borderId="14" xfId="1" applyNumberFormat="1" applyFont="1" applyBorder="1" applyAlignment="1">
      <alignment horizontal="center" vertical="center"/>
    </xf>
    <xf numFmtId="1" fontId="12" fillId="0" borderId="27" xfId="1" applyNumberFormat="1" applyFont="1" applyBorder="1" applyAlignment="1">
      <alignment horizontal="center" vertical="center"/>
    </xf>
    <xf numFmtId="0" fontId="8" fillId="0" borderId="4" xfId="0" applyFont="1" applyBorder="1" applyAlignment="1">
      <alignment horizontal="center" vertical="center" wrapText="1"/>
    </xf>
    <xf numFmtId="0" fontId="8" fillId="0" borderId="5" xfId="0" applyFont="1" applyBorder="1" applyAlignment="1">
      <alignment horizontal="center" vertical="center" wrapText="1"/>
    </xf>
    <xf numFmtId="0" fontId="8" fillId="0" borderId="6" xfId="0" applyFont="1" applyBorder="1" applyAlignment="1">
      <alignment horizontal="center" vertical="center" wrapText="1"/>
    </xf>
    <xf numFmtId="10" fontId="10" fillId="12" borderId="7" xfId="0" applyNumberFormat="1" applyFont="1" applyFill="1" applyBorder="1" applyAlignment="1">
      <alignment horizontal="center" vertical="center"/>
    </xf>
    <xf numFmtId="10" fontId="10" fillId="12" borderId="0" xfId="0" applyNumberFormat="1" applyFont="1" applyFill="1" applyAlignment="1">
      <alignment horizontal="center" vertical="center"/>
    </xf>
    <xf numFmtId="10" fontId="10" fillId="12" borderId="8" xfId="0" applyNumberFormat="1" applyFont="1" applyFill="1" applyBorder="1" applyAlignment="1">
      <alignment horizontal="center" vertical="center"/>
    </xf>
    <xf numFmtId="10" fontId="10" fillId="12" borderId="9" xfId="0" applyNumberFormat="1" applyFont="1" applyFill="1" applyBorder="1" applyAlignment="1">
      <alignment horizontal="center" vertical="center"/>
    </xf>
    <xf numFmtId="10" fontId="10" fillId="12" borderId="10" xfId="0" applyNumberFormat="1" applyFont="1" applyFill="1" applyBorder="1" applyAlignment="1">
      <alignment horizontal="center" vertical="center"/>
    </xf>
    <xf numFmtId="10" fontId="10" fillId="12" borderId="11" xfId="0" applyNumberFormat="1" applyFont="1" applyFill="1" applyBorder="1" applyAlignment="1">
      <alignment horizontal="center" vertical="center"/>
    </xf>
    <xf numFmtId="0" fontId="28" fillId="7" borderId="0" xfId="0" applyFont="1" applyFill="1" applyAlignment="1">
      <alignment horizontal="center" vertical="center"/>
    </xf>
    <xf numFmtId="0" fontId="28" fillId="7" borderId="8" xfId="0" applyFont="1" applyFill="1" applyBorder="1" applyAlignment="1">
      <alignment horizontal="center" vertical="center"/>
    </xf>
    <xf numFmtId="0" fontId="51" fillId="0" borderId="7" xfId="0" applyFont="1" applyBorder="1" applyAlignment="1">
      <alignment horizontal="center" vertical="center" wrapText="1"/>
    </xf>
    <xf numFmtId="0" fontId="51" fillId="0" borderId="0" xfId="0" applyFont="1" applyAlignment="1">
      <alignment horizontal="center" vertical="center" wrapText="1"/>
    </xf>
    <xf numFmtId="0" fontId="51" fillId="0" borderId="8" xfId="0" applyFont="1" applyBorder="1" applyAlignment="1">
      <alignment horizontal="center" vertical="center" wrapText="1"/>
    </xf>
    <xf numFmtId="0" fontId="51" fillId="0" borderId="9" xfId="0" applyFont="1" applyBorder="1" applyAlignment="1">
      <alignment horizontal="center" vertical="center" wrapText="1"/>
    </xf>
    <xf numFmtId="0" fontId="51" fillId="0" borderId="10" xfId="0" applyFont="1" applyBorder="1" applyAlignment="1">
      <alignment horizontal="center" vertical="center" wrapText="1"/>
    </xf>
    <xf numFmtId="0" fontId="51" fillId="0" borderId="11" xfId="0" applyFont="1" applyBorder="1" applyAlignment="1">
      <alignment horizontal="center" vertical="center" wrapText="1"/>
    </xf>
    <xf numFmtId="0" fontId="11" fillId="5" borderId="9" xfId="0" applyFont="1" applyFill="1" applyBorder="1" applyAlignment="1">
      <alignment horizontal="center" vertical="center" wrapText="1"/>
    </xf>
    <xf numFmtId="0" fontId="11" fillId="5" borderId="10" xfId="0" applyFont="1" applyFill="1" applyBorder="1" applyAlignment="1">
      <alignment horizontal="center" vertical="center" wrapText="1"/>
    </xf>
    <xf numFmtId="0" fontId="11" fillId="5" borderId="11" xfId="0" applyFont="1" applyFill="1" applyBorder="1" applyAlignment="1">
      <alignment horizontal="center" vertical="center" wrapText="1"/>
    </xf>
    <xf numFmtId="0" fontId="12" fillId="0" borderId="4" xfId="0" applyFont="1" applyBorder="1" applyAlignment="1">
      <alignment horizontal="center" vertical="center"/>
    </xf>
    <xf numFmtId="0" fontId="12" fillId="0" borderId="6" xfId="0" applyFont="1" applyBorder="1" applyAlignment="1">
      <alignment horizontal="center" vertical="center"/>
    </xf>
    <xf numFmtId="10" fontId="14" fillId="8" borderId="7" xfId="0" applyNumberFormat="1" applyFont="1" applyFill="1" applyBorder="1" applyAlignment="1">
      <alignment horizontal="center" vertical="center"/>
    </xf>
    <xf numFmtId="10" fontId="14" fillId="8" borderId="0" xfId="0" applyNumberFormat="1" applyFont="1" applyFill="1" applyAlignment="1">
      <alignment horizontal="center" vertical="center"/>
    </xf>
    <xf numFmtId="10" fontId="14" fillId="8" borderId="8" xfId="0" applyNumberFormat="1" applyFont="1" applyFill="1" applyBorder="1" applyAlignment="1">
      <alignment horizontal="center" vertical="center"/>
    </xf>
    <xf numFmtId="10" fontId="10" fillId="8" borderId="7" xfId="0" applyNumberFormat="1" applyFont="1" applyFill="1" applyBorder="1" applyAlignment="1">
      <alignment horizontal="center" vertical="center"/>
    </xf>
    <xf numFmtId="10" fontId="10" fillId="8" borderId="0" xfId="0" applyNumberFormat="1" applyFont="1" applyFill="1" applyAlignment="1">
      <alignment horizontal="center" vertical="center"/>
    </xf>
    <xf numFmtId="10" fontId="10" fillId="8" borderId="8" xfId="0" applyNumberFormat="1" applyFont="1" applyFill="1" applyBorder="1" applyAlignment="1">
      <alignment horizontal="center" vertical="center"/>
    </xf>
    <xf numFmtId="0" fontId="9" fillId="9" borderId="1" xfId="0" applyFont="1" applyFill="1" applyBorder="1" applyAlignment="1">
      <alignment horizontal="center" vertical="center"/>
    </xf>
    <xf numFmtId="0" fontId="9" fillId="9" borderId="2" xfId="0" applyFont="1" applyFill="1" applyBorder="1" applyAlignment="1">
      <alignment horizontal="center" vertical="center"/>
    </xf>
    <xf numFmtId="0" fontId="9" fillId="9" borderId="3" xfId="0" applyFont="1" applyFill="1" applyBorder="1" applyAlignment="1">
      <alignment horizontal="center" vertical="center"/>
    </xf>
    <xf numFmtId="0" fontId="6" fillId="0" borderId="1" xfId="0" applyFont="1" applyBorder="1" applyAlignment="1">
      <alignment horizontal="center" vertical="center"/>
    </xf>
    <xf numFmtId="0" fontId="6" fillId="0" borderId="2" xfId="0" applyFont="1" applyBorder="1" applyAlignment="1">
      <alignment horizontal="center" vertical="center"/>
    </xf>
    <xf numFmtId="0" fontId="6" fillId="0" borderId="3" xfId="0" applyFont="1" applyBorder="1" applyAlignment="1">
      <alignment horizontal="center" vertical="center"/>
    </xf>
    <xf numFmtId="0" fontId="4" fillId="13" borderId="1" xfId="0" applyFont="1" applyFill="1" applyBorder="1" applyAlignment="1">
      <alignment horizontal="center" vertical="center"/>
    </xf>
    <xf numFmtId="0" fontId="4" fillId="13" borderId="2" xfId="0" applyFont="1" applyFill="1" applyBorder="1" applyAlignment="1">
      <alignment horizontal="center" vertical="center"/>
    </xf>
    <xf numFmtId="0" fontId="4" fillId="13" borderId="3" xfId="0" applyFont="1" applyFill="1" applyBorder="1" applyAlignment="1">
      <alignment horizontal="center" vertical="center"/>
    </xf>
    <xf numFmtId="10" fontId="14" fillId="11" borderId="4" xfId="0" applyNumberFormat="1" applyFont="1" applyFill="1" applyBorder="1" applyAlignment="1">
      <alignment horizontal="center" vertical="center"/>
    </xf>
    <xf numFmtId="10" fontId="14" fillId="11" borderId="5" xfId="0" applyNumberFormat="1" applyFont="1" applyFill="1" applyBorder="1" applyAlignment="1">
      <alignment horizontal="center" vertical="center"/>
    </xf>
    <xf numFmtId="10" fontId="14" fillId="11" borderId="6" xfId="0" applyNumberFormat="1" applyFont="1" applyFill="1" applyBorder="1" applyAlignment="1">
      <alignment horizontal="center" vertical="center"/>
    </xf>
    <xf numFmtId="10" fontId="14" fillId="11" borderId="7" xfId="0" applyNumberFormat="1" applyFont="1" applyFill="1" applyBorder="1" applyAlignment="1">
      <alignment horizontal="center" vertical="center"/>
    </xf>
    <xf numFmtId="10" fontId="14" fillId="11" borderId="0" xfId="0" applyNumberFormat="1" applyFont="1" applyFill="1" applyAlignment="1">
      <alignment horizontal="center" vertical="center"/>
    </xf>
    <xf numFmtId="10" fontId="14" fillId="11" borderId="8" xfId="0" applyNumberFormat="1" applyFont="1" applyFill="1" applyBorder="1" applyAlignment="1">
      <alignment horizontal="center" vertical="center"/>
    </xf>
    <xf numFmtId="10" fontId="10" fillId="11" borderId="7" xfId="0" applyNumberFormat="1" applyFont="1" applyFill="1" applyBorder="1" applyAlignment="1">
      <alignment horizontal="center" vertical="center"/>
    </xf>
    <xf numFmtId="10" fontId="10" fillId="11" borderId="0" xfId="0" applyNumberFormat="1" applyFont="1" applyFill="1" applyAlignment="1">
      <alignment horizontal="center" vertical="center"/>
    </xf>
    <xf numFmtId="10" fontId="10" fillId="11" borderId="8" xfId="0" applyNumberFormat="1" applyFont="1" applyFill="1" applyBorder="1" applyAlignment="1">
      <alignment horizontal="center" vertical="center"/>
    </xf>
    <xf numFmtId="0" fontId="6" fillId="0" borderId="0" xfId="0" applyFont="1" applyAlignment="1">
      <alignment horizontal="center" vertical="center" wrapText="1"/>
    </xf>
    <xf numFmtId="0" fontId="8" fillId="0" borderId="7" xfId="0" applyFont="1" applyBorder="1" applyAlignment="1">
      <alignment horizontal="center" vertical="center" wrapText="1"/>
    </xf>
    <xf numFmtId="0" fontId="8" fillId="0" borderId="0" xfId="0" applyFont="1" applyAlignment="1">
      <alignment horizontal="center" vertical="center" wrapText="1"/>
    </xf>
    <xf numFmtId="0" fontId="8" fillId="0" borderId="8" xfId="0" applyFont="1" applyBorder="1" applyAlignment="1">
      <alignment horizontal="center" vertical="center" wrapText="1"/>
    </xf>
    <xf numFmtId="0" fontId="8" fillId="0" borderId="9" xfId="0" applyFont="1" applyBorder="1" applyAlignment="1">
      <alignment horizontal="center" vertical="center" wrapText="1"/>
    </xf>
    <xf numFmtId="0" fontId="8" fillId="0" borderId="10" xfId="0" applyFont="1" applyBorder="1" applyAlignment="1">
      <alignment horizontal="center" vertical="center" wrapText="1"/>
    </xf>
    <xf numFmtId="0" fontId="8" fillId="0" borderId="11" xfId="0" applyFont="1" applyBorder="1" applyAlignment="1">
      <alignment horizontal="center" vertical="center" wrapText="1"/>
    </xf>
    <xf numFmtId="0" fontId="6" fillId="0" borderId="5" xfId="0" applyFont="1" applyBorder="1" applyAlignment="1">
      <alignment horizontal="center" vertical="center" wrapText="1"/>
    </xf>
    <xf numFmtId="0" fontId="36" fillId="0" borderId="5" xfId="0" applyFont="1" applyBorder="1" applyAlignment="1">
      <alignment horizontal="center" vertical="center" wrapText="1"/>
    </xf>
    <xf numFmtId="0" fontId="36" fillId="0" borderId="6" xfId="0" applyFont="1" applyBorder="1" applyAlignment="1">
      <alignment horizontal="center" vertical="center" wrapText="1"/>
    </xf>
    <xf numFmtId="0" fontId="36" fillId="0" borderId="10" xfId="0" applyFont="1" applyBorder="1" applyAlignment="1">
      <alignment horizontal="center" vertical="center" wrapText="1"/>
    </xf>
    <xf numFmtId="0" fontId="36" fillId="0" borderId="11" xfId="0" applyFont="1" applyBorder="1" applyAlignment="1">
      <alignment horizontal="center" vertical="center" wrapText="1"/>
    </xf>
    <xf numFmtId="44" fontId="46" fillId="6" borderId="4" xfId="6" applyFont="1" applyFill="1" applyBorder="1" applyAlignment="1">
      <alignment horizontal="center" vertical="center" wrapText="1"/>
    </xf>
    <xf numFmtId="44" fontId="46" fillId="6" borderId="5" xfId="6" applyFont="1" applyFill="1" applyBorder="1" applyAlignment="1">
      <alignment horizontal="center" vertical="center" wrapText="1"/>
    </xf>
    <xf numFmtId="44" fontId="46" fillId="6" borderId="6" xfId="6" applyFont="1" applyFill="1" applyBorder="1" applyAlignment="1">
      <alignment horizontal="center" vertical="center" wrapText="1"/>
    </xf>
    <xf numFmtId="44" fontId="46" fillId="6" borderId="9" xfId="6" applyFont="1" applyFill="1" applyBorder="1" applyAlignment="1">
      <alignment horizontal="center" vertical="center" wrapText="1"/>
    </xf>
    <xf numFmtId="44" fontId="46" fillId="6" borderId="10" xfId="6" applyFont="1" applyFill="1" applyBorder="1" applyAlignment="1">
      <alignment horizontal="center" vertical="center" wrapText="1"/>
    </xf>
    <xf numFmtId="44" fontId="46" fillId="6" borderId="11" xfId="6" applyFont="1" applyFill="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7" xfId="0" applyFont="1" applyBorder="1" applyAlignment="1">
      <alignment horizontal="center" vertical="center" wrapText="1"/>
    </xf>
    <xf numFmtId="0" fontId="35" fillId="0" borderId="0" xfId="0" applyFont="1" applyAlignment="1">
      <alignment horizontal="center" vertical="center" wrapText="1"/>
    </xf>
    <xf numFmtId="0" fontId="35" fillId="0" borderId="8" xfId="0" applyFont="1" applyBorder="1" applyAlignment="1">
      <alignment horizontal="center" vertical="center" wrapText="1"/>
    </xf>
    <xf numFmtId="0" fontId="35" fillId="0" borderId="9" xfId="0" applyFont="1" applyBorder="1" applyAlignment="1">
      <alignment horizontal="center" vertical="center" wrapText="1"/>
    </xf>
    <xf numFmtId="0" fontId="35" fillId="0" borderId="10" xfId="0" applyFont="1" applyBorder="1" applyAlignment="1">
      <alignment horizontal="center" vertical="center" wrapText="1"/>
    </xf>
    <xf numFmtId="0" fontId="35" fillId="0" borderId="11" xfId="0" applyFont="1" applyBorder="1" applyAlignment="1">
      <alignment horizontal="center" vertical="center" wrapText="1"/>
    </xf>
    <xf numFmtId="0" fontId="45" fillId="0" borderId="4" xfId="0" applyFont="1" applyBorder="1" applyAlignment="1">
      <alignment horizontal="center" vertical="center" wrapText="1"/>
    </xf>
    <xf numFmtId="0" fontId="45" fillId="0" borderId="9" xfId="0" applyFont="1" applyBorder="1" applyAlignment="1">
      <alignment horizontal="center" vertical="center" wrapText="1"/>
    </xf>
    <xf numFmtId="0" fontId="18" fillId="6" borderId="4" xfId="0" applyFont="1" applyFill="1" applyBorder="1" applyAlignment="1">
      <alignment horizontal="center" vertical="center" wrapText="1"/>
    </xf>
    <xf numFmtId="0" fontId="18" fillId="6" borderId="5" xfId="0" applyFont="1" applyFill="1" applyBorder="1" applyAlignment="1">
      <alignment horizontal="center" vertical="center" wrapText="1"/>
    </xf>
    <xf numFmtId="0" fontId="18" fillId="6" borderId="6" xfId="0" applyFont="1" applyFill="1" applyBorder="1" applyAlignment="1">
      <alignment horizontal="center" vertical="center" wrapText="1"/>
    </xf>
    <xf numFmtId="0" fontId="18" fillId="6" borderId="9" xfId="0" applyFont="1" applyFill="1" applyBorder="1" applyAlignment="1">
      <alignment horizontal="center" vertical="center" wrapText="1"/>
    </xf>
    <xf numFmtId="0" fontId="18" fillId="6" borderId="10" xfId="0" applyFont="1" applyFill="1" applyBorder="1" applyAlignment="1">
      <alignment horizontal="center" vertical="center" wrapText="1"/>
    </xf>
    <xf numFmtId="0" fontId="18" fillId="6" borderId="11"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5" borderId="0" xfId="0" applyFont="1" applyFill="1" applyAlignment="1">
      <alignment horizontal="center" vertical="center" wrapText="1"/>
    </xf>
    <xf numFmtId="0" fontId="2" fillId="5" borderId="8" xfId="0" applyFont="1" applyFill="1" applyBorder="1" applyAlignment="1">
      <alignment horizontal="center" vertical="center" wrapText="1"/>
    </xf>
    <xf numFmtId="0" fontId="29" fillId="4" borderId="7" xfId="0" applyFont="1" applyFill="1" applyBorder="1" applyAlignment="1">
      <alignment horizontal="center" vertical="center"/>
    </xf>
    <xf numFmtId="0" fontId="29" fillId="4" borderId="0" xfId="0" applyFont="1" applyFill="1" applyAlignment="1">
      <alignment horizontal="center" vertical="center"/>
    </xf>
    <xf numFmtId="0" fontId="29" fillId="4" borderId="8" xfId="0" applyFont="1" applyFill="1"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xf>
    <xf numFmtId="0" fontId="2" fillId="5" borderId="9" xfId="0" applyFont="1" applyFill="1" applyBorder="1" applyAlignment="1">
      <alignment horizontal="center" vertical="center" wrapText="1"/>
    </xf>
    <xf numFmtId="0" fontId="2" fillId="5" borderId="10" xfId="0" applyFont="1" applyFill="1" applyBorder="1" applyAlignment="1">
      <alignment horizontal="center" vertical="center" wrapText="1"/>
    </xf>
    <xf numFmtId="0" fontId="2" fillId="5" borderId="11" xfId="0" applyFont="1" applyFill="1" applyBorder="1" applyAlignment="1">
      <alignment horizontal="center" vertical="center" wrapText="1"/>
    </xf>
    <xf numFmtId="0" fontId="29" fillId="4" borderId="9" xfId="0" applyFont="1" applyFill="1" applyBorder="1" applyAlignment="1">
      <alignment horizontal="center" vertical="center"/>
    </xf>
    <xf numFmtId="0" fontId="29" fillId="4" borderId="10" xfId="0" applyFont="1" applyFill="1" applyBorder="1" applyAlignment="1">
      <alignment horizontal="center" vertical="center"/>
    </xf>
    <xf numFmtId="0" fontId="29" fillId="4" borderId="11"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6"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0" xfId="0" applyFont="1" applyFill="1" applyAlignment="1">
      <alignment horizontal="center" vertical="center"/>
    </xf>
    <xf numFmtId="0" fontId="3" fillId="2" borderId="8" xfId="0" applyFont="1" applyFill="1" applyBorder="1" applyAlignment="1">
      <alignment horizontal="center" vertical="center"/>
    </xf>
    <xf numFmtId="0" fontId="4" fillId="3" borderId="7" xfId="0" applyFont="1" applyFill="1" applyBorder="1" applyAlignment="1">
      <alignment horizontal="center" vertical="center"/>
    </xf>
    <xf numFmtId="0" fontId="4" fillId="3" borderId="0" xfId="0" applyFont="1" applyFill="1" applyAlignment="1">
      <alignment horizontal="center" vertical="center"/>
    </xf>
    <xf numFmtId="0" fontId="4" fillId="3" borderId="8" xfId="0" applyFont="1" applyFill="1" applyBorder="1" applyAlignment="1">
      <alignment horizontal="center" vertical="center"/>
    </xf>
    <xf numFmtId="0" fontId="5" fillId="13" borderId="2" xfId="0" applyFont="1" applyFill="1" applyBorder="1" applyAlignment="1">
      <alignment horizontal="center" vertical="center"/>
    </xf>
    <xf numFmtId="0" fontId="5" fillId="13" borderId="3" xfId="0" applyFont="1" applyFill="1" applyBorder="1" applyAlignment="1">
      <alignment horizontal="center" vertical="center"/>
    </xf>
    <xf numFmtId="0" fontId="5" fillId="13" borderId="1" xfId="0" applyFont="1" applyFill="1" applyBorder="1" applyAlignment="1">
      <alignment horizontal="center" vertical="center"/>
    </xf>
    <xf numFmtId="0" fontId="2" fillId="5" borderId="4" xfId="0" applyFont="1" applyFill="1" applyBorder="1" applyAlignment="1">
      <alignment horizontal="center" vertical="center" wrapText="1"/>
    </xf>
    <xf numFmtId="0" fontId="2" fillId="5" borderId="5" xfId="0" applyFont="1" applyFill="1" applyBorder="1" applyAlignment="1">
      <alignment horizontal="center" vertical="center" wrapText="1"/>
    </xf>
    <xf numFmtId="0" fontId="2" fillId="5" borderId="6" xfId="0" applyFont="1" applyFill="1" applyBorder="1" applyAlignment="1">
      <alignment horizontal="center" vertical="center" wrapText="1"/>
    </xf>
    <xf numFmtId="0" fontId="29" fillId="4" borderId="4" xfId="0" applyFont="1" applyFill="1" applyBorder="1" applyAlignment="1">
      <alignment horizontal="center" vertical="center"/>
    </xf>
    <xf numFmtId="0" fontId="29" fillId="4" borderId="5" xfId="0" applyFont="1" applyFill="1" applyBorder="1" applyAlignment="1">
      <alignment horizontal="center" vertical="center"/>
    </xf>
    <xf numFmtId="0" fontId="29" fillId="4" borderId="6" xfId="0" applyFont="1" applyFill="1" applyBorder="1" applyAlignment="1">
      <alignment horizontal="center" vertical="center"/>
    </xf>
    <xf numFmtId="0" fontId="44" fillId="0" borderId="4" xfId="0" applyFont="1" applyBorder="1" applyAlignment="1">
      <alignment horizontal="center" vertical="center" wrapText="1"/>
    </xf>
    <xf numFmtId="0" fontId="44" fillId="0" borderId="5" xfId="0" applyFont="1" applyBorder="1" applyAlignment="1">
      <alignment horizontal="center" vertical="center" wrapText="1"/>
    </xf>
    <xf numFmtId="0" fontId="44" fillId="0" borderId="6" xfId="0" applyFont="1" applyBorder="1" applyAlignment="1">
      <alignment horizontal="center" vertical="center" wrapText="1"/>
    </xf>
    <xf numFmtId="0" fontId="44" fillId="0" borderId="7" xfId="0" applyFont="1" applyBorder="1" applyAlignment="1">
      <alignment horizontal="center" vertical="center" wrapText="1"/>
    </xf>
    <xf numFmtId="0" fontId="44" fillId="0" borderId="0" xfId="0" applyFont="1" applyAlignment="1">
      <alignment horizontal="center" vertical="center" wrapText="1"/>
    </xf>
    <xf numFmtId="0" fontId="44" fillId="0" borderId="8" xfId="0" applyFont="1" applyBorder="1" applyAlignment="1">
      <alignment horizontal="center" vertical="center" wrapText="1"/>
    </xf>
    <xf numFmtId="0" fontId="44" fillId="0" borderId="9" xfId="0" applyFont="1" applyBorder="1" applyAlignment="1">
      <alignment horizontal="center" vertical="center" wrapText="1"/>
    </xf>
    <xf numFmtId="0" fontId="44" fillId="0" borderId="10" xfId="0" applyFont="1" applyBorder="1" applyAlignment="1">
      <alignment horizontal="center" vertical="center" wrapText="1"/>
    </xf>
    <xf numFmtId="0" fontId="44" fillId="0" borderId="11" xfId="0" applyFont="1" applyBorder="1" applyAlignment="1">
      <alignment horizontal="center" vertical="center" wrapText="1"/>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5" fillId="0" borderId="3" xfId="0" applyFont="1" applyBorder="1" applyAlignment="1">
      <alignment horizontal="center" vertical="center"/>
    </xf>
    <xf numFmtId="0" fontId="1" fillId="4" borderId="7" xfId="0" applyFont="1" applyFill="1" applyBorder="1" applyAlignment="1">
      <alignment horizontal="center" vertical="center"/>
    </xf>
    <xf numFmtId="0" fontId="5" fillId="0" borderId="1" xfId="0" quotePrefix="1" applyFont="1" applyBorder="1" applyAlignment="1">
      <alignment horizontal="center" vertical="center"/>
    </xf>
    <xf numFmtId="0" fontId="5" fillId="13" borderId="12" xfId="0" applyFont="1" applyFill="1" applyBorder="1" applyAlignment="1">
      <alignment horizontal="center" vertical="center"/>
    </xf>
    <xf numFmtId="0" fontId="77" fillId="40" borderId="61" xfId="0" applyFont="1" applyFill="1" applyBorder="1" applyAlignment="1">
      <alignment horizontal="center" vertical="center"/>
    </xf>
    <xf numFmtId="0" fontId="77" fillId="40" borderId="62" xfId="0" applyFont="1" applyFill="1" applyBorder="1" applyAlignment="1">
      <alignment horizontal="center" vertical="center"/>
    </xf>
    <xf numFmtId="0" fontId="77" fillId="40" borderId="63" xfId="0" applyFont="1" applyFill="1" applyBorder="1" applyAlignment="1">
      <alignment horizontal="center" vertical="center"/>
    </xf>
    <xf numFmtId="0" fontId="77" fillId="37" borderId="61" xfId="0" applyFont="1" applyFill="1" applyBorder="1" applyAlignment="1">
      <alignment horizontal="center" vertical="center"/>
    </xf>
    <xf numFmtId="0" fontId="77" fillId="37" borderId="62" xfId="0" applyFont="1" applyFill="1" applyBorder="1" applyAlignment="1">
      <alignment horizontal="center" vertical="center"/>
    </xf>
    <xf numFmtId="0" fontId="68" fillId="39" borderId="61" xfId="0" applyFont="1" applyFill="1" applyBorder="1" applyAlignment="1">
      <alignment horizontal="center" vertical="center"/>
    </xf>
    <xf numFmtId="0" fontId="68" fillId="39" borderId="62" xfId="0" applyFont="1" applyFill="1" applyBorder="1" applyAlignment="1">
      <alignment horizontal="center" vertical="center"/>
    </xf>
    <xf numFmtId="9" fontId="77" fillId="37" borderId="61" xfId="0" applyNumberFormat="1" applyFont="1" applyFill="1" applyBorder="1" applyAlignment="1">
      <alignment horizontal="center" vertical="center"/>
    </xf>
    <xf numFmtId="9" fontId="77" fillId="37" borderId="62" xfId="0" applyNumberFormat="1" applyFont="1" applyFill="1" applyBorder="1" applyAlignment="1">
      <alignment horizontal="center" vertical="center"/>
    </xf>
    <xf numFmtId="9" fontId="77" fillId="37" borderId="63" xfId="0" applyNumberFormat="1" applyFont="1" applyFill="1" applyBorder="1" applyAlignment="1">
      <alignment horizontal="center" vertical="center"/>
    </xf>
    <xf numFmtId="0" fontId="80" fillId="38" borderId="60" xfId="0" applyFont="1" applyFill="1" applyBorder="1" applyAlignment="1">
      <alignment horizontal="center" vertical="center" wrapText="1"/>
    </xf>
    <xf numFmtId="0" fontId="80" fillId="38" borderId="59" xfId="0" applyFont="1" applyFill="1" applyBorder="1" applyAlignment="1">
      <alignment horizontal="center" vertical="center" wrapText="1"/>
    </xf>
    <xf numFmtId="0" fontId="80" fillId="38" borderId="64" xfId="0" applyFont="1" applyFill="1" applyBorder="1" applyAlignment="1">
      <alignment horizontal="center" vertical="center" wrapText="1"/>
    </xf>
    <xf numFmtId="0" fontId="68" fillId="40" borderId="61" xfId="0" applyFont="1" applyFill="1" applyBorder="1" applyAlignment="1">
      <alignment horizontal="center" vertical="center"/>
    </xf>
    <xf numFmtId="0" fontId="68" fillId="40" borderId="63" xfId="0" applyFont="1" applyFill="1" applyBorder="1" applyAlignment="1">
      <alignment horizontal="center" vertical="center"/>
    </xf>
    <xf numFmtId="9" fontId="68" fillId="40" borderId="61" xfId="0" applyNumberFormat="1" applyFont="1" applyFill="1" applyBorder="1" applyAlignment="1">
      <alignment horizontal="center" vertical="center"/>
    </xf>
    <xf numFmtId="9" fontId="68" fillId="40" borderId="63" xfId="0" applyNumberFormat="1" applyFont="1" applyFill="1" applyBorder="1" applyAlignment="1">
      <alignment horizontal="center" vertical="center"/>
    </xf>
    <xf numFmtId="0" fontId="80" fillId="38" borderId="59" xfId="0" applyFont="1" applyFill="1" applyBorder="1" applyAlignment="1">
      <alignment horizontal="center" vertical="center"/>
    </xf>
    <xf numFmtId="0" fontId="77" fillId="37" borderId="64" xfId="0" applyFont="1" applyFill="1" applyBorder="1" applyAlignment="1">
      <alignment horizontal="center" vertical="center"/>
    </xf>
    <xf numFmtId="0" fontId="77" fillId="37" borderId="63" xfId="0" applyFont="1" applyFill="1" applyBorder="1" applyAlignment="1">
      <alignment horizontal="center" vertical="center"/>
    </xf>
    <xf numFmtId="0" fontId="74" fillId="36" borderId="61" xfId="0" applyFont="1" applyFill="1" applyBorder="1" applyAlignment="1">
      <alignment horizontal="center" vertical="center" wrapText="1"/>
    </xf>
    <xf numFmtId="0" fontId="74" fillId="36" borderId="62" xfId="0" applyFont="1" applyFill="1" applyBorder="1" applyAlignment="1">
      <alignment horizontal="center" vertical="center" wrapText="1"/>
    </xf>
    <xf numFmtId="0" fontId="74" fillId="36" borderId="63" xfId="0" applyFont="1" applyFill="1" applyBorder="1" applyAlignment="1">
      <alignment horizontal="center" vertical="center" wrapText="1"/>
    </xf>
    <xf numFmtId="0" fontId="80" fillId="38" borderId="60" xfId="0" applyFont="1" applyFill="1" applyBorder="1" applyAlignment="1">
      <alignment horizontal="center" vertical="center"/>
    </xf>
    <xf numFmtId="0" fontId="75" fillId="37" borderId="59" xfId="0" applyFont="1" applyFill="1" applyBorder="1" applyAlignment="1">
      <alignment horizontal="center" vertical="center"/>
    </xf>
    <xf numFmtId="179" fontId="77" fillId="40" borderId="59" xfId="0" applyNumberFormat="1" applyFont="1" applyFill="1" applyBorder="1" applyAlignment="1">
      <alignment horizontal="center" vertical="center"/>
    </xf>
    <xf numFmtId="179" fontId="77" fillId="40" borderId="60" xfId="0" applyNumberFormat="1" applyFont="1" applyFill="1" applyBorder="1" applyAlignment="1">
      <alignment horizontal="center" vertical="center"/>
    </xf>
    <xf numFmtId="0" fontId="77" fillId="40" borderId="59" xfId="0" applyFont="1" applyFill="1" applyBorder="1" applyAlignment="1">
      <alignment horizontal="center" vertical="center"/>
    </xf>
    <xf numFmtId="0" fontId="68" fillId="39" borderId="59" xfId="0" applyFont="1" applyFill="1" applyBorder="1" applyAlignment="1">
      <alignment horizontal="center" vertical="center"/>
    </xf>
    <xf numFmtId="0" fontId="77" fillId="37" borderId="60" xfId="0" applyFont="1" applyFill="1" applyBorder="1" applyAlignment="1">
      <alignment horizontal="center" vertical="center"/>
    </xf>
    <xf numFmtId="179" fontId="77" fillId="37" borderId="60" xfId="0" applyNumberFormat="1" applyFont="1" applyFill="1" applyBorder="1" applyAlignment="1">
      <alignment horizontal="center" vertical="center"/>
    </xf>
    <xf numFmtId="0" fontId="77" fillId="37" borderId="61" xfId="0" applyFont="1" applyFill="1" applyBorder="1" applyAlignment="1">
      <alignment horizontal="left" vertical="center"/>
    </xf>
    <xf numFmtId="0" fontId="77" fillId="37" borderId="62" xfId="0" applyFont="1" applyFill="1" applyBorder="1" applyAlignment="1">
      <alignment horizontal="left" vertical="center"/>
    </xf>
    <xf numFmtId="0" fontId="77" fillId="37" borderId="63" xfId="0" applyFont="1" applyFill="1" applyBorder="1" applyAlignment="1">
      <alignment horizontal="left" vertical="center"/>
    </xf>
    <xf numFmtId="0" fontId="77" fillId="40" borderId="60" xfId="0" applyFont="1" applyFill="1" applyBorder="1" applyAlignment="1">
      <alignment horizontal="center" vertical="center"/>
    </xf>
    <xf numFmtId="0" fontId="68" fillId="39" borderId="63" xfId="0" applyFont="1" applyFill="1" applyBorder="1" applyAlignment="1">
      <alignment horizontal="center" vertical="center"/>
    </xf>
    <xf numFmtId="0" fontId="76" fillId="36" borderId="59" xfId="0" applyFont="1" applyFill="1" applyBorder="1" applyAlignment="1">
      <alignment horizontal="center" vertical="center" wrapText="1"/>
    </xf>
    <xf numFmtId="0" fontId="77" fillId="39" borderId="59" xfId="0" applyFont="1" applyFill="1" applyBorder="1" applyAlignment="1">
      <alignment horizontal="center" vertical="center" wrapText="1"/>
    </xf>
    <xf numFmtId="0" fontId="75" fillId="41" borderId="59" xfId="0" applyFont="1" applyFill="1" applyBorder="1" applyAlignment="1">
      <alignment horizontal="center" vertical="center" wrapText="1"/>
    </xf>
    <xf numFmtId="0" fontId="77" fillId="28" borderId="59" xfId="0" applyFont="1" applyFill="1" applyBorder="1" applyAlignment="1">
      <alignment horizontal="left" vertical="center" wrapText="1"/>
    </xf>
    <xf numFmtId="0" fontId="77" fillId="37" borderId="59" xfId="0" applyFont="1" applyFill="1" applyBorder="1" applyAlignment="1">
      <alignment horizontal="left" vertical="center" wrapText="1"/>
    </xf>
    <xf numFmtId="0" fontId="75" fillId="41" borderId="63" xfId="0" applyFont="1" applyFill="1" applyBorder="1" applyAlignment="1">
      <alignment horizontal="center" vertical="center" wrapText="1"/>
    </xf>
    <xf numFmtId="0" fontId="62" fillId="34" borderId="46" xfId="0" applyFont="1" applyFill="1" applyBorder="1" applyAlignment="1">
      <alignment horizontal="left" indent="1"/>
    </xf>
    <xf numFmtId="0" fontId="62" fillId="34" borderId="52" xfId="0" applyFont="1" applyFill="1" applyBorder="1" applyAlignment="1">
      <alignment horizontal="left" indent="1"/>
    </xf>
    <xf numFmtId="0" fontId="60" fillId="33" borderId="47" xfId="0" applyFont="1" applyFill="1" applyBorder="1" applyAlignment="1">
      <alignment horizontal="center" vertical="center" wrapText="1"/>
    </xf>
    <xf numFmtId="0" fontId="54" fillId="33" borderId="41" xfId="0" applyFont="1" applyFill="1" applyBorder="1" applyAlignment="1">
      <alignment horizontal="center" vertical="center" wrapText="1"/>
    </xf>
    <xf numFmtId="0" fontId="54" fillId="33" borderId="42" xfId="0" applyFont="1" applyFill="1" applyBorder="1" applyAlignment="1">
      <alignment horizontal="center" vertical="center" wrapText="1"/>
    </xf>
    <xf numFmtId="0" fontId="54" fillId="33" borderId="48" xfId="0" applyFont="1" applyFill="1" applyBorder="1" applyAlignment="1">
      <alignment horizontal="center" vertical="center" wrapText="1"/>
    </xf>
    <xf numFmtId="0" fontId="54" fillId="33" borderId="44" xfId="0" applyFont="1" applyFill="1" applyBorder="1" applyAlignment="1">
      <alignment horizontal="center" vertical="center" wrapText="1"/>
    </xf>
    <xf numFmtId="0" fontId="54" fillId="33" borderId="45" xfId="0" applyFont="1" applyFill="1" applyBorder="1" applyAlignment="1">
      <alignment horizontal="center" vertical="center" wrapText="1"/>
    </xf>
    <xf numFmtId="0" fontId="60" fillId="33" borderId="40" xfId="0" applyFont="1" applyFill="1" applyBorder="1" applyAlignment="1">
      <alignment horizontal="center" vertical="center" wrapText="1"/>
    </xf>
    <xf numFmtId="0" fontId="54" fillId="33" borderId="43" xfId="0" applyFont="1" applyFill="1" applyBorder="1" applyAlignment="1">
      <alignment horizontal="center" vertical="center" wrapText="1"/>
    </xf>
    <xf numFmtId="0" fontId="54" fillId="33" borderId="53" xfId="0" applyFont="1" applyFill="1" applyBorder="1" applyAlignment="1">
      <alignment horizontal="center" vertical="center" wrapText="1"/>
    </xf>
    <xf numFmtId="0" fontId="54" fillId="33" borderId="54" xfId="0" applyFont="1" applyFill="1" applyBorder="1" applyAlignment="1">
      <alignment horizontal="center" vertical="center" wrapText="1"/>
    </xf>
    <xf numFmtId="0" fontId="55" fillId="27" borderId="0" xfId="0" applyFont="1" applyFill="1" applyAlignment="1">
      <alignment horizontal="left" vertical="center" indent="1"/>
    </xf>
    <xf numFmtId="0" fontId="56" fillId="31" borderId="0" xfId="0" applyFont="1" applyFill="1" applyAlignment="1">
      <alignment horizontal="left" vertical="center" indent="1"/>
    </xf>
    <xf numFmtId="0" fontId="57" fillId="32" borderId="49" xfId="0" applyFont="1" applyFill="1" applyBorder="1" applyAlignment="1">
      <alignment horizontal="left" vertical="center" indent="1"/>
    </xf>
    <xf numFmtId="0" fontId="57" fillId="32" borderId="50" xfId="0" applyFont="1" applyFill="1" applyBorder="1" applyAlignment="1">
      <alignment horizontal="left" vertical="center" indent="1"/>
    </xf>
    <xf numFmtId="0" fontId="57" fillId="32" borderId="51" xfId="0" applyFont="1" applyFill="1" applyBorder="1" applyAlignment="1">
      <alignment horizontal="left" vertical="center" indent="1"/>
    </xf>
    <xf numFmtId="0" fontId="52" fillId="29" borderId="0" xfId="0" applyFont="1" applyFill="1"/>
    <xf numFmtId="0" fontId="0" fillId="0" borderId="0" xfId="0"/>
    <xf numFmtId="0" fontId="4" fillId="16" borderId="1" xfId="0" applyFont="1" applyFill="1" applyBorder="1" applyAlignment="1">
      <alignment horizontal="center" vertical="center"/>
    </xf>
    <xf numFmtId="0" fontId="4" fillId="16" borderId="3" xfId="0" applyFont="1" applyFill="1" applyBorder="1" applyAlignment="1">
      <alignment horizontal="center" vertical="center"/>
    </xf>
    <xf numFmtId="0" fontId="15" fillId="10" borderId="1" xfId="0" applyFont="1" applyFill="1" applyBorder="1" applyAlignment="1">
      <alignment horizontal="center" vertical="center"/>
    </xf>
    <xf numFmtId="0" fontId="15" fillId="10" borderId="2" xfId="0" applyFont="1" applyFill="1" applyBorder="1" applyAlignment="1">
      <alignment horizontal="center" vertical="center"/>
    </xf>
    <xf numFmtId="0" fontId="15" fillId="10" borderId="3" xfId="0" applyFont="1" applyFill="1" applyBorder="1" applyAlignment="1">
      <alignment horizontal="center" vertical="center"/>
    </xf>
    <xf numFmtId="2" fontId="37" fillId="14" borderId="4" xfId="0" applyNumberFormat="1" applyFont="1" applyFill="1" applyBorder="1" applyAlignment="1">
      <alignment horizontal="center" vertical="center"/>
    </xf>
    <xf numFmtId="2" fontId="37" fillId="14" borderId="6" xfId="0" applyNumberFormat="1" applyFont="1" applyFill="1" applyBorder="1" applyAlignment="1">
      <alignment horizontal="center" vertical="center"/>
    </xf>
    <xf numFmtId="2" fontId="37" fillId="14" borderId="7" xfId="0" applyNumberFormat="1" applyFont="1" applyFill="1" applyBorder="1" applyAlignment="1">
      <alignment horizontal="center" vertical="center"/>
    </xf>
    <xf numFmtId="2" fontId="37" fillId="14" borderId="8" xfId="0" applyNumberFormat="1" applyFont="1" applyFill="1" applyBorder="1" applyAlignment="1">
      <alignment horizontal="center" vertical="center"/>
    </xf>
    <xf numFmtId="2" fontId="37" fillId="14" borderId="9" xfId="0" applyNumberFormat="1" applyFont="1" applyFill="1" applyBorder="1" applyAlignment="1">
      <alignment horizontal="center" vertical="center"/>
    </xf>
    <xf numFmtId="2" fontId="37" fillId="14" borderId="11" xfId="0" applyNumberFormat="1" applyFont="1" applyFill="1" applyBorder="1" applyAlignment="1">
      <alignment horizontal="center" vertical="center"/>
    </xf>
    <xf numFmtId="0" fontId="6" fillId="5" borderId="4" xfId="0" applyFont="1" applyFill="1" applyBorder="1" applyAlignment="1">
      <alignment horizontal="center" vertical="center"/>
    </xf>
    <xf numFmtId="0" fontId="6" fillId="5" borderId="6" xfId="0" applyFont="1" applyFill="1" applyBorder="1" applyAlignment="1">
      <alignment horizontal="center" vertical="center"/>
    </xf>
    <xf numFmtId="0" fontId="6" fillId="5" borderId="4" xfId="0" applyFont="1" applyFill="1" applyBorder="1" applyAlignment="1">
      <alignment horizontal="center" vertical="center" wrapText="1"/>
    </xf>
    <xf numFmtId="0" fontId="6" fillId="5" borderId="6" xfId="0" applyFont="1" applyFill="1" applyBorder="1" applyAlignment="1">
      <alignment horizontal="center" vertical="center" wrapText="1"/>
    </xf>
    <xf numFmtId="0" fontId="6" fillId="5" borderId="5" xfId="0" applyFont="1" applyFill="1" applyBorder="1" applyAlignment="1">
      <alignment horizontal="center" vertical="center"/>
    </xf>
    <xf numFmtId="0" fontId="24" fillId="12" borderId="0" xfId="0" applyFont="1" applyFill="1" applyAlignment="1">
      <alignment horizontal="center" vertical="center"/>
    </xf>
    <xf numFmtId="0" fontId="24" fillId="0" borderId="0" xfId="0" applyFont="1" applyAlignment="1">
      <alignment horizontal="center" vertical="center" wrapText="1"/>
    </xf>
    <xf numFmtId="0" fontId="22" fillId="0" borderId="0" xfId="0" applyFont="1" applyAlignment="1">
      <alignment horizontal="center" vertical="center" wrapText="1"/>
    </xf>
    <xf numFmtId="0" fontId="25" fillId="11" borderId="5" xfId="0" applyFont="1" applyFill="1" applyBorder="1" applyAlignment="1">
      <alignment horizontal="center" vertical="center"/>
    </xf>
    <xf numFmtId="0" fontId="25" fillId="11" borderId="0" xfId="0" applyFont="1" applyFill="1" applyAlignment="1">
      <alignment horizontal="center" vertical="center"/>
    </xf>
    <xf numFmtId="0" fontId="16" fillId="0" borderId="4" xfId="0" applyFont="1" applyBorder="1" applyAlignment="1">
      <alignment horizontal="center" vertical="center" wrapText="1"/>
    </xf>
    <xf numFmtId="0" fontId="16" fillId="0" borderId="5"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10" xfId="0" applyFont="1" applyBorder="1" applyAlignment="1">
      <alignment horizontal="center" vertical="center" wrapText="1"/>
    </xf>
    <xf numFmtId="0" fontId="16" fillId="0" borderId="11" xfId="0" applyFont="1" applyBorder="1" applyAlignment="1">
      <alignment horizontal="center" vertical="center" wrapText="1"/>
    </xf>
    <xf numFmtId="0" fontId="25" fillId="11" borderId="10" xfId="0" applyFont="1" applyFill="1" applyBorder="1" applyAlignment="1">
      <alignment horizontal="center" vertical="center"/>
    </xf>
    <xf numFmtId="18" fontId="8" fillId="11" borderId="5" xfId="0" applyNumberFormat="1" applyFont="1" applyFill="1" applyBorder="1" applyAlignment="1">
      <alignment horizontal="center" vertical="center" wrapText="1"/>
    </xf>
    <xf numFmtId="18" fontId="8" fillId="11" borderId="10" xfId="0" applyNumberFormat="1" applyFont="1" applyFill="1" applyBorder="1" applyAlignment="1">
      <alignment horizontal="center" vertical="center" wrapText="1"/>
    </xf>
    <xf numFmtId="0" fontId="24" fillId="0" borderId="5" xfId="0" applyFont="1" applyBorder="1" applyAlignment="1">
      <alignment horizontal="center" vertical="center" wrapText="1"/>
    </xf>
    <xf numFmtId="0" fontId="24" fillId="0" borderId="10" xfId="0" applyFont="1" applyBorder="1" applyAlignment="1">
      <alignment horizontal="center" vertical="center" wrapText="1"/>
    </xf>
    <xf numFmtId="0" fontId="24" fillId="0" borderId="6" xfId="0" applyFont="1" applyBorder="1" applyAlignment="1">
      <alignment horizontal="center" vertical="center" wrapText="1"/>
    </xf>
    <xf numFmtId="0" fontId="24" fillId="0" borderId="8" xfId="0" applyFont="1" applyBorder="1" applyAlignment="1">
      <alignment horizontal="center" vertical="center" wrapText="1"/>
    </xf>
    <xf numFmtId="0" fontId="24" fillId="0" borderId="11" xfId="0" applyFont="1" applyBorder="1" applyAlignment="1">
      <alignment horizontal="center" vertical="center" wrapText="1"/>
    </xf>
    <xf numFmtId="0" fontId="13" fillId="13" borderId="4" xfId="0" applyFont="1" applyFill="1" applyBorder="1" applyAlignment="1">
      <alignment horizontal="center" vertical="center"/>
    </xf>
    <xf numFmtId="0" fontId="13" fillId="13" borderId="6" xfId="0" applyFont="1" applyFill="1" applyBorder="1" applyAlignment="1">
      <alignment horizontal="center" vertical="center"/>
    </xf>
    <xf numFmtId="0" fontId="13" fillId="13" borderId="7" xfId="0" applyFont="1" applyFill="1" applyBorder="1" applyAlignment="1">
      <alignment horizontal="center" vertical="center"/>
    </xf>
    <xf numFmtId="0" fontId="13" fillId="13" borderId="8" xfId="0" applyFont="1" applyFill="1" applyBorder="1" applyAlignment="1">
      <alignment horizontal="center" vertical="center"/>
    </xf>
    <xf numFmtId="0" fontId="13" fillId="13" borderId="9" xfId="0" applyFont="1" applyFill="1" applyBorder="1" applyAlignment="1">
      <alignment horizontal="center" vertical="center"/>
    </xf>
    <xf numFmtId="0" fontId="13" fillId="13" borderId="11" xfId="0" applyFont="1" applyFill="1" applyBorder="1" applyAlignment="1">
      <alignment horizontal="center" vertical="center"/>
    </xf>
    <xf numFmtId="14" fontId="19" fillId="11" borderId="4" xfId="0" applyNumberFormat="1" applyFont="1" applyFill="1" applyBorder="1" applyAlignment="1">
      <alignment horizontal="center" vertical="center" wrapText="1"/>
    </xf>
    <xf numFmtId="14" fontId="19" fillId="11" borderId="5" xfId="0" applyNumberFormat="1" applyFont="1" applyFill="1" applyBorder="1" applyAlignment="1">
      <alignment horizontal="center" vertical="center" wrapText="1"/>
    </xf>
    <xf numFmtId="14" fontId="19" fillId="11" borderId="7" xfId="0" applyNumberFormat="1" applyFont="1" applyFill="1" applyBorder="1" applyAlignment="1">
      <alignment horizontal="center" vertical="center" wrapText="1"/>
    </xf>
    <xf numFmtId="14" fontId="19" fillId="11" borderId="9" xfId="0" applyNumberFormat="1" applyFont="1" applyFill="1" applyBorder="1" applyAlignment="1">
      <alignment horizontal="center" vertical="center" wrapText="1"/>
    </xf>
    <xf numFmtId="14" fontId="19" fillId="11" borderId="10" xfId="0" applyNumberFormat="1" applyFont="1" applyFill="1" applyBorder="1" applyAlignment="1">
      <alignment horizontal="center" vertical="center" wrapText="1"/>
    </xf>
    <xf numFmtId="0" fontId="6" fillId="0" borderId="25"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7" xfId="0" applyFont="1" applyBorder="1" applyAlignment="1">
      <alignment horizontal="center" vertical="center" wrapText="1"/>
    </xf>
    <xf numFmtId="0" fontId="13" fillId="13" borderId="13" xfId="0" applyFont="1" applyFill="1" applyBorder="1" applyAlignment="1">
      <alignment horizontal="center" vertical="center"/>
    </xf>
    <xf numFmtId="0" fontId="13" fillId="13" borderId="15" xfId="0" applyFont="1" applyFill="1" applyBorder="1" applyAlignment="1">
      <alignment horizontal="center" vertical="center"/>
    </xf>
    <xf numFmtId="0" fontId="13" fillId="13" borderId="16" xfId="0" applyFont="1" applyFill="1" applyBorder="1" applyAlignment="1">
      <alignment horizontal="center" vertical="center"/>
    </xf>
    <xf numFmtId="0" fontId="13" fillId="13" borderId="17" xfId="0" applyFont="1" applyFill="1" applyBorder="1" applyAlignment="1">
      <alignment horizontal="center" vertical="center"/>
    </xf>
    <xf numFmtId="0" fontId="13" fillId="13" borderId="22" xfId="0" applyFont="1" applyFill="1" applyBorder="1" applyAlignment="1">
      <alignment horizontal="center" vertical="center"/>
    </xf>
    <xf numFmtId="0" fontId="13" fillId="13" borderId="23" xfId="0" applyFont="1" applyFill="1" applyBorder="1" applyAlignment="1">
      <alignment horizontal="center" vertical="center"/>
    </xf>
    <xf numFmtId="0" fontId="27" fillId="9" borderId="16" xfId="0" applyFont="1" applyFill="1" applyBorder="1" applyAlignment="1">
      <alignment horizontal="center" vertical="center"/>
    </xf>
    <xf numFmtId="0" fontId="27" fillId="9" borderId="0" xfId="0" applyFont="1" applyFill="1" applyAlignment="1">
      <alignment horizontal="center" vertical="center"/>
    </xf>
    <xf numFmtId="14" fontId="6" fillId="15" borderId="21" xfId="0" applyNumberFormat="1" applyFont="1" applyFill="1" applyBorder="1" applyAlignment="1">
      <alignment horizontal="center" vertical="center"/>
    </xf>
    <xf numFmtId="14" fontId="6" fillId="15" borderId="10" xfId="0" applyNumberFormat="1" applyFont="1" applyFill="1" applyBorder="1" applyAlignment="1">
      <alignment horizontal="center" vertical="center"/>
    </xf>
    <xf numFmtId="0" fontId="6" fillId="14" borderId="18" xfId="0" applyFont="1" applyFill="1" applyBorder="1" applyAlignment="1">
      <alignment horizontal="center" vertical="center"/>
    </xf>
    <xf numFmtId="0" fontId="6" fillId="14" borderId="19" xfId="0" applyFont="1" applyFill="1" applyBorder="1" applyAlignment="1">
      <alignment horizontal="center" vertical="center"/>
    </xf>
    <xf numFmtId="0" fontId="8" fillId="11" borderId="5" xfId="0" applyFont="1" applyFill="1" applyBorder="1" applyAlignment="1">
      <alignment horizontal="center" vertical="center" wrapText="1"/>
    </xf>
    <xf numFmtId="0" fontId="8" fillId="11" borderId="10" xfId="0" applyFont="1" applyFill="1" applyBorder="1" applyAlignment="1">
      <alignment horizontal="center" vertical="center" wrapText="1"/>
    </xf>
    <xf numFmtId="0" fontId="66" fillId="9" borderId="16" xfId="0" applyFont="1" applyFill="1" applyBorder="1" applyAlignment="1">
      <alignment horizontal="center" vertical="center"/>
    </xf>
    <xf numFmtId="0" fontId="66" fillId="9" borderId="0" xfId="0" applyFont="1" applyFill="1" applyAlignment="1">
      <alignment horizontal="center" vertical="center"/>
    </xf>
    <xf numFmtId="0" fontId="26" fillId="17" borderId="4" xfId="0" applyFont="1" applyFill="1" applyBorder="1" applyAlignment="1">
      <alignment horizontal="center" vertical="center"/>
    </xf>
    <xf numFmtId="0" fontId="26" fillId="17" borderId="5" xfId="0" applyFont="1" applyFill="1" applyBorder="1" applyAlignment="1">
      <alignment horizontal="center" vertical="center"/>
    </xf>
    <xf numFmtId="0" fontId="26" fillId="17" borderId="6" xfId="0" applyFont="1" applyFill="1" applyBorder="1" applyAlignment="1">
      <alignment horizontal="center" vertical="center"/>
    </xf>
    <xf numFmtId="0" fontId="26" fillId="17" borderId="7" xfId="0" applyFont="1" applyFill="1" applyBorder="1" applyAlignment="1">
      <alignment horizontal="center" vertical="center"/>
    </xf>
    <xf numFmtId="0" fontId="26" fillId="17" borderId="0" xfId="0" applyFont="1" applyFill="1" applyAlignment="1">
      <alignment horizontal="center" vertical="center"/>
    </xf>
    <xf numFmtId="0" fontId="26" fillId="17" borderId="8" xfId="0" applyFont="1" applyFill="1" applyBorder="1" applyAlignment="1">
      <alignment horizontal="center" vertical="center"/>
    </xf>
    <xf numFmtId="0" fontId="26" fillId="17" borderId="9" xfId="0" applyFont="1" applyFill="1" applyBorder="1" applyAlignment="1">
      <alignment horizontal="center" vertical="center"/>
    </xf>
    <xf numFmtId="0" fontId="26" fillId="17" borderId="10" xfId="0" applyFont="1" applyFill="1" applyBorder="1" applyAlignment="1">
      <alignment horizontal="center" vertical="center"/>
    </xf>
    <xf numFmtId="0" fontId="26" fillId="17" borderId="11" xfId="0" applyFont="1" applyFill="1" applyBorder="1" applyAlignment="1">
      <alignment horizontal="center" vertical="center"/>
    </xf>
    <xf numFmtId="0" fontId="6" fillId="14" borderId="24" xfId="0" applyFont="1" applyFill="1" applyBorder="1" applyAlignment="1">
      <alignment horizontal="center" vertical="center"/>
    </xf>
    <xf numFmtId="0" fontId="6" fillId="14" borderId="38" xfId="0" applyFont="1" applyFill="1" applyBorder="1" applyAlignment="1">
      <alignment horizontal="center" vertical="center"/>
    </xf>
    <xf numFmtId="0" fontId="6" fillId="14" borderId="39" xfId="0" applyFont="1" applyFill="1" applyBorder="1" applyAlignment="1">
      <alignment horizontal="center" vertical="center"/>
    </xf>
    <xf numFmtId="0" fontId="19" fillId="26" borderId="0" xfId="0" applyFont="1" applyFill="1" applyAlignment="1">
      <alignment horizontal="center" vertical="center"/>
    </xf>
    <xf numFmtId="0" fontId="19" fillId="26" borderId="10" xfId="0" applyFont="1" applyFill="1" applyBorder="1" applyAlignment="1">
      <alignment horizontal="center" vertical="center"/>
    </xf>
    <xf numFmtId="0" fontId="20" fillId="16" borderId="0" xfId="0" applyFont="1" applyFill="1" applyAlignment="1">
      <alignment horizontal="center" vertical="center"/>
    </xf>
    <xf numFmtId="0" fontId="20" fillId="20" borderId="0" xfId="0" applyFont="1" applyFill="1" applyAlignment="1">
      <alignment horizontal="center" vertical="center"/>
    </xf>
    <xf numFmtId="0" fontId="0" fillId="0" borderId="5" xfId="0" applyBorder="1"/>
    <xf numFmtId="0" fontId="3" fillId="6" borderId="0" xfId="0" applyFont="1" applyFill="1" applyAlignment="1">
      <alignment horizontal="center" vertical="center"/>
    </xf>
    <xf numFmtId="0" fontId="3" fillId="6" borderId="8" xfId="0" applyFont="1" applyFill="1" applyBorder="1" applyAlignment="1">
      <alignment horizontal="center" vertical="center"/>
    </xf>
    <xf numFmtId="0" fontId="40" fillId="24" borderId="4" xfId="4" applyFont="1" applyBorder="1" applyAlignment="1">
      <alignment horizontal="center" vertical="center"/>
    </xf>
    <xf numFmtId="0" fontId="40" fillId="24" borderId="5" xfId="4" applyFont="1" applyBorder="1" applyAlignment="1">
      <alignment horizontal="center" vertical="center"/>
    </xf>
    <xf numFmtId="0" fontId="40" fillId="24" borderId="6" xfId="4" applyFont="1" applyBorder="1" applyAlignment="1">
      <alignment horizontal="center" vertical="center"/>
    </xf>
    <xf numFmtId="0" fontId="40" fillId="24" borderId="9" xfId="4" applyFont="1" applyBorder="1" applyAlignment="1">
      <alignment horizontal="center" vertical="center"/>
    </xf>
    <xf numFmtId="0" fontId="40" fillId="24" borderId="10" xfId="4" applyFont="1" applyBorder="1" applyAlignment="1">
      <alignment horizontal="center" vertical="center"/>
    </xf>
    <xf numFmtId="0" fontId="40" fillId="24" borderId="11" xfId="4" applyFont="1" applyBorder="1" applyAlignment="1">
      <alignment horizontal="center" vertical="center"/>
    </xf>
    <xf numFmtId="2" fontId="43" fillId="23" borderId="36" xfId="3" applyNumberFormat="1" applyFont="1" applyAlignment="1">
      <alignment horizontal="center" vertical="center"/>
    </xf>
    <xf numFmtId="0" fontId="43" fillId="23" borderId="36" xfId="3" applyFont="1" applyAlignment="1">
      <alignment horizontal="center" vertical="center"/>
    </xf>
    <xf numFmtId="10" fontId="40" fillId="0" borderId="0" xfId="0" applyNumberFormat="1" applyFont="1" applyAlignment="1">
      <alignment horizontal="center" vertical="center"/>
    </xf>
    <xf numFmtId="10" fontId="42" fillId="22" borderId="35" xfId="2" applyNumberFormat="1" applyFont="1" applyAlignment="1">
      <alignment horizontal="center" vertical="center"/>
    </xf>
    <xf numFmtId="10" fontId="3" fillId="0" borderId="0" xfId="0" applyNumberFormat="1" applyFont="1" applyAlignment="1">
      <alignment horizontal="center" vertical="center"/>
    </xf>
    <xf numFmtId="0" fontId="3" fillId="6" borderId="4" xfId="4" applyFont="1" applyFill="1" applyBorder="1" applyAlignment="1">
      <alignment horizontal="center" vertical="center"/>
    </xf>
    <xf numFmtId="0" fontId="3" fillId="6" borderId="5" xfId="4" applyFont="1" applyFill="1" applyBorder="1" applyAlignment="1">
      <alignment horizontal="center" vertical="center"/>
    </xf>
    <xf numFmtId="0" fontId="3" fillId="6" borderId="6" xfId="4" applyFont="1" applyFill="1" applyBorder="1" applyAlignment="1">
      <alignment horizontal="center" vertical="center"/>
    </xf>
    <xf numFmtId="0" fontId="3" fillId="6" borderId="9" xfId="4" applyFont="1" applyFill="1" applyBorder="1" applyAlignment="1">
      <alignment horizontal="center" vertical="center"/>
    </xf>
    <xf numFmtId="0" fontId="3" fillId="6" borderId="10" xfId="4" applyFont="1" applyFill="1" applyBorder="1" applyAlignment="1">
      <alignment horizontal="center" vertical="center"/>
    </xf>
    <xf numFmtId="0" fontId="3" fillId="6" borderId="11" xfId="4" applyFont="1" applyFill="1" applyBorder="1" applyAlignment="1">
      <alignment horizontal="center" vertical="center"/>
    </xf>
    <xf numFmtId="2" fontId="43" fillId="23" borderId="37" xfId="3" applyNumberFormat="1" applyFont="1" applyBorder="1" applyAlignment="1">
      <alignment horizontal="center" vertical="center"/>
    </xf>
    <xf numFmtId="0" fontId="43" fillId="23" borderId="37" xfId="3" applyFont="1" applyBorder="1" applyAlignment="1">
      <alignment horizontal="center" vertical="center"/>
    </xf>
    <xf numFmtId="10" fontId="40" fillId="0" borderId="10" xfId="0" applyNumberFormat="1" applyFont="1" applyBorder="1" applyAlignment="1">
      <alignment horizontal="center" vertical="center"/>
    </xf>
    <xf numFmtId="10" fontId="3" fillId="0" borderId="10" xfId="0" applyNumberFormat="1" applyFont="1" applyBorder="1" applyAlignment="1">
      <alignment horizontal="center" vertical="center"/>
    </xf>
    <xf numFmtId="0" fontId="24" fillId="10" borderId="12" xfId="0" applyFont="1" applyFill="1" applyBorder="1" applyAlignment="1">
      <alignment horizontal="center" vertical="center"/>
    </xf>
    <xf numFmtId="0" fontId="3" fillId="5" borderId="12" xfId="0" applyFont="1" applyFill="1" applyBorder="1" applyAlignment="1">
      <alignment horizontal="center" vertical="center"/>
    </xf>
    <xf numFmtId="0" fontId="3" fillId="25" borderId="0" xfId="5" applyFont="1" applyBorder="1" applyAlignment="1">
      <alignment horizontal="center" vertical="center"/>
    </xf>
    <xf numFmtId="9" fontId="40" fillId="25" borderId="0" xfId="5" applyNumberFormat="1" applyFont="1" applyBorder="1" applyAlignment="1">
      <alignment horizontal="center" vertical="center"/>
    </xf>
    <xf numFmtId="0" fontId="40" fillId="25" borderId="0" xfId="5" applyFont="1" applyBorder="1" applyAlignment="1">
      <alignment horizontal="center" vertical="center"/>
    </xf>
    <xf numFmtId="10" fontId="40" fillId="25" borderId="0" xfId="5" applyNumberFormat="1" applyFont="1" applyBorder="1" applyAlignment="1">
      <alignment horizontal="center" vertical="center"/>
    </xf>
    <xf numFmtId="0" fontId="41" fillId="11" borderId="4" xfId="0" applyFont="1" applyFill="1" applyBorder="1" applyAlignment="1">
      <alignment horizontal="center" vertical="center"/>
    </xf>
    <xf numFmtId="0" fontId="41" fillId="11" borderId="5" xfId="0" applyFont="1" applyFill="1" applyBorder="1" applyAlignment="1">
      <alignment horizontal="center" vertical="center"/>
    </xf>
    <xf numFmtId="0" fontId="41" fillId="11" borderId="7" xfId="0" applyFont="1" applyFill="1" applyBorder="1" applyAlignment="1">
      <alignment horizontal="center" vertical="center"/>
    </xf>
    <xf numFmtId="0" fontId="41" fillId="11" borderId="0" xfId="0" applyFont="1" applyFill="1" applyAlignment="1">
      <alignment horizontal="center" vertical="center"/>
    </xf>
    <xf numFmtId="0" fontId="3" fillId="10" borderId="5" xfId="0" applyFont="1" applyFill="1" applyBorder="1" applyAlignment="1">
      <alignment horizontal="center" vertical="center" wrapText="1"/>
    </xf>
    <xf numFmtId="0" fontId="3" fillId="10" borderId="0" xfId="0" applyFont="1" applyFill="1" applyAlignment="1">
      <alignment horizontal="center" vertical="center" wrapText="1"/>
    </xf>
    <xf numFmtId="10" fontId="32" fillId="0" borderId="5" xfId="0" applyNumberFormat="1" applyFont="1" applyBorder="1" applyAlignment="1">
      <alignment horizontal="center" vertical="center"/>
    </xf>
    <xf numFmtId="0" fontId="32" fillId="0" borderId="5" xfId="0" applyFont="1" applyBorder="1" applyAlignment="1">
      <alignment horizontal="center" vertical="center"/>
    </xf>
    <xf numFmtId="0" fontId="32" fillId="0" borderId="0" xfId="0" applyFont="1" applyAlignment="1">
      <alignment horizontal="center" vertical="center"/>
    </xf>
    <xf numFmtId="0" fontId="6" fillId="10" borderId="5" xfId="0" applyFont="1" applyFill="1" applyBorder="1" applyAlignment="1">
      <alignment horizontal="center" vertical="center"/>
    </xf>
    <xf numFmtId="0" fontId="6" fillId="10" borderId="0" xfId="0" applyFont="1" applyFill="1" applyAlignment="1">
      <alignment horizontal="center" vertical="center"/>
    </xf>
    <xf numFmtId="10" fontId="8" fillId="12" borderId="5" xfId="0" applyNumberFormat="1" applyFont="1" applyFill="1" applyBorder="1" applyAlignment="1">
      <alignment horizontal="center" vertical="center"/>
    </xf>
    <xf numFmtId="0" fontId="8" fillId="12" borderId="6" xfId="0" applyFont="1" applyFill="1" applyBorder="1" applyAlignment="1">
      <alignment horizontal="center" vertical="center"/>
    </xf>
    <xf numFmtId="0" fontId="8" fillId="12" borderId="0" xfId="0" applyFont="1" applyFill="1" applyAlignment="1">
      <alignment horizontal="center" vertical="center"/>
    </xf>
    <xf numFmtId="0" fontId="8" fillId="12" borderId="8" xfId="0" applyFont="1" applyFill="1" applyBorder="1" applyAlignment="1">
      <alignment horizontal="center" vertical="center"/>
    </xf>
    <xf numFmtId="0" fontId="19" fillId="5" borderId="7" xfId="0" applyFont="1" applyFill="1" applyBorder="1" applyAlignment="1">
      <alignment horizontal="center" vertical="center"/>
    </xf>
    <xf numFmtId="0" fontId="19" fillId="5" borderId="0" xfId="0" applyFont="1" applyFill="1" applyAlignment="1">
      <alignment horizontal="center" vertical="center"/>
    </xf>
    <xf numFmtId="0" fontId="19" fillId="5" borderId="8" xfId="0" applyFont="1" applyFill="1" applyBorder="1" applyAlignment="1">
      <alignment horizontal="center" vertical="center"/>
    </xf>
    <xf numFmtId="0" fontId="37" fillId="0" borderId="4" xfId="0" applyFont="1" applyBorder="1" applyAlignment="1">
      <alignment horizontal="center" vertical="center"/>
    </xf>
    <xf numFmtId="0" fontId="37" fillId="0" borderId="5" xfId="0" applyFont="1" applyBorder="1" applyAlignment="1">
      <alignment horizontal="center" vertical="center"/>
    </xf>
    <xf numFmtId="0" fontId="37" fillId="0" borderId="7" xfId="0" applyFont="1" applyBorder="1" applyAlignment="1">
      <alignment horizontal="center" vertical="center"/>
    </xf>
    <xf numFmtId="0" fontId="37" fillId="0" borderId="0" xfId="0" applyFont="1" applyAlignment="1">
      <alignment horizontal="center" vertical="center"/>
    </xf>
    <xf numFmtId="0" fontId="37" fillId="0" borderId="9" xfId="0" applyFont="1" applyBorder="1" applyAlignment="1">
      <alignment horizontal="center" vertical="center"/>
    </xf>
    <xf numFmtId="0" fontId="37"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37" fillId="0" borderId="11" xfId="0" applyFont="1" applyBorder="1" applyAlignment="1">
      <alignment horizontal="center" vertical="center"/>
    </xf>
    <xf numFmtId="2" fontId="49" fillId="14" borderId="0" xfId="0" applyNumberFormat="1" applyFont="1" applyFill="1" applyAlignment="1">
      <alignment horizontal="center" vertical="center"/>
    </xf>
    <xf numFmtId="0" fontId="12" fillId="21" borderId="0" xfId="0" applyFont="1" applyFill="1" applyAlignment="1">
      <alignment horizontal="center" vertical="center" wrapText="1"/>
    </xf>
    <xf numFmtId="0" fontId="12" fillId="21" borderId="4" xfId="0" applyFont="1" applyFill="1" applyBorder="1" applyAlignment="1">
      <alignment horizontal="center" vertical="center" wrapText="1"/>
    </xf>
    <xf numFmtId="0" fontId="12" fillId="21" borderId="5" xfId="0" applyFont="1" applyFill="1" applyBorder="1" applyAlignment="1">
      <alignment horizontal="center" vertical="center" wrapText="1"/>
    </xf>
    <xf numFmtId="0" fontId="12" fillId="21" borderId="6" xfId="0" applyFont="1" applyFill="1" applyBorder="1" applyAlignment="1">
      <alignment horizontal="center" vertical="center" wrapText="1"/>
    </xf>
    <xf numFmtId="0" fontId="12" fillId="21" borderId="7" xfId="0" applyFont="1" applyFill="1" applyBorder="1" applyAlignment="1">
      <alignment horizontal="center" vertical="center" wrapText="1"/>
    </xf>
    <xf numFmtId="0" fontId="12" fillId="21" borderId="8" xfId="0" applyFont="1" applyFill="1" applyBorder="1" applyAlignment="1">
      <alignment horizontal="center" vertical="center" wrapText="1"/>
    </xf>
    <xf numFmtId="0" fontId="12" fillId="21" borderId="9" xfId="0" applyFont="1" applyFill="1" applyBorder="1" applyAlignment="1">
      <alignment horizontal="center" vertical="center" wrapText="1"/>
    </xf>
    <xf numFmtId="0" fontId="12" fillId="21" borderId="10" xfId="0" applyFont="1" applyFill="1" applyBorder="1" applyAlignment="1">
      <alignment horizontal="center" vertical="center" wrapText="1"/>
    </xf>
    <xf numFmtId="0" fontId="12" fillId="21" borderId="11" xfId="0" applyFont="1" applyFill="1" applyBorder="1" applyAlignment="1">
      <alignment horizontal="center" vertical="center" wrapText="1"/>
    </xf>
    <xf numFmtId="1" fontId="8" fillId="0" borderId="0" xfId="0" applyNumberFormat="1" applyFont="1" applyAlignment="1">
      <alignment horizontal="center" vertical="center"/>
    </xf>
    <xf numFmtId="1" fontId="31" fillId="4" borderId="4" xfId="0" applyNumberFormat="1" applyFont="1" applyFill="1" applyBorder="1" applyAlignment="1">
      <alignment horizontal="center" vertical="center"/>
    </xf>
    <xf numFmtId="1" fontId="31" fillId="4" borderId="6" xfId="0" applyNumberFormat="1" applyFont="1" applyFill="1" applyBorder="1" applyAlignment="1">
      <alignment horizontal="center" vertical="center"/>
    </xf>
    <xf numFmtId="1" fontId="31" fillId="4" borderId="9" xfId="0" applyNumberFormat="1" applyFont="1" applyFill="1" applyBorder="1" applyAlignment="1">
      <alignment horizontal="center" vertical="center"/>
    </xf>
    <xf numFmtId="1" fontId="31" fillId="4" borderId="11" xfId="0" applyNumberFormat="1" applyFont="1" applyFill="1" applyBorder="1" applyAlignment="1">
      <alignment horizontal="center" vertical="center"/>
    </xf>
    <xf numFmtId="1" fontId="31" fillId="4" borderId="5" xfId="0" applyNumberFormat="1" applyFont="1" applyFill="1" applyBorder="1" applyAlignment="1">
      <alignment horizontal="center" vertical="center"/>
    </xf>
    <xf numFmtId="1" fontId="31" fillId="4" borderId="10" xfId="0" applyNumberFormat="1" applyFont="1" applyFill="1" applyBorder="1" applyAlignment="1">
      <alignment horizontal="center" vertical="center"/>
    </xf>
    <xf numFmtId="0" fontId="6" fillId="5" borderId="9" xfId="0" applyFont="1" applyFill="1" applyBorder="1" applyAlignment="1">
      <alignment horizontal="center" vertical="center"/>
    </xf>
    <xf numFmtId="0" fontId="6" fillId="5" borderId="10" xfId="0" applyFont="1" applyFill="1" applyBorder="1" applyAlignment="1">
      <alignment horizontal="center" vertical="center"/>
    </xf>
    <xf numFmtId="0" fontId="6" fillId="5" borderId="11" xfId="0" applyFont="1" applyFill="1" applyBorder="1" applyAlignment="1">
      <alignment horizontal="center" vertical="center"/>
    </xf>
    <xf numFmtId="0" fontId="4" fillId="14" borderId="0" xfId="0" applyFont="1" applyFill="1" applyAlignment="1">
      <alignment horizontal="center" vertical="center"/>
    </xf>
    <xf numFmtId="0" fontId="4" fillId="14" borderId="10" xfId="0" applyFont="1" applyFill="1" applyBorder="1" applyAlignment="1">
      <alignment horizontal="center" vertical="center"/>
    </xf>
    <xf numFmtId="0" fontId="6" fillId="5" borderId="7" xfId="0" applyFont="1" applyFill="1" applyBorder="1" applyAlignment="1">
      <alignment horizontal="center" vertical="center"/>
    </xf>
    <xf numFmtId="0" fontId="6" fillId="5" borderId="8" xfId="0" applyFont="1" applyFill="1" applyBorder="1" applyAlignment="1">
      <alignment horizontal="center" vertical="center"/>
    </xf>
    <xf numFmtId="0" fontId="6" fillId="5" borderId="0" xfId="0" applyFont="1" applyFill="1" applyAlignment="1">
      <alignment horizontal="center" vertical="center"/>
    </xf>
    <xf numFmtId="0" fontId="19" fillId="6" borderId="7" xfId="0" applyFont="1" applyFill="1" applyBorder="1" applyAlignment="1">
      <alignment horizontal="center" vertical="center"/>
    </xf>
    <xf numFmtId="0" fontId="19" fillId="6" borderId="8" xfId="0" applyFont="1" applyFill="1" applyBorder="1" applyAlignment="1">
      <alignment horizontal="center" vertical="center"/>
    </xf>
    <xf numFmtId="0" fontId="19" fillId="6" borderId="9" xfId="0" applyFont="1" applyFill="1" applyBorder="1" applyAlignment="1">
      <alignment horizontal="center" vertical="center"/>
    </xf>
    <xf numFmtId="0" fontId="19" fillId="6" borderId="11" xfId="0" applyFont="1" applyFill="1" applyBorder="1" applyAlignment="1">
      <alignment horizontal="center" vertical="center"/>
    </xf>
    <xf numFmtId="0" fontId="23" fillId="11" borderId="0" xfId="0" applyFont="1" applyFill="1" applyAlignment="1">
      <alignment horizontal="center" vertical="center"/>
    </xf>
    <xf numFmtId="0" fontId="23" fillId="11" borderId="10" xfId="0" applyFont="1" applyFill="1" applyBorder="1" applyAlignment="1">
      <alignment horizontal="center" vertical="center"/>
    </xf>
    <xf numFmtId="0" fontId="50" fillId="0" borderId="0" xfId="0" applyFont="1" applyAlignment="1">
      <alignment horizontal="center" vertical="center" wrapText="1"/>
    </xf>
    <xf numFmtId="0" fontId="12" fillId="0" borderId="0" xfId="0" applyFont="1" applyAlignment="1">
      <alignment horizontal="center" vertical="center" wrapText="1"/>
    </xf>
    <xf numFmtId="0" fontId="22" fillId="0" borderId="0" xfId="0" applyFont="1" applyAlignment="1">
      <alignment horizontal="center" vertical="center"/>
    </xf>
    <xf numFmtId="0" fontId="54" fillId="30" borderId="0" xfId="0" applyFont="1" applyFill="1" applyBorder="1"/>
    <xf numFmtId="0" fontId="62" fillId="34" borderId="0" xfId="0" applyFont="1" applyFill="1" applyBorder="1" applyAlignment="1">
      <alignment horizontal="left" indent="1"/>
    </xf>
    <xf numFmtId="0" fontId="81" fillId="33" borderId="46" xfId="0" applyFont="1" applyFill="1" applyBorder="1" applyAlignment="1">
      <alignment horizontal="left" indent="1"/>
    </xf>
    <xf numFmtId="0" fontId="81" fillId="33" borderId="0" xfId="0" applyFont="1" applyFill="1" applyBorder="1" applyAlignment="1">
      <alignment horizontal="left" indent="1"/>
    </xf>
    <xf numFmtId="0" fontId="81" fillId="33" borderId="52" xfId="0" applyFont="1" applyFill="1" applyBorder="1" applyAlignment="1">
      <alignment horizontal="left" indent="1"/>
    </xf>
    <xf numFmtId="0" fontId="58" fillId="31" borderId="46" xfId="0" applyFont="1" applyFill="1" applyBorder="1" applyAlignment="1">
      <alignment horizontal="left" indent="1"/>
    </xf>
    <xf numFmtId="0" fontId="58" fillId="31" borderId="0" xfId="0" applyFont="1" applyFill="1" applyBorder="1" applyAlignment="1">
      <alignment horizontal="left" indent="1"/>
    </xf>
    <xf numFmtId="0" fontId="58" fillId="31" borderId="52" xfId="0" applyFont="1" applyFill="1" applyBorder="1" applyAlignment="1">
      <alignment horizontal="left" indent="1"/>
    </xf>
    <xf numFmtId="180" fontId="0" fillId="0" borderId="0" xfId="0" applyNumberFormat="1"/>
    <xf numFmtId="14" fontId="19" fillId="11" borderId="0" xfId="0" applyNumberFormat="1" applyFont="1" applyFill="1" applyBorder="1" applyAlignment="1">
      <alignment horizontal="center" vertical="center" wrapText="1"/>
    </xf>
    <xf numFmtId="18" fontId="8" fillId="11" borderId="0" xfId="0" applyNumberFormat="1" applyFont="1" applyFill="1" applyBorder="1" applyAlignment="1">
      <alignment horizontal="center" vertical="center" wrapText="1"/>
    </xf>
    <xf numFmtId="0" fontId="24" fillId="0" borderId="0" xfId="0" applyFont="1" applyBorder="1" applyAlignment="1">
      <alignment horizontal="center" vertical="center" wrapText="1"/>
    </xf>
    <xf numFmtId="0" fontId="0" fillId="0" borderId="0" xfId="0" applyBorder="1"/>
    <xf numFmtId="0" fontId="8" fillId="11" borderId="0" xfId="0" applyFont="1" applyFill="1" applyBorder="1" applyAlignment="1">
      <alignment horizontal="center" vertical="center" wrapText="1"/>
    </xf>
  </cellXfs>
  <cellStyles count="7">
    <cellStyle name="20% - Accent2" xfId="4" builtinId="34"/>
    <cellStyle name="20% - Accent6" xfId="5" builtinId="50"/>
    <cellStyle name="Calculation" xfId="2" builtinId="22"/>
    <cellStyle name="Currency" xfId="6" builtinId="4"/>
    <cellStyle name="Currency 2" xfId="1" xr:uid="{8A913BB4-19FF-44F9-AFBD-44A4D499494D}"/>
    <cellStyle name="Normal" xfId="0" builtinId="0"/>
    <cellStyle name="Note" xfId="3" builtinId="10"/>
  </cellStyles>
  <dxfs count="1189">
    <dxf>
      <fill>
        <patternFill patternType="none">
          <bgColor auto="1"/>
        </patternFill>
      </fill>
    </dxf>
    <dxf>
      <fill>
        <patternFill>
          <bgColor theme="9" tint="0.39994506668294322"/>
        </patternFill>
      </fill>
    </dxf>
    <dxf>
      <fill>
        <patternFill>
          <bgColor theme="8" tint="0.39994506668294322"/>
        </patternFill>
      </fill>
    </dxf>
    <dxf>
      <fill>
        <patternFill>
          <bgColor theme="5" tint="0.59996337778862885"/>
        </patternFill>
      </fill>
    </dxf>
    <dxf>
      <fill>
        <patternFill>
          <bgColor theme="2" tint="-0.24994659260841701"/>
        </patternFill>
      </fill>
    </dxf>
    <dxf>
      <fill>
        <patternFill>
          <bgColor rgb="FFFF0000"/>
        </patternFill>
      </fill>
    </dxf>
    <dxf>
      <fill>
        <patternFill patternType="none">
          <bgColor auto="1"/>
        </patternFill>
      </fill>
    </dxf>
    <dxf>
      <fill>
        <patternFill>
          <bgColor theme="9" tint="0.39994506668294322"/>
        </patternFill>
      </fill>
    </dxf>
    <dxf>
      <fill>
        <patternFill>
          <bgColor theme="8" tint="0.39994506668294322"/>
        </patternFill>
      </fill>
    </dxf>
    <dxf>
      <fill>
        <patternFill>
          <bgColor theme="5" tint="0.59996337778862885"/>
        </patternFill>
      </fill>
    </dxf>
    <dxf>
      <fill>
        <patternFill>
          <bgColor theme="2" tint="-0.24994659260841701"/>
        </patternFill>
      </fill>
    </dxf>
    <dxf>
      <fill>
        <patternFill>
          <bgColor rgb="FFFF0000"/>
        </patternFill>
      </fill>
    </dxf>
    <dxf>
      <fill>
        <patternFill patternType="none">
          <bgColor auto="1"/>
        </patternFill>
      </fill>
    </dxf>
    <dxf>
      <fill>
        <patternFill>
          <bgColor theme="9" tint="0.39994506668294322"/>
        </patternFill>
      </fill>
    </dxf>
    <dxf>
      <fill>
        <patternFill>
          <bgColor theme="8" tint="0.39994506668294322"/>
        </patternFill>
      </fill>
    </dxf>
    <dxf>
      <fill>
        <patternFill>
          <bgColor theme="5" tint="0.59996337778862885"/>
        </patternFill>
      </fill>
    </dxf>
    <dxf>
      <fill>
        <patternFill>
          <bgColor theme="2" tint="-0.24994659260841701"/>
        </patternFill>
      </fill>
    </dxf>
    <dxf>
      <fill>
        <patternFill>
          <bgColor rgb="FFFF0000"/>
        </patternFill>
      </fill>
    </dxf>
    <dxf>
      <fill>
        <patternFill patternType="none">
          <bgColor auto="1"/>
        </patternFill>
      </fill>
    </dxf>
    <dxf>
      <fill>
        <patternFill>
          <bgColor theme="9" tint="0.39994506668294322"/>
        </patternFill>
      </fill>
    </dxf>
    <dxf>
      <fill>
        <patternFill>
          <bgColor theme="8" tint="0.39994506668294322"/>
        </patternFill>
      </fill>
    </dxf>
    <dxf>
      <fill>
        <patternFill>
          <bgColor theme="5" tint="0.59996337778862885"/>
        </patternFill>
      </fill>
    </dxf>
    <dxf>
      <fill>
        <patternFill>
          <bgColor theme="2" tint="-0.24994659260841701"/>
        </patternFill>
      </fill>
    </dxf>
    <dxf>
      <fill>
        <patternFill>
          <bgColor rgb="FFFF0000"/>
        </patternFill>
      </fill>
    </dxf>
    <dxf>
      <fill>
        <patternFill patternType="none">
          <bgColor auto="1"/>
        </patternFill>
      </fill>
    </dxf>
    <dxf>
      <fill>
        <patternFill>
          <bgColor theme="9" tint="0.39994506668294322"/>
        </patternFill>
      </fill>
    </dxf>
    <dxf>
      <fill>
        <patternFill>
          <bgColor theme="8" tint="0.39994506668294322"/>
        </patternFill>
      </fill>
    </dxf>
    <dxf>
      <fill>
        <patternFill>
          <bgColor theme="5" tint="0.59996337778862885"/>
        </patternFill>
      </fill>
    </dxf>
    <dxf>
      <fill>
        <patternFill>
          <bgColor theme="2" tint="-0.24994659260841701"/>
        </patternFill>
      </fill>
    </dxf>
    <dxf>
      <fill>
        <patternFill>
          <bgColor rgb="FFFF0000"/>
        </patternFill>
      </fill>
    </dxf>
    <dxf>
      <fill>
        <patternFill patternType="none">
          <bgColor auto="1"/>
        </patternFill>
      </fill>
    </dxf>
    <dxf>
      <fill>
        <patternFill>
          <bgColor theme="9" tint="0.39994506668294322"/>
        </patternFill>
      </fill>
    </dxf>
    <dxf>
      <fill>
        <patternFill>
          <bgColor theme="8" tint="0.39994506668294322"/>
        </patternFill>
      </fill>
    </dxf>
    <dxf>
      <fill>
        <patternFill>
          <bgColor theme="5" tint="0.59996337778862885"/>
        </patternFill>
      </fill>
    </dxf>
    <dxf>
      <fill>
        <patternFill>
          <bgColor theme="2" tint="-0.24994659260841701"/>
        </patternFill>
      </fill>
    </dxf>
    <dxf>
      <fill>
        <patternFill>
          <bgColor rgb="FFFF0000"/>
        </patternFill>
      </fill>
    </dxf>
    <dxf>
      <font>
        <b/>
        <i val="0"/>
      </font>
      <fill>
        <patternFill>
          <bgColor rgb="FFFFFF00"/>
        </patternFill>
      </fill>
    </dxf>
    <dxf>
      <font>
        <b/>
        <i val="0"/>
      </font>
      <fill>
        <patternFill>
          <bgColor rgb="FFFFFF00"/>
        </patternFill>
      </fill>
    </dxf>
    <dxf>
      <font>
        <color theme="1"/>
      </font>
      <fill>
        <patternFill>
          <bgColor theme="0" tint="-0.24994659260841701"/>
        </patternFill>
      </fill>
    </dxf>
    <dxf>
      <fill>
        <patternFill>
          <bgColor rgb="FFFFFF00"/>
        </patternFill>
      </fill>
    </dxf>
    <dxf>
      <fill>
        <patternFill>
          <bgColor theme="7" tint="0.39994506668294322"/>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color theme="1"/>
      </font>
      <fill>
        <patternFill>
          <bgColor theme="0" tint="-0.24994659260841701"/>
        </patternFill>
      </fill>
    </dxf>
    <dxf>
      <fill>
        <patternFill>
          <bgColor rgb="FFFFFF00"/>
        </patternFill>
      </fill>
    </dxf>
    <dxf>
      <fill>
        <patternFill>
          <bgColor theme="7" tint="0.39994506668294322"/>
        </patternFill>
      </fill>
    </dxf>
    <dxf>
      <font>
        <b/>
        <i val="0"/>
      </font>
      <fill>
        <patternFill>
          <bgColor rgb="FFFFFF00"/>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color theme="1"/>
      </font>
      <fill>
        <patternFill>
          <bgColor theme="0" tint="-0.24994659260841701"/>
        </patternFill>
      </fill>
    </dxf>
    <dxf>
      <fill>
        <patternFill>
          <bgColor rgb="FFFFFF00"/>
        </patternFill>
      </fill>
    </dxf>
    <dxf>
      <fill>
        <patternFill>
          <bgColor theme="7" tint="0.39994506668294322"/>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b/>
        <i val="0"/>
      </font>
      <fill>
        <patternFill>
          <bgColor rgb="FFFFFF00"/>
        </patternFill>
      </fill>
    </dxf>
    <dxf>
      <font>
        <color theme="1"/>
      </font>
      <fill>
        <patternFill>
          <bgColor theme="0" tint="-0.24994659260841701"/>
        </patternFill>
      </fill>
    </dxf>
    <dxf>
      <fill>
        <patternFill>
          <bgColor rgb="FFFFFF00"/>
        </patternFill>
      </fill>
    </dxf>
    <dxf>
      <fill>
        <patternFill>
          <bgColor theme="7" tint="0.39994506668294322"/>
        </patternFill>
      </fill>
    </dxf>
    <dxf>
      <font>
        <b/>
        <i val="0"/>
      </font>
      <fill>
        <patternFill>
          <bgColor rgb="FFFFFF00"/>
        </patternFill>
      </fill>
    </dxf>
    <dxf>
      <font>
        <b/>
        <i val="0"/>
      </font>
      <fill>
        <patternFill>
          <bgColor rgb="FFFFFF00"/>
        </patternFill>
      </fill>
    </dxf>
    <dxf>
      <font>
        <b/>
        <i val="0"/>
      </font>
      <fill>
        <patternFill>
          <bgColor rgb="FFFFFF00"/>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theme="1"/>
      </font>
      <fill>
        <patternFill>
          <bgColor theme="0" tint="-0.24994659260841701"/>
        </patternFill>
      </fill>
    </dxf>
    <dxf>
      <fill>
        <patternFill>
          <bgColor rgb="FFFFFF00"/>
        </patternFill>
      </fill>
    </dxf>
    <dxf>
      <fill>
        <patternFill>
          <bgColor theme="7" tint="0.39994506668294322"/>
        </patternFill>
      </fill>
    </dxf>
    <dxf>
      <font>
        <b/>
        <i val="0"/>
      </font>
      <fill>
        <patternFill>
          <bgColor rgb="FFFFFF00"/>
        </patternFill>
      </fill>
    </dxf>
    <dxf>
      <font>
        <b/>
        <i val="0"/>
      </font>
      <fill>
        <patternFill>
          <bgColor rgb="FFFFFF00"/>
        </patternFill>
      </fill>
    </dxf>
    <dxf>
      <font>
        <color theme="1"/>
      </font>
      <fill>
        <patternFill>
          <bgColor theme="0" tint="-0.24994659260841701"/>
        </patternFill>
      </fill>
    </dxf>
    <dxf>
      <fill>
        <patternFill>
          <bgColor rgb="FFFFFF00"/>
        </patternFill>
      </fill>
    </dxf>
    <dxf>
      <fill>
        <patternFill>
          <bgColor theme="7" tint="0.39994506668294322"/>
        </patternFill>
      </fill>
    </dxf>
    <dxf>
      <font>
        <color rgb="FF000000"/>
      </font>
      <fill>
        <patternFill>
          <bgColor rgb="FFFFD966"/>
        </patternFill>
      </fill>
    </dxf>
    <dxf>
      <font>
        <color rgb="FF000000"/>
      </font>
      <fill>
        <patternFill>
          <bgColor rgb="FFFFFF00"/>
        </patternFill>
      </fill>
    </dxf>
    <dxf>
      <font>
        <color rgb="FF000000"/>
      </font>
      <fill>
        <patternFill>
          <bgColor rgb="FFBFBFBF"/>
        </patternFill>
      </fill>
    </dxf>
    <dxf>
      <font>
        <color rgb="FFFF0000"/>
      </font>
    </dxf>
    <dxf>
      <font>
        <color theme="7" tint="-0.24994659260841701"/>
      </font>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ont>
        <color rgb="FF9C5700"/>
      </font>
      <fill>
        <patternFill>
          <bgColor rgb="FFFFFFFF"/>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ont>
        <color rgb="FF9C5700"/>
      </font>
      <fill>
        <patternFill>
          <bgColor rgb="FFD2BFA6"/>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D2BFA6"/>
        </patternFill>
      </fill>
    </dxf>
    <dxf>
      <font>
        <color rgb="FF9C5700"/>
      </font>
      <fill>
        <patternFill>
          <bgColor rgb="FFFFFFFF"/>
        </patternFill>
      </fill>
    </dxf>
    <dxf>
      <font>
        <color rgb="FF9C5700"/>
      </font>
      <fill>
        <patternFill>
          <bgColor rgb="FFD2BFA6"/>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D2BFA6"/>
        </patternFill>
      </fill>
    </dxf>
    <dxf>
      <font>
        <color rgb="FF9C5700"/>
      </font>
      <fill>
        <patternFill>
          <bgColor rgb="FFFFFFFF"/>
        </patternFill>
      </fill>
    </dxf>
    <dxf>
      <font>
        <color rgb="FF9C5700"/>
      </font>
      <fill>
        <patternFill>
          <bgColor rgb="FFD2BFA6"/>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D2BFA6"/>
        </patternFill>
      </fill>
    </dxf>
    <dxf>
      <font>
        <color rgb="FF9C5700"/>
      </font>
      <fill>
        <patternFill>
          <bgColor rgb="FFFFFFFF"/>
        </patternFill>
      </fill>
    </dxf>
    <dxf>
      <font>
        <color rgb="FF9C5700"/>
      </font>
      <fill>
        <patternFill>
          <bgColor rgb="FFD2BFA6"/>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D2BFA6"/>
        </patternFill>
      </fill>
    </dxf>
    <dxf>
      <font>
        <color rgb="FF9C5700"/>
      </font>
      <fill>
        <patternFill>
          <bgColor rgb="FFFFFFFF"/>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D2BFA6"/>
        </patternFill>
      </fill>
    </dxf>
    <dxf>
      <font>
        <color rgb="FF9C5700"/>
      </font>
      <fill>
        <patternFill>
          <bgColor rgb="FFFFFFFF"/>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D2BFA6"/>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ill>
        <patternFill>
          <bgColor theme="7" tint="0.59996337778862885"/>
        </patternFill>
      </fill>
    </dxf>
    <dxf>
      <fill>
        <patternFill>
          <bgColor theme="5"/>
        </patternFill>
      </fill>
    </dxf>
    <dxf>
      <fill>
        <patternFill>
          <bgColor rgb="FFD94C45"/>
        </patternFill>
      </fill>
    </dxf>
    <dxf>
      <fill>
        <patternFill>
          <bgColor theme="7" tint="0.59996337778862885"/>
        </patternFill>
      </fill>
    </dxf>
    <dxf>
      <fill>
        <patternFill>
          <bgColor theme="5"/>
        </patternFill>
      </fill>
    </dxf>
    <dxf>
      <fill>
        <patternFill>
          <bgColor rgb="FFD94C45"/>
        </patternFill>
      </fill>
    </dxf>
    <dxf>
      <fill>
        <patternFill>
          <bgColor theme="7" tint="0.59996337778862885"/>
        </patternFill>
      </fill>
    </dxf>
    <dxf>
      <fill>
        <patternFill>
          <bgColor theme="5"/>
        </patternFill>
      </fill>
    </dxf>
    <dxf>
      <fill>
        <patternFill>
          <bgColor rgb="FFD94C45"/>
        </patternFill>
      </fill>
    </dxf>
    <dxf>
      <fill>
        <patternFill>
          <bgColor theme="7" tint="0.59996337778862885"/>
        </patternFill>
      </fill>
    </dxf>
    <dxf>
      <fill>
        <patternFill>
          <bgColor theme="5"/>
        </patternFill>
      </fill>
    </dxf>
    <dxf>
      <fill>
        <patternFill>
          <bgColor rgb="FFD94C45"/>
        </patternFill>
      </fill>
    </dxf>
    <dxf>
      <fill>
        <patternFill>
          <bgColor theme="7" tint="0.59996337778862885"/>
        </patternFill>
      </fill>
    </dxf>
    <dxf>
      <fill>
        <patternFill>
          <bgColor theme="5"/>
        </patternFill>
      </fill>
    </dxf>
    <dxf>
      <fill>
        <patternFill>
          <bgColor rgb="FFD94C45"/>
        </patternFill>
      </fill>
    </dxf>
    <dxf>
      <font>
        <color rgb="FF9C5700"/>
      </font>
      <fill>
        <patternFill>
          <bgColor rgb="FFFFFFFF"/>
        </patternFill>
      </fill>
    </dxf>
    <dxf>
      <font>
        <b/>
        <i val="0"/>
        <color rgb="FF000000"/>
      </font>
      <fill>
        <patternFill>
          <bgColor rgb="FFD9D9D9"/>
        </patternFill>
      </fill>
    </dxf>
    <dxf>
      <font>
        <b/>
        <i val="0"/>
        <color rgb="FFC00000"/>
      </font>
      <fill>
        <patternFill>
          <bgColor rgb="FFF4CCCC"/>
        </patternFill>
      </fill>
    </dxf>
    <dxf>
      <font>
        <b/>
        <i val="0"/>
        <color rgb="FF000000"/>
      </font>
      <fill>
        <patternFill>
          <bgColor rgb="FFFFD966"/>
        </patternFill>
      </fill>
    </dxf>
    <dxf>
      <font>
        <b/>
        <i val="0"/>
        <color rgb="FF000000"/>
      </font>
      <fill>
        <patternFill>
          <bgColor rgb="FFDDEBF7"/>
        </patternFill>
      </fill>
    </dxf>
    <dxf>
      <font>
        <b/>
        <i val="0"/>
        <color rgb="FF000000"/>
      </font>
      <fill>
        <patternFill>
          <bgColor rgb="FFC6E0B4"/>
        </patternFill>
      </fill>
    </dxf>
    <dxf>
      <font>
        <b/>
        <i val="0"/>
        <color rgb="FF000000"/>
      </font>
      <fill>
        <patternFill>
          <bgColor rgb="FFD9D9D9"/>
        </patternFill>
      </fill>
    </dxf>
    <dxf>
      <font>
        <b/>
        <i val="0"/>
        <color rgb="FFC00000"/>
      </font>
      <fill>
        <patternFill>
          <bgColor rgb="FFF4CCCC"/>
        </patternFill>
      </fill>
    </dxf>
    <dxf>
      <font>
        <b/>
        <i val="0"/>
        <color rgb="FF000000"/>
      </font>
      <fill>
        <patternFill>
          <bgColor rgb="FFFFD966"/>
        </patternFill>
      </fill>
    </dxf>
    <dxf>
      <font>
        <b/>
        <i val="0"/>
        <color rgb="FF000000"/>
      </font>
      <fill>
        <patternFill>
          <bgColor rgb="FFDDEBF7"/>
        </patternFill>
      </fill>
    </dxf>
    <dxf>
      <font>
        <b/>
        <i val="0"/>
        <color rgb="FF000000"/>
      </font>
      <fill>
        <patternFill>
          <bgColor rgb="FFC6E0B4"/>
        </patternFill>
      </fill>
    </dxf>
    <dxf>
      <font>
        <b/>
        <i val="0"/>
        <color rgb="FF000000"/>
      </font>
      <fill>
        <patternFill>
          <bgColor rgb="FFC6E0B4"/>
        </patternFill>
      </fill>
    </dxf>
    <dxf>
      <font>
        <b/>
        <i val="0"/>
        <color rgb="FFC00000"/>
      </font>
      <fill>
        <patternFill>
          <bgColor rgb="FFF4CCCC"/>
        </patternFill>
      </fill>
    </dxf>
    <dxf>
      <font>
        <b/>
        <i val="0"/>
        <color rgb="FF000000"/>
      </font>
      <fill>
        <patternFill>
          <bgColor rgb="FFFFD966"/>
        </patternFill>
      </fill>
    </dxf>
    <dxf>
      <font>
        <b/>
        <i val="0"/>
        <color rgb="FF000000"/>
      </font>
      <fill>
        <patternFill>
          <bgColor rgb="FFC6E0B4"/>
        </patternFill>
      </fill>
    </dxf>
    <dxf>
      <font>
        <b/>
        <i val="0"/>
        <color rgb="FF000000"/>
      </font>
      <fill>
        <patternFill>
          <bgColor rgb="FFD9D9D9"/>
        </patternFill>
      </fill>
    </dxf>
    <dxf>
      <font>
        <b/>
        <i val="0"/>
        <color rgb="FFC00000"/>
      </font>
      <fill>
        <patternFill>
          <bgColor rgb="FFF4CCCC"/>
        </patternFill>
      </fill>
    </dxf>
    <dxf>
      <font>
        <b/>
        <i val="0"/>
        <color rgb="FF000000"/>
      </font>
      <fill>
        <patternFill>
          <bgColor rgb="FFFFD966"/>
        </patternFill>
      </fill>
    </dxf>
    <dxf>
      <font>
        <b/>
        <i val="0"/>
        <color rgb="FF000000"/>
      </font>
      <fill>
        <patternFill>
          <bgColor rgb="FFDDEBF7"/>
        </patternFill>
      </fill>
    </dxf>
    <dxf>
      <font>
        <b/>
        <i val="0"/>
        <color rgb="FF000000"/>
      </font>
      <fill>
        <patternFill>
          <bgColor rgb="FFC6E0B4"/>
        </patternFill>
      </fill>
    </dxf>
    <dxf>
      <font>
        <b/>
        <i val="0"/>
        <color rgb="FF000000"/>
      </font>
      <fill>
        <patternFill>
          <bgColor rgb="FFC6E0B4"/>
        </patternFill>
      </fill>
    </dxf>
    <dxf>
      <font>
        <b/>
        <i val="0"/>
        <color rgb="FFC00000"/>
      </font>
      <fill>
        <patternFill>
          <bgColor rgb="FFF4CCCC"/>
        </patternFill>
      </fill>
    </dxf>
    <dxf>
      <font>
        <b/>
        <i val="0"/>
        <color rgb="FF000000"/>
      </font>
      <fill>
        <patternFill>
          <bgColor rgb="FFFFD966"/>
        </patternFill>
      </fill>
    </dxf>
    <dxf>
      <font>
        <b/>
        <i val="0"/>
        <color rgb="FF000000"/>
      </font>
      <fill>
        <patternFill>
          <bgColor rgb="FFC6E0B4"/>
        </patternFill>
      </fill>
    </dxf>
    <dxf>
      <font>
        <b/>
        <i val="0"/>
        <color rgb="FFC00000"/>
      </font>
      <fill>
        <patternFill>
          <bgColor rgb="FFF4CCCC"/>
        </patternFill>
      </fill>
    </dxf>
    <dxf>
      <font>
        <b/>
        <i val="0"/>
        <color rgb="FF000000"/>
      </font>
      <fill>
        <patternFill>
          <bgColor rgb="FFD9D9D9"/>
        </patternFill>
      </fill>
    </dxf>
    <dxf>
      <font>
        <b/>
        <i val="0"/>
        <color rgb="FFC00000"/>
      </font>
      <fill>
        <patternFill>
          <bgColor rgb="FFF4CCCC"/>
        </patternFill>
      </fill>
    </dxf>
    <dxf>
      <font>
        <b/>
        <i val="0"/>
        <color rgb="FF000000"/>
      </font>
      <fill>
        <patternFill>
          <bgColor rgb="FFFFD966"/>
        </patternFill>
      </fill>
    </dxf>
    <dxf>
      <font>
        <b/>
        <i val="0"/>
        <color rgb="FF000000"/>
      </font>
      <fill>
        <patternFill>
          <bgColor rgb="FFDDEBF7"/>
        </patternFill>
      </fill>
    </dxf>
    <dxf>
      <font>
        <b/>
        <i val="0"/>
        <color rgb="FF000000"/>
      </font>
      <fill>
        <patternFill>
          <bgColor rgb="FFC6E0B4"/>
        </patternFill>
      </fill>
    </dxf>
    <dxf>
      <font>
        <b/>
        <i val="0"/>
        <color rgb="FF000000"/>
      </font>
      <fill>
        <patternFill>
          <bgColor rgb="FFD9D9D9"/>
        </patternFill>
      </fill>
    </dxf>
    <dxf>
      <font>
        <b/>
        <i val="0"/>
        <color rgb="FFC00000"/>
      </font>
      <fill>
        <patternFill>
          <bgColor rgb="FFF4CCCC"/>
        </patternFill>
      </fill>
    </dxf>
    <dxf>
      <font>
        <b/>
        <i val="0"/>
        <color rgb="FF000000"/>
      </font>
      <fill>
        <patternFill>
          <bgColor rgb="FFFFD966"/>
        </patternFill>
      </fill>
    </dxf>
    <dxf>
      <font>
        <b/>
        <i val="0"/>
        <color rgb="FF000000"/>
      </font>
      <fill>
        <patternFill>
          <bgColor rgb="FFDDEBF7"/>
        </patternFill>
      </fill>
    </dxf>
    <dxf>
      <font>
        <b/>
        <i val="0"/>
        <color rgb="FF000000"/>
      </font>
      <fill>
        <patternFill>
          <bgColor rgb="FFC6E0B4"/>
        </patternFill>
      </fill>
    </dxf>
    <dxf>
      <font>
        <b val="0"/>
        <i val="0"/>
        <color rgb="FF000000"/>
      </font>
      <fill>
        <patternFill>
          <bgColor rgb="FFD9D9D9"/>
        </patternFill>
      </fill>
    </dxf>
    <dxf>
      <font>
        <b/>
        <i val="0"/>
        <color rgb="FFC00000"/>
      </font>
      <fill>
        <patternFill>
          <bgColor rgb="FFF4CCCC"/>
        </patternFill>
      </fill>
    </dxf>
    <dxf>
      <font>
        <b val="0"/>
        <i val="0"/>
        <color rgb="FF000000"/>
      </font>
      <fill>
        <patternFill>
          <bgColor rgb="FFFFD966"/>
        </patternFill>
      </fill>
    </dxf>
    <dxf>
      <font>
        <b/>
        <i val="0"/>
        <color rgb="FF000000"/>
      </font>
      <fill>
        <patternFill>
          <bgColor rgb="FFDDEBF7"/>
        </patternFill>
      </fill>
    </dxf>
    <dxf>
      <font>
        <b/>
        <i val="0"/>
        <color rgb="FF000000"/>
      </font>
      <fill>
        <patternFill>
          <bgColor rgb="FFC6E0B4"/>
        </patternFill>
      </fill>
    </dxf>
    <dxf>
      <font>
        <b val="0"/>
        <i val="0"/>
        <color rgb="FFC00000"/>
      </font>
      <fill>
        <patternFill>
          <bgColor rgb="FFF4CCCC"/>
        </patternFill>
      </fill>
    </dxf>
    <dxf>
      <font>
        <b/>
        <i val="0"/>
        <color auto="1"/>
      </font>
      <fill>
        <patternFill>
          <bgColor rgb="FFFF0000"/>
        </patternFill>
      </fill>
    </dxf>
    <dxf>
      <font>
        <b/>
        <i val="0"/>
      </font>
      <fill>
        <patternFill>
          <bgColor rgb="FFFFFF00"/>
        </patternFill>
      </fill>
    </dxf>
    <dxf>
      <font>
        <b/>
        <i val="0"/>
        <color auto="1"/>
      </font>
      <fill>
        <patternFill>
          <bgColor theme="9" tint="0.39994506668294322"/>
        </patternFill>
      </fill>
    </dxf>
    <dxf>
      <font>
        <b/>
        <i val="0"/>
      </font>
      <fill>
        <patternFill>
          <bgColor theme="0" tint="-4.9989318521683403E-2"/>
        </patternFill>
      </fill>
    </dxf>
    <dxf>
      <font>
        <b/>
        <i val="0"/>
      </font>
      <fill>
        <patternFill>
          <bgColor theme="2" tint="-9.9948118533890809E-2"/>
        </patternFill>
      </fill>
    </dxf>
    <dxf>
      <font>
        <b/>
        <i val="0"/>
        <color auto="1"/>
      </font>
      <fill>
        <patternFill>
          <bgColor rgb="FFFF0000"/>
        </patternFill>
      </fill>
    </dxf>
    <dxf>
      <font>
        <b/>
        <i val="0"/>
      </font>
      <fill>
        <patternFill>
          <bgColor rgb="FFFFFF00"/>
        </patternFill>
      </fill>
    </dxf>
    <dxf>
      <font>
        <b/>
        <i val="0"/>
        <color auto="1"/>
      </font>
      <fill>
        <patternFill>
          <bgColor theme="9" tint="0.39994506668294322"/>
        </patternFill>
      </fill>
    </dxf>
    <dxf>
      <font>
        <b/>
        <i val="0"/>
      </font>
      <fill>
        <patternFill>
          <bgColor theme="0" tint="-4.9989318521683403E-2"/>
        </patternFill>
      </fill>
    </dxf>
    <dxf>
      <font>
        <b/>
        <i val="0"/>
      </font>
      <fill>
        <patternFill>
          <bgColor theme="2" tint="-9.9948118533890809E-2"/>
        </patternFill>
      </fill>
    </dxf>
    <dxf>
      <numFmt numFmtId="178" formatCode="0.0%"/>
      <border outline="0">
        <left style="thin">
          <color rgb="FF9BB8E3"/>
        </left>
      </border>
    </dxf>
    <dxf>
      <numFmt numFmtId="178" formatCode="0.0%"/>
      <border outline="0">
        <left style="thin">
          <color rgb="FF9BB8E3"/>
        </left>
        <right style="thin">
          <color rgb="FF9BB8E3"/>
        </right>
      </border>
    </dxf>
    <dxf>
      <numFmt numFmtId="178" formatCode="0.0%"/>
      <border outline="0">
        <left style="thin">
          <color rgb="FF9BB8E3"/>
        </left>
        <right style="thin">
          <color rgb="FF9BB8E3"/>
        </right>
      </border>
    </dxf>
    <dxf>
      <numFmt numFmtId="178" formatCode="0.0%"/>
      <border outline="0">
        <left style="thin">
          <color rgb="FF9BB8E3"/>
        </left>
        <right style="thin">
          <color rgb="FF9BB8E3"/>
        </right>
      </border>
    </dxf>
    <dxf>
      <numFmt numFmtId="1" formatCode="0"/>
      <border outline="0">
        <left style="thin">
          <color rgb="FF9BB8E3"/>
        </left>
        <right style="thin">
          <color rgb="FF9BB8E3"/>
        </right>
      </border>
    </dxf>
    <dxf>
      <numFmt numFmtId="1" formatCode="0"/>
      <border outline="0">
        <left style="thin">
          <color rgb="FF9BB8E3"/>
        </left>
        <right style="thin">
          <color rgb="FF9BB8E3"/>
        </right>
      </border>
    </dxf>
    <dxf>
      <numFmt numFmtId="1" formatCode="0"/>
      <border outline="0">
        <right style="thin">
          <color rgb="FF9BB8E3"/>
        </right>
      </border>
    </dxf>
    <dxf>
      <border outline="0">
        <right style="thin">
          <color rgb="FF9BB8E3"/>
        </right>
      </border>
    </dxf>
    <dxf>
      <font>
        <color rgb="FFFFFFFF"/>
      </font>
      <fill>
        <patternFill patternType="solid">
          <fgColor indexed="64"/>
          <bgColor rgb="FF2F5879"/>
        </patternFill>
      </fill>
    </dxf>
    <dxf>
      <font>
        <color rgb="FFFFFFFF"/>
      </font>
      <fill>
        <patternFill patternType="solid">
          <fgColor indexed="64"/>
          <bgColor rgb="FF2F5879"/>
        </patternFill>
      </fill>
    </dxf>
    <dxf>
      <font>
        <color rgb="FFFFFFFF"/>
      </font>
      <fill>
        <patternFill patternType="solid">
          <fgColor indexed="64"/>
          <bgColor rgb="FF2F5879"/>
        </patternFill>
      </fill>
    </dxf>
    <dxf>
      <font>
        <b val="0"/>
        <i val="0"/>
        <strike val="0"/>
        <outline val="0"/>
        <shadow val="0"/>
        <u val="none"/>
        <vertAlign val="baseline"/>
        <sz val="9"/>
        <color rgb="FF000000"/>
        <name val="Arial"/>
        <family val="2"/>
        <scheme val="none"/>
      </font>
      <fill>
        <patternFill patternType="solid">
          <fgColor indexed="64"/>
          <bgColor rgb="FFFFF2CC"/>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outline val="0"/>
        <shadow val="0"/>
        <u val="none"/>
        <vertAlign val="baseline"/>
        <sz val="9"/>
        <color rgb="FF000000"/>
        <name val="Arial"/>
        <family val="2"/>
        <scheme val="none"/>
      </font>
      <numFmt numFmtId="179" formatCode="yyyy\-mm\-dd"/>
      <fill>
        <patternFill patternType="solid">
          <fgColor indexed="64"/>
          <bgColor rgb="FFFFF2CC"/>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outline val="0"/>
        <shadow val="0"/>
        <u val="none"/>
        <vertAlign val="baseline"/>
        <sz val="9"/>
        <color rgb="FF000000"/>
        <name val="Arial"/>
        <family val="2"/>
        <scheme val="none"/>
      </font>
      <numFmt numFmtId="179" formatCode="yyyy\-mm\-dd"/>
      <fill>
        <patternFill patternType="solid">
          <fgColor indexed="64"/>
          <bgColor rgb="FFFFF2CC"/>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outline val="0"/>
        <shadow val="0"/>
        <u val="none"/>
        <vertAlign val="baseline"/>
        <sz val="9"/>
        <color rgb="FF000000"/>
        <name val="Arial"/>
        <family val="2"/>
        <scheme val="none"/>
      </font>
      <fill>
        <patternFill patternType="solid">
          <fgColor indexed="64"/>
          <bgColor rgb="FFFFF2CC"/>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outline val="0"/>
        <shadow val="0"/>
        <u val="none"/>
        <vertAlign val="baseline"/>
        <sz val="9"/>
        <color rgb="FF000000"/>
        <name val="Arial"/>
        <family val="2"/>
        <scheme val="none"/>
      </font>
      <fill>
        <patternFill patternType="solid">
          <fgColor indexed="64"/>
          <bgColor rgb="FFFFF2CC"/>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outline val="0"/>
        <shadow val="0"/>
        <u val="none"/>
        <vertAlign val="baseline"/>
        <sz val="9"/>
        <color rgb="FF000000"/>
        <name val="Arial"/>
        <family val="2"/>
        <scheme val="none"/>
      </font>
      <fill>
        <patternFill patternType="solid">
          <fgColor indexed="64"/>
          <bgColor rgb="FFFFF2CC"/>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i val="0"/>
        <strike val="0"/>
        <outline val="0"/>
        <shadow val="0"/>
        <u val="none"/>
        <vertAlign val="baseline"/>
        <sz val="9"/>
        <color rgb="FF000000"/>
        <name val="Arial"/>
        <family val="2"/>
        <scheme val="none"/>
      </font>
      <fill>
        <patternFill patternType="solid">
          <fgColor indexed="64"/>
          <bgColor rgb="FFE2EFDA"/>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protection locked="1" hidden="0"/>
    </dxf>
    <dxf>
      <border outline="0">
        <top style="thin">
          <color rgb="FF000000"/>
        </top>
      </border>
    </dxf>
    <dxf>
      <font>
        <b val="0"/>
        <i val="0"/>
        <strike val="0"/>
        <outline val="0"/>
        <shadow val="0"/>
        <u val="none"/>
        <vertAlign val="baseline"/>
        <sz val="9"/>
        <color rgb="FF000000"/>
        <name val="Arial"/>
        <family val="2"/>
        <scheme val="none"/>
      </font>
      <fill>
        <patternFill patternType="solid">
          <fgColor indexed="64"/>
          <bgColor rgb="FFFFF2CC"/>
        </patternFill>
      </fill>
      <alignment horizontal="center" vertical="center" textRotation="0" wrapText="0" indent="0" justifyLastLine="0" shrinkToFit="0" readingOrder="0"/>
    </dxf>
    <dxf>
      <border outline="0">
        <bottom style="thin">
          <color rgb="FF000000"/>
        </bottom>
      </border>
    </dxf>
    <dxf>
      <font>
        <b/>
        <i val="0"/>
        <strike val="0"/>
        <outline val="0"/>
        <shadow val="0"/>
        <u val="none"/>
        <vertAlign val="baseline"/>
        <sz val="9"/>
        <color rgb="FF000000"/>
        <name val="Arial"/>
        <family val="2"/>
        <scheme val="none"/>
      </font>
      <fill>
        <patternFill patternType="solid">
          <fgColor indexed="64"/>
          <bgColor rgb="FFF8CBAD"/>
        </patternFill>
      </fill>
      <alignment horizontal="center" vertical="center"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9"/>
        <color rgb="FF000000"/>
        <name val="Arial"/>
        <family val="2"/>
        <scheme val="none"/>
      </font>
      <fill>
        <patternFill patternType="solid">
          <fgColor indexed="64"/>
          <bgColor rgb="FFFFF2CC"/>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rgb="FF000000"/>
        <name val="Arial"/>
        <family val="2"/>
        <scheme val="none"/>
      </font>
      <numFmt numFmtId="179" formatCode="yyyy\-mm\-dd"/>
      <fill>
        <patternFill patternType="solid">
          <fgColor indexed="64"/>
          <bgColor rgb="FFFFF2CC"/>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rgb="FF000000"/>
        <name val="Arial"/>
        <family val="2"/>
        <scheme val="none"/>
      </font>
      <fill>
        <patternFill patternType="solid">
          <fgColor indexed="64"/>
          <bgColor rgb="FFFFF2CC"/>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rgb="FF000000"/>
        <name val="Arial"/>
        <family val="2"/>
        <scheme val="none"/>
      </font>
      <numFmt numFmtId="179" formatCode="yyyy\-mm\-dd"/>
      <fill>
        <patternFill patternType="solid">
          <fgColor indexed="64"/>
          <bgColor rgb="FFFFF2CC"/>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rgb="FF000000"/>
        <name val="Arial"/>
        <family val="2"/>
        <scheme val="none"/>
      </font>
      <numFmt numFmtId="179" formatCode="yyyy\-mm\-dd"/>
      <fill>
        <patternFill patternType="solid">
          <fgColor indexed="64"/>
          <bgColor rgb="FFFFF2CC"/>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rgb="FF000000"/>
        <name val="Arial"/>
        <family val="2"/>
        <scheme val="none"/>
      </font>
      <numFmt numFmtId="13" formatCode="0%"/>
      <fill>
        <patternFill patternType="solid">
          <fgColor indexed="64"/>
          <bgColor rgb="FFFFF2CC"/>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rgb="FF000000"/>
        <name val="Arial"/>
        <family val="2"/>
        <scheme val="none"/>
      </font>
      <fill>
        <patternFill patternType="solid">
          <fgColor indexed="64"/>
          <bgColor rgb="FFFFF2CC"/>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rgb="FF000000"/>
        <name val="Arial"/>
        <family val="2"/>
        <scheme val="none"/>
      </font>
      <fill>
        <patternFill patternType="solid">
          <fgColor indexed="64"/>
          <bgColor rgb="FFFFF2CC"/>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rgb="FF000000"/>
        <name val="Arial"/>
        <family val="2"/>
        <scheme val="none"/>
      </font>
      <fill>
        <patternFill patternType="solid">
          <fgColor indexed="64"/>
          <bgColor rgb="FFFFF2CC"/>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rgb="FF000000"/>
        <name val="Arial"/>
        <family val="2"/>
        <scheme val="none"/>
      </font>
      <fill>
        <patternFill patternType="solid">
          <fgColor indexed="64"/>
          <bgColor rgb="FFFFF2CC"/>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rgb="FF000000"/>
        <name val="Arial"/>
        <family val="2"/>
        <scheme val="none"/>
      </font>
      <numFmt numFmtId="0" formatCode="General"/>
      <fill>
        <patternFill patternType="solid">
          <fgColor indexed="64"/>
          <bgColor rgb="FFE2EFDA"/>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rgb="FF000000"/>
        <name val="Arial"/>
        <family val="2"/>
        <scheme val="none"/>
      </font>
      <fill>
        <patternFill patternType="solid">
          <fgColor indexed="64"/>
          <bgColor rgb="FFFFF2CC"/>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border outline="0">
        <top style="thin">
          <color rgb="FF000000"/>
        </top>
      </border>
    </dxf>
    <dxf>
      <font>
        <b val="0"/>
        <i val="0"/>
        <strike val="0"/>
        <condense val="0"/>
        <extend val="0"/>
        <outline val="0"/>
        <shadow val="0"/>
        <u val="none"/>
        <vertAlign val="baseline"/>
        <sz val="9"/>
        <color rgb="FF000000"/>
        <name val="Arial"/>
        <family val="2"/>
        <scheme val="none"/>
      </font>
      <fill>
        <patternFill patternType="solid">
          <fgColor indexed="64"/>
          <bgColor rgb="FFFFF2CC"/>
        </patternFill>
      </fill>
      <alignment horizontal="center" vertical="center" textRotation="0" wrapText="0" indent="0" justifyLastLine="0" shrinkToFit="0" readingOrder="0"/>
    </dxf>
    <dxf>
      <border outline="0">
        <bottom style="thin">
          <color rgb="FF000000"/>
        </bottom>
      </border>
    </dxf>
    <dxf>
      <font>
        <b/>
        <i val="0"/>
        <strike val="0"/>
        <condense val="0"/>
        <extend val="0"/>
        <outline val="0"/>
        <shadow val="0"/>
        <u val="none"/>
        <vertAlign val="baseline"/>
        <sz val="9"/>
        <color rgb="FF000000"/>
        <name val="Arial"/>
        <family val="2"/>
        <scheme val="none"/>
      </font>
      <fill>
        <patternFill patternType="solid">
          <fgColor indexed="64"/>
          <bgColor rgb="FFF8CBAD"/>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colors>
    <mruColors>
      <color rgb="FFE6F191"/>
      <color rgb="FFAFCCF7"/>
      <color rgb="FFC0C1E6"/>
      <color rgb="FFFF0000"/>
      <color rgb="FFFF6699"/>
      <color rgb="FFFFCDCD"/>
      <color rgb="FFFF5050"/>
      <color rgb="FFFF0066"/>
      <color rgb="FF6EB887"/>
      <color rgb="FF2A7A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Completion, Incomplete &amp; Behind Rate Trend</a:t>
            </a:r>
          </a:p>
        </c:rich>
      </c:tx>
      <c:overlay val="0"/>
    </c:title>
    <c:autoTitleDeleted val="0"/>
    <c:plotArea>
      <c:layout/>
      <c:lineChart>
        <c:grouping val="standard"/>
        <c:varyColors val="0"/>
        <c:ser>
          <c:idx val="0"/>
          <c:order val="0"/>
          <c:tx>
            <c:strRef>
              <c:f>Data Insights!$E$10</c:f>
              <c:strCache>
                <c:ptCount val="1"/>
                <c:pt idx="0">
                  <c:v>Complete</c:v>
                </c:pt>
              </c:strCache>
            </c:strRef>
          </c:tx>
          <c:cat>
            <c:strRef>
              <c:f>Data Insights!$A$11:$A$23</c:f>
              <c:strCache>
                <c:ptCount val="13"/>
                <c:pt idx="0">
                  <c:v>2025-08</c:v>
                </c:pt>
                <c:pt idx="1">
                  <c:v>2025-09</c:v>
                </c:pt>
                <c:pt idx="2">
                  <c:v>2025-10</c:v>
                </c:pt>
                <c:pt idx="3">
                  <c:v>2025-11</c:v>
                </c:pt>
                <c:pt idx="4">
                  <c:v>2025-12</c:v>
                </c:pt>
                <c:pt idx="5">
                  <c:v>2026-01</c:v>
                </c:pt>
                <c:pt idx="6">
                  <c:v>2026-02</c:v>
                </c:pt>
                <c:pt idx="7">
                  <c:v>2026-03</c:v>
                </c:pt>
                <c:pt idx="8">
                  <c:v>2026-04</c:v>
                </c:pt>
                <c:pt idx="9">
                  <c:v>2026-05</c:v>
                </c:pt>
                <c:pt idx="10">
                  <c:v>2026-06</c:v>
                </c:pt>
                <c:pt idx="11">
                  <c:v>2026-07</c:v>
                </c:pt>
                <c:pt idx="12">
                  <c:v>2026-08</c:v>
                </c:pt>
              </c:strCache>
            </c:strRef>
          </c:cat>
          <c:val>
            <c:numRef>
              <c:f>Data Insights!$E$11:$E$23</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F109-4CF0-BBAE-72079E2701A0}"/>
            </c:ext>
          </c:extLst>
        </c:ser>
        <c:ser>
          <c:idx val="1"/>
          <c:order val="1"/>
          <c:tx>
            <c:strRef>
              <c:f>Data Insights!$F$10</c:f>
              <c:strCache>
                <c:ptCount val="1"/>
                <c:pt idx="0">
                  <c:v>Incomplete</c:v>
                </c:pt>
              </c:strCache>
            </c:strRef>
          </c:tx>
          <c:cat>
            <c:strRef>
              <c:f>Data Insights!$A$11:$A$23</c:f>
              <c:strCache>
                <c:ptCount val="13"/>
                <c:pt idx="0">
                  <c:v>2025-08</c:v>
                </c:pt>
                <c:pt idx="1">
                  <c:v>2025-09</c:v>
                </c:pt>
                <c:pt idx="2">
                  <c:v>2025-10</c:v>
                </c:pt>
                <c:pt idx="3">
                  <c:v>2025-11</c:v>
                </c:pt>
                <c:pt idx="4">
                  <c:v>2025-12</c:v>
                </c:pt>
                <c:pt idx="5">
                  <c:v>2026-01</c:v>
                </c:pt>
                <c:pt idx="6">
                  <c:v>2026-02</c:v>
                </c:pt>
                <c:pt idx="7">
                  <c:v>2026-03</c:v>
                </c:pt>
                <c:pt idx="8">
                  <c:v>2026-04</c:v>
                </c:pt>
                <c:pt idx="9">
                  <c:v>2026-05</c:v>
                </c:pt>
                <c:pt idx="10">
                  <c:v>2026-06</c:v>
                </c:pt>
                <c:pt idx="11">
                  <c:v>2026-07</c:v>
                </c:pt>
                <c:pt idx="12">
                  <c:v>2026-08</c:v>
                </c:pt>
              </c:strCache>
            </c:strRef>
          </c:cat>
          <c:val>
            <c:numRef>
              <c:f>Data Insights!$F$11:$F$23</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3-F109-4CF0-BBAE-72079E2701A0}"/>
            </c:ext>
          </c:extLst>
        </c:ser>
        <c:ser>
          <c:idx val="2"/>
          <c:order val="2"/>
          <c:tx>
            <c:strRef>
              <c:f>Data Insights!$G$10</c:f>
              <c:strCache>
                <c:ptCount val="1"/>
                <c:pt idx="0">
                  <c:v>Behind</c:v>
                </c:pt>
              </c:strCache>
            </c:strRef>
          </c:tx>
          <c:cat>
            <c:strRef>
              <c:f>Data Insights!$A$11:$A$23</c:f>
              <c:strCache>
                <c:ptCount val="13"/>
                <c:pt idx="0">
                  <c:v>2025-08</c:v>
                </c:pt>
                <c:pt idx="1">
                  <c:v>2025-09</c:v>
                </c:pt>
                <c:pt idx="2">
                  <c:v>2025-10</c:v>
                </c:pt>
                <c:pt idx="3">
                  <c:v>2025-11</c:v>
                </c:pt>
                <c:pt idx="4">
                  <c:v>2025-12</c:v>
                </c:pt>
                <c:pt idx="5">
                  <c:v>2026-01</c:v>
                </c:pt>
                <c:pt idx="6">
                  <c:v>2026-02</c:v>
                </c:pt>
                <c:pt idx="7">
                  <c:v>2026-03</c:v>
                </c:pt>
                <c:pt idx="8">
                  <c:v>2026-04</c:v>
                </c:pt>
                <c:pt idx="9">
                  <c:v>2026-05</c:v>
                </c:pt>
                <c:pt idx="10">
                  <c:v>2026-06</c:v>
                </c:pt>
                <c:pt idx="11">
                  <c:v>2026-07</c:v>
                </c:pt>
                <c:pt idx="12">
                  <c:v>2026-08</c:v>
                </c:pt>
              </c:strCache>
            </c:strRef>
          </c:cat>
          <c:val>
            <c:numRef>
              <c:f>Data Insights!$G$11:$G$23</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4BBB-4DF8-AE17-450CA781B5BF}"/>
            </c:ext>
          </c:extLst>
        </c:ser>
        <c:dLbls>
          <c:showLegendKey val="0"/>
          <c:showVal val="0"/>
          <c:showCatName val="0"/>
          <c:showSerName val="0"/>
          <c:showPercent val="0"/>
          <c:showBubbleSize val="0"/>
        </c:dLbls>
        <c:marker val="1"/>
        <c:smooth val="0"/>
        <c:axId val="1181844160"/>
        <c:axId val="1304746896"/>
      </c:lineChart>
      <c:catAx>
        <c:axId val="1181844160"/>
        <c:scaling>
          <c:orientation val="minMax"/>
        </c:scaling>
        <c:delete val="0"/>
        <c:axPos val="b"/>
        <c:numFmt formatCode="General" sourceLinked="1"/>
        <c:majorTickMark val="out"/>
        <c:minorTickMark val="none"/>
        <c:tickLblPos val="nextTo"/>
        <c:crossAx val="1304746896"/>
        <c:crosses val="autoZero"/>
        <c:auto val="1"/>
        <c:lblAlgn val="ctr"/>
        <c:lblOffset val="100"/>
        <c:noMultiLvlLbl val="0"/>
      </c:catAx>
      <c:valAx>
        <c:axId val="1304746896"/>
        <c:scaling>
          <c:orientation val="minMax"/>
        </c:scaling>
        <c:delete val="0"/>
        <c:axPos val="l"/>
        <c:majorGridlines/>
        <c:numFmt formatCode="0%" sourceLinked="0"/>
        <c:majorTickMark val="out"/>
        <c:minorTickMark val="none"/>
        <c:tickLblPos val="nextTo"/>
        <c:crossAx val="1181844160"/>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Current Month Task Status Distribution</a:t>
            </a:r>
          </a:p>
        </c:rich>
      </c:tx>
      <c:overlay val="0"/>
    </c:title>
    <c:autoTitleDeleted val="0"/>
    <c:plotArea>
      <c:layout/>
      <c:barChart>
        <c:barDir val="col"/>
        <c:grouping val="clustered"/>
        <c:varyColors val="0"/>
        <c:ser>
          <c:idx val="0"/>
          <c:order val="0"/>
          <c:tx>
            <c:strRef>
              <c:f>Data Insights!$K$10</c:f>
              <c:strCache>
                <c:ptCount val="1"/>
                <c:pt idx="0">
                  <c:v>Count</c:v>
                </c:pt>
              </c:strCache>
            </c:strRef>
          </c:tx>
          <c:invertIfNegative val="0"/>
          <c:cat>
            <c:strRef>
              <c:f>Data Insights!$J$11:$J$14</c:f>
              <c:strCache>
                <c:ptCount val="4"/>
                <c:pt idx="0">
                  <c:v>Completed</c:v>
                </c:pt>
                <c:pt idx="1">
                  <c:v>Behind</c:v>
                </c:pt>
                <c:pt idx="2">
                  <c:v>Cancelled</c:v>
                </c:pt>
                <c:pt idx="3">
                  <c:v>Other / Incomplete</c:v>
                </c:pt>
              </c:strCache>
            </c:strRef>
          </c:cat>
          <c:val>
            <c:numRef>
              <c:f>Data Insights!$K$11:$K$14</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2-8CEC-4FAF-A22E-F52016D1F8A7}"/>
            </c:ext>
          </c:extLst>
        </c:ser>
        <c:dLbls>
          <c:showLegendKey val="0"/>
          <c:showVal val="0"/>
          <c:showCatName val="0"/>
          <c:showSerName val="0"/>
          <c:showPercent val="0"/>
          <c:showBubbleSize val="0"/>
        </c:dLbls>
        <c:gapWidth val="150"/>
        <c:axId val="1682884480"/>
        <c:axId val="1682881600"/>
      </c:barChart>
      <c:catAx>
        <c:axId val="1682884480"/>
        <c:scaling>
          <c:orientation val="minMax"/>
        </c:scaling>
        <c:delete val="0"/>
        <c:axPos val="b"/>
        <c:numFmt formatCode="General" sourceLinked="1"/>
        <c:majorTickMark val="out"/>
        <c:minorTickMark val="none"/>
        <c:tickLblPos val="nextTo"/>
        <c:crossAx val="1682881600"/>
        <c:crosses val="autoZero"/>
        <c:auto val="1"/>
        <c:lblAlgn val="ctr"/>
        <c:lblOffset val="100"/>
        <c:noMultiLvlLbl val="0"/>
      </c:catAx>
      <c:valAx>
        <c:axId val="1682881600"/>
        <c:scaling>
          <c:orientation val="minMax"/>
        </c:scaling>
        <c:delete val="0"/>
        <c:axPos val="l"/>
        <c:majorGridlines/>
        <c:numFmt formatCode="General" sourceLinked="1"/>
        <c:majorTickMark val="out"/>
        <c:minorTickMark val="none"/>
        <c:tickLblPos val="nextTo"/>
        <c:crossAx val="1682884480"/>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72231</xdr:colOff>
      <xdr:row>10</xdr:row>
      <xdr:rowOff>80089</xdr:rowOff>
    </xdr:from>
    <xdr:to>
      <xdr:col>11</xdr:col>
      <xdr:colOff>584994</xdr:colOff>
      <xdr:row>13</xdr:row>
      <xdr:rowOff>169942</xdr:rowOff>
    </xdr:to>
    <xdr:sp macro="[0]!RefreshWeeklyStudyPlan" textlink="">
      <xdr:nvSpPr>
        <xdr:cNvPr id="2" name="btnRefreshWeeklyStudyPlan" descr="Append the next weekly template in this workbook; no file-path dependency; restore the full gray spare section.">
          <a:extLst>
            <a:ext uri="{FF2B5EF4-FFF2-40B4-BE49-F238E27FC236}">
              <a16:creationId xmlns:a16="http://schemas.microsoft.com/office/drawing/2014/main" id="{DE6C58F4-19BF-297E-BAA2-52EACBAFC862}"/>
            </a:ext>
          </a:extLst>
        </xdr:cNvPr>
        <xdr:cNvSpPr/>
      </xdr:nvSpPr>
      <xdr:spPr>
        <a:xfrm>
          <a:off x="5537200" y="1871980"/>
          <a:ext cx="1727200" cy="637540"/>
        </a:xfrm>
        <a:prstGeom prst="roundRect">
          <a:avLst/>
        </a:prstGeom>
        <a:solidFill>
          <a:srgbClr val="ED7D31"/>
        </a:solidFill>
        <a:ln w="15875">
          <a:solidFill>
            <a:srgbClr val="9B621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zh-CN" altLang="en-US" sz="1100" b="1">
              <a:solidFill>
                <a:srgbClr val="FFFFFF"/>
              </a:solidFill>
              <a:latin typeface="Aptos" panose="02010600030101010101" pitchFamily="2" charset="-122"/>
            </a:rPr>
            <a:t>Refresh Weekly Plan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38100</xdr:colOff>
      <xdr:row>0</xdr:row>
      <xdr:rowOff>38100</xdr:rowOff>
    </xdr:from>
    <xdr:to>
      <xdr:col>13</xdr:col>
      <xdr:colOff>1112520</xdr:colOff>
      <xdr:row>0</xdr:row>
      <xdr:rowOff>388620</xdr:rowOff>
    </xdr:to>
    <xdr:sp macro="[0]!ClearSelectedProject" textlink="">
      <xdr:nvSpPr>
        <xdr:cNvPr id="3" name="btnClearSelectedProject">
          <a:extLst>
            <a:ext uri="{FF2B5EF4-FFF2-40B4-BE49-F238E27FC236}">
              <a16:creationId xmlns:a16="http://schemas.microsoft.com/office/drawing/2014/main" id="{1E135EBA-31C9-80DA-7294-FB5DAA46A96B}"/>
            </a:ext>
          </a:extLst>
        </xdr:cNvPr>
        <xdr:cNvSpPr/>
      </xdr:nvSpPr>
      <xdr:spPr>
        <a:xfrm>
          <a:off x="9281160" y="38100"/>
          <a:ext cx="3566160" cy="350520"/>
        </a:xfrm>
        <a:prstGeom prst="roundRect">
          <a:avLst/>
        </a:prstGeom>
        <a:solidFill>
          <a:srgbClr val="ED7D31"/>
        </a:solidFill>
        <a:ln w="19050">
          <a:solidFill>
            <a:srgbClr val="9C57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b="1">
              <a:solidFill>
                <a:srgbClr val="FFFFFF"/>
              </a:solidFill>
              <a:latin typeface="Arial" panose="020B0604020202020204" pitchFamily="34" charset="0"/>
            </a:rPr>
            <a:t>Clear Current Project</a:t>
          </a:r>
        </a:p>
      </xdr:txBody>
    </xdr:sp>
    <xdr:clientData/>
  </xdr:twoCellAnchor>
  <xdr:twoCellAnchor>
    <xdr:from>
      <xdr:col>1</xdr:col>
      <xdr:colOff>12700</xdr:colOff>
      <xdr:row>16</xdr:row>
      <xdr:rowOff>12700</xdr:rowOff>
    </xdr:from>
    <xdr:to>
      <xdr:col>4</xdr:col>
      <xdr:colOff>1000760</xdr:colOff>
      <xdr:row>16</xdr:row>
      <xdr:rowOff>368300</xdr:rowOff>
    </xdr:to>
    <xdr:sp macro="ToggleProjectSelector" textlink="">
      <xdr:nvSpPr>
        <xdr:cNvPr id="4" name="btnProjectSelector">
          <a:extLst>
            <a:ext uri="{FF2B5EF4-FFF2-40B4-BE49-F238E27FC236}">
              <a16:creationId xmlns:a16="http://schemas.microsoft.com/office/drawing/2014/main" id="{5862B79D-4557-4BE3-AE71-C38E0581324D}"/>
            </a:ext>
          </a:extLst>
        </xdr:cNvPr>
        <xdr:cNvSpPr/>
      </xdr:nvSpPr>
      <xdr:spPr>
        <a:xfrm>
          <a:off x="751840" y="3411220"/>
          <a:ext cx="3822700" cy="355600"/>
        </a:xfrm>
        <a:prstGeom prst="rect">
          <a:avLst/>
        </a:prstGeom>
        <a:solidFill>
          <a:srgbClr val="FFF2CC"/>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tlCol="0" anchor="ctr"/>
        <a:lstStyle/>
        <a:p>
          <a:pPr algn="l"/>
          <a:r>
            <a:rPr lang="en-US" altLang="zh-CN" sz="1300" b="1">
              <a:solidFill>
                <a:srgbClr val="000000"/>
              </a:solidFill>
              <a:latin typeface="Arial" panose="020B0604020202020204" pitchFamily="34" charset="0"/>
            </a:rPr>
            <a:t>Select Project  ▼</a:t>
          </a:r>
          <a:endParaRPr lang="zh-CN" altLang="en-US" sz="1300" b="1">
            <a:solidFill>
              <a:srgbClr val="000000"/>
            </a:solidFill>
            <a:latin typeface="Arial" panose="020B0604020202020204" pitchFamily="34" charset="0"/>
          </a:endParaRPr>
        </a:p>
      </xdr:txBody>
    </xdr:sp>
    <xdr:clientData/>
  </xdr:twoCellAnchor>
  <xdr:twoCellAnchor editAs="absolute">
    <xdr:from>
      <xdr:col>0</xdr:col>
      <xdr:colOff>761945</xdr:colOff>
      <xdr:row>17</xdr:row>
      <xdr:rowOff>132964</xdr:rowOff>
    </xdr:from>
    <xdr:to>
      <xdr:col>4</xdr:col>
      <xdr:colOff>879015</xdr:colOff>
      <xdr:row>18</xdr:row>
      <xdr:rowOff>112643</xdr:rowOff>
    </xdr:to>
    <xdr:sp macro="SelectProjectFromMenu" textlink="">
      <xdr:nvSpPr>
        <xdr:cNvPr id="7" name="ProjectOption3" hidden="1">
          <a:extLst>
            <a:ext uri="{FF2B5EF4-FFF2-40B4-BE49-F238E27FC236}">
              <a16:creationId xmlns:a16="http://schemas.microsoft.com/office/drawing/2014/main" id="{52004F2F-BDC1-EB85-3ED8-65759D7EE207}"/>
            </a:ext>
          </a:extLst>
        </xdr:cNvPr>
        <xdr:cNvSpPr/>
      </xdr:nvSpPr>
      <xdr:spPr>
        <a:xfrm>
          <a:off x="751840" y="4363720"/>
          <a:ext cx="3822700" cy="292100"/>
        </a:xfrm>
        <a:prstGeom prst="rect">
          <a:avLst/>
        </a:prstGeom>
        <a:solidFill>
          <a:srgbClr val="FFFFFF"/>
        </a:solidFill>
        <a:ln w="9525">
          <a:solidFill>
            <a:srgbClr val="A6A6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tlCol="0" anchor="ctr"/>
        <a:lstStyle/>
        <a:p>
          <a:pPr algn="l"/>
          <a:endParaRPr lang="zh-CN" altLang="en-US" sz="1200" b="1">
            <a:solidFill>
              <a:srgbClr val="000000"/>
            </a:solidFill>
            <a:latin typeface="Arial" panose="020B0604020202020204" pitchFamily="34" charset="0"/>
          </a:endParaRPr>
        </a:p>
      </xdr:txBody>
    </xdr:sp>
    <xdr:clientData/>
  </xdr:twoCellAnchor>
  <xdr:twoCellAnchor editAs="absolute">
    <xdr:from>
      <xdr:col>0</xdr:col>
      <xdr:colOff>761945</xdr:colOff>
      <xdr:row>18</xdr:row>
      <xdr:rowOff>112643</xdr:rowOff>
    </xdr:from>
    <xdr:to>
      <xdr:col>4</xdr:col>
      <xdr:colOff>879015</xdr:colOff>
      <xdr:row>19</xdr:row>
      <xdr:rowOff>174487</xdr:rowOff>
    </xdr:to>
    <xdr:sp macro="SelectProjectFromMenu" textlink="">
      <xdr:nvSpPr>
        <xdr:cNvPr id="8" name="ProjectOption4" hidden="1">
          <a:extLst>
            <a:ext uri="{FF2B5EF4-FFF2-40B4-BE49-F238E27FC236}">
              <a16:creationId xmlns:a16="http://schemas.microsoft.com/office/drawing/2014/main" id="{456208CD-72E2-572D-EB1C-DAD4C72287A7}"/>
            </a:ext>
          </a:extLst>
        </xdr:cNvPr>
        <xdr:cNvSpPr/>
      </xdr:nvSpPr>
      <xdr:spPr>
        <a:xfrm>
          <a:off x="751840" y="4655820"/>
          <a:ext cx="3822700" cy="292100"/>
        </a:xfrm>
        <a:prstGeom prst="rect">
          <a:avLst/>
        </a:prstGeom>
        <a:solidFill>
          <a:srgbClr val="FFFFFF"/>
        </a:solidFill>
        <a:ln w="9525">
          <a:solidFill>
            <a:srgbClr val="A6A6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tlCol="0" anchor="ctr"/>
        <a:lstStyle/>
        <a:p>
          <a:pPr algn="l"/>
          <a:endParaRPr lang="zh-CN" altLang="en-US" sz="1200" b="1">
            <a:solidFill>
              <a:srgbClr val="000000"/>
            </a:solidFill>
            <a:latin typeface="Arial" panose="020B0604020202020204" pitchFamily="34" charset="0"/>
          </a:endParaRPr>
        </a:p>
      </xdr:txBody>
    </xdr:sp>
    <xdr:clientData/>
  </xdr:twoCellAnchor>
  <xdr:twoCellAnchor editAs="absolute">
    <xdr:from>
      <xdr:col>0</xdr:col>
      <xdr:colOff>761945</xdr:colOff>
      <xdr:row>19</xdr:row>
      <xdr:rowOff>174487</xdr:rowOff>
    </xdr:from>
    <xdr:to>
      <xdr:col>4</xdr:col>
      <xdr:colOff>879015</xdr:colOff>
      <xdr:row>20</xdr:row>
      <xdr:rowOff>169407</xdr:rowOff>
    </xdr:to>
    <xdr:sp macro="SelectProjectFromMenu" textlink="">
      <xdr:nvSpPr>
        <xdr:cNvPr id="9" name="ProjectOption5" hidden="1">
          <a:extLst>
            <a:ext uri="{FF2B5EF4-FFF2-40B4-BE49-F238E27FC236}">
              <a16:creationId xmlns:a16="http://schemas.microsoft.com/office/drawing/2014/main" id="{2B51C325-BE14-C360-6F91-8D4BAFCC2ADB}"/>
            </a:ext>
          </a:extLst>
        </xdr:cNvPr>
        <xdr:cNvSpPr/>
      </xdr:nvSpPr>
      <xdr:spPr>
        <a:xfrm>
          <a:off x="751840" y="4947920"/>
          <a:ext cx="3822700" cy="292100"/>
        </a:xfrm>
        <a:prstGeom prst="rect">
          <a:avLst/>
        </a:prstGeom>
        <a:solidFill>
          <a:srgbClr val="FFFFFF"/>
        </a:solidFill>
        <a:ln w="9525">
          <a:solidFill>
            <a:srgbClr val="A6A6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tlCol="0" anchor="ctr"/>
        <a:lstStyle/>
        <a:p>
          <a:pPr algn="l"/>
          <a:endParaRPr lang="zh-CN" altLang="en-US" sz="1200" b="1">
            <a:solidFill>
              <a:srgbClr val="000000"/>
            </a:solidFill>
            <a:latin typeface="Arial" panose="020B0604020202020204" pitchFamily="34" charset="0"/>
          </a:endParaRPr>
        </a:p>
      </xdr:txBody>
    </xdr:sp>
    <xdr:clientData/>
  </xdr:twoCellAnchor>
  <xdr:twoCellAnchor editAs="absolute">
    <xdr:from>
      <xdr:col>0</xdr:col>
      <xdr:colOff>761945</xdr:colOff>
      <xdr:row>20</xdr:row>
      <xdr:rowOff>169407</xdr:rowOff>
    </xdr:from>
    <xdr:to>
      <xdr:col>4</xdr:col>
      <xdr:colOff>879015</xdr:colOff>
      <xdr:row>21</xdr:row>
      <xdr:rowOff>174189</xdr:rowOff>
    </xdr:to>
    <xdr:sp macro="SelectProjectFromMenu" textlink="">
      <xdr:nvSpPr>
        <xdr:cNvPr id="10" name="ProjectOption6" hidden="1">
          <a:extLst>
            <a:ext uri="{FF2B5EF4-FFF2-40B4-BE49-F238E27FC236}">
              <a16:creationId xmlns:a16="http://schemas.microsoft.com/office/drawing/2014/main" id="{B39F7790-1423-DA8B-AD27-CC011D9ACD11}"/>
            </a:ext>
          </a:extLst>
        </xdr:cNvPr>
        <xdr:cNvSpPr/>
      </xdr:nvSpPr>
      <xdr:spPr>
        <a:xfrm>
          <a:off x="751840" y="5240020"/>
          <a:ext cx="3822700" cy="292100"/>
        </a:xfrm>
        <a:prstGeom prst="rect">
          <a:avLst/>
        </a:prstGeom>
        <a:solidFill>
          <a:srgbClr val="FFFFFF"/>
        </a:solidFill>
        <a:ln w="9525">
          <a:solidFill>
            <a:srgbClr val="A6A6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tlCol="0" anchor="ctr"/>
        <a:lstStyle/>
        <a:p>
          <a:pPr algn="l"/>
          <a:endParaRPr lang="zh-CN" altLang="en-US" sz="1200" b="1">
            <a:solidFill>
              <a:srgbClr val="000000"/>
            </a:solidFill>
            <a:latin typeface="Arial" panose="020B0604020202020204" pitchFamily="34" charset="0"/>
          </a:endParaRPr>
        </a:p>
      </xdr:txBody>
    </xdr:sp>
    <xdr:clientData/>
  </xdr:twoCellAnchor>
  <xdr:twoCellAnchor editAs="absolute">
    <xdr:from>
      <xdr:col>0</xdr:col>
      <xdr:colOff>761945</xdr:colOff>
      <xdr:row>21</xdr:row>
      <xdr:rowOff>174189</xdr:rowOff>
    </xdr:from>
    <xdr:to>
      <xdr:col>4</xdr:col>
      <xdr:colOff>879015</xdr:colOff>
      <xdr:row>22</xdr:row>
      <xdr:rowOff>133164</xdr:rowOff>
    </xdr:to>
    <xdr:sp macro="SelectProjectFromMenu" textlink="">
      <xdr:nvSpPr>
        <xdr:cNvPr id="11" name="ProjectOption7" hidden="1">
          <a:extLst>
            <a:ext uri="{FF2B5EF4-FFF2-40B4-BE49-F238E27FC236}">
              <a16:creationId xmlns:a16="http://schemas.microsoft.com/office/drawing/2014/main" id="{63BBBB70-5C19-4E10-8303-E458298B30C0}"/>
            </a:ext>
          </a:extLst>
        </xdr:cNvPr>
        <xdr:cNvSpPr/>
      </xdr:nvSpPr>
      <xdr:spPr>
        <a:xfrm>
          <a:off x="751840" y="5532120"/>
          <a:ext cx="3822700" cy="292100"/>
        </a:xfrm>
        <a:prstGeom prst="rect">
          <a:avLst/>
        </a:prstGeom>
        <a:solidFill>
          <a:srgbClr val="FFFFFF"/>
        </a:solidFill>
        <a:ln w="9525">
          <a:solidFill>
            <a:srgbClr val="A6A6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tlCol="0" anchor="ctr"/>
        <a:lstStyle/>
        <a:p>
          <a:pPr algn="l"/>
          <a:endParaRPr lang="zh-CN" altLang="en-US" sz="1200" b="1">
            <a:solidFill>
              <a:srgbClr val="000000"/>
            </a:solidFill>
            <a:latin typeface="Arial" panose="020B0604020202020204" pitchFamily="34" charset="0"/>
          </a:endParaRPr>
        </a:p>
      </xdr:txBody>
    </xdr:sp>
    <xdr:clientData/>
  </xdr:twoCellAnchor>
  <xdr:twoCellAnchor editAs="absolute">
    <xdr:from>
      <xdr:col>0</xdr:col>
      <xdr:colOff>761945</xdr:colOff>
      <xdr:row>22</xdr:row>
      <xdr:rowOff>133164</xdr:rowOff>
    </xdr:from>
    <xdr:to>
      <xdr:col>4</xdr:col>
      <xdr:colOff>879015</xdr:colOff>
      <xdr:row>23</xdr:row>
      <xdr:rowOff>212566</xdr:rowOff>
    </xdr:to>
    <xdr:sp macro="SelectProjectFromMenu" textlink="">
      <xdr:nvSpPr>
        <xdr:cNvPr id="12" name="ProjectOption8" hidden="1">
          <a:extLst>
            <a:ext uri="{FF2B5EF4-FFF2-40B4-BE49-F238E27FC236}">
              <a16:creationId xmlns:a16="http://schemas.microsoft.com/office/drawing/2014/main" id="{B069B103-AF20-987F-49D8-0D8DEE66EDC3}"/>
            </a:ext>
          </a:extLst>
        </xdr:cNvPr>
        <xdr:cNvSpPr/>
      </xdr:nvSpPr>
      <xdr:spPr>
        <a:xfrm>
          <a:off x="751840" y="5824220"/>
          <a:ext cx="3822700" cy="292100"/>
        </a:xfrm>
        <a:prstGeom prst="rect">
          <a:avLst/>
        </a:prstGeom>
        <a:solidFill>
          <a:srgbClr val="FFFFFF"/>
        </a:solidFill>
        <a:ln w="9525">
          <a:solidFill>
            <a:srgbClr val="A6A6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tlCol="0" anchor="ctr"/>
        <a:lstStyle/>
        <a:p>
          <a:pPr algn="l"/>
          <a:endParaRPr lang="zh-CN" altLang="en-US" sz="1200" b="1">
            <a:solidFill>
              <a:srgbClr val="000000"/>
            </a:solidFill>
            <a:latin typeface="Arial" panose="020B0604020202020204" pitchFamily="34" charset="0"/>
          </a:endParaRPr>
        </a:p>
      </xdr:txBody>
    </xdr:sp>
    <xdr:clientData/>
  </xdr:twoCellAnchor>
  <xdr:twoCellAnchor editAs="absolute">
    <xdr:from>
      <xdr:col>0</xdr:col>
      <xdr:colOff>761945</xdr:colOff>
      <xdr:row>23</xdr:row>
      <xdr:rowOff>212566</xdr:rowOff>
    </xdr:from>
    <xdr:to>
      <xdr:col>4</xdr:col>
      <xdr:colOff>879015</xdr:colOff>
      <xdr:row>25</xdr:row>
      <xdr:rowOff>18452</xdr:rowOff>
    </xdr:to>
    <xdr:sp macro="SelectProjectFromMenu" textlink="">
      <xdr:nvSpPr>
        <xdr:cNvPr id="13" name="ProjectOption9" hidden="1">
          <a:extLst>
            <a:ext uri="{FF2B5EF4-FFF2-40B4-BE49-F238E27FC236}">
              <a16:creationId xmlns:a16="http://schemas.microsoft.com/office/drawing/2014/main" id="{E9734851-431E-B911-BEDF-2B5C2A3DD8A3}"/>
            </a:ext>
          </a:extLst>
        </xdr:cNvPr>
        <xdr:cNvSpPr/>
      </xdr:nvSpPr>
      <xdr:spPr>
        <a:xfrm>
          <a:off x="751840" y="6116320"/>
          <a:ext cx="3822700" cy="292100"/>
        </a:xfrm>
        <a:prstGeom prst="rect">
          <a:avLst/>
        </a:prstGeom>
        <a:solidFill>
          <a:srgbClr val="FFFFFF"/>
        </a:solidFill>
        <a:ln w="9525">
          <a:solidFill>
            <a:srgbClr val="A6A6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tlCol="0" anchor="ctr"/>
        <a:lstStyle/>
        <a:p>
          <a:pPr algn="l"/>
          <a:endParaRPr lang="zh-CN" altLang="en-US" sz="1200" b="1">
            <a:solidFill>
              <a:srgbClr val="000000"/>
            </a:solidFill>
            <a:latin typeface="Arial" panose="020B0604020202020204" pitchFamily="34" charset="0"/>
          </a:endParaRPr>
        </a:p>
      </xdr:txBody>
    </xdr:sp>
    <xdr:clientData/>
  </xdr:twoCellAnchor>
  <xdr:twoCellAnchor editAs="absolute">
    <xdr:from>
      <xdr:col>0</xdr:col>
      <xdr:colOff>761945</xdr:colOff>
      <xdr:row>25</xdr:row>
      <xdr:rowOff>18452</xdr:rowOff>
    </xdr:from>
    <xdr:to>
      <xdr:col>4</xdr:col>
      <xdr:colOff>879015</xdr:colOff>
      <xdr:row>26</xdr:row>
      <xdr:rowOff>95726</xdr:rowOff>
    </xdr:to>
    <xdr:sp macro="SelectProjectFromMenu" textlink="">
      <xdr:nvSpPr>
        <xdr:cNvPr id="14" name="ProjectOption10" hidden="1">
          <a:extLst>
            <a:ext uri="{FF2B5EF4-FFF2-40B4-BE49-F238E27FC236}">
              <a16:creationId xmlns:a16="http://schemas.microsoft.com/office/drawing/2014/main" id="{08FD522A-0A9A-9ACF-B5AB-57C6ADDE3881}"/>
            </a:ext>
          </a:extLst>
        </xdr:cNvPr>
        <xdr:cNvSpPr/>
      </xdr:nvSpPr>
      <xdr:spPr>
        <a:xfrm>
          <a:off x="751840" y="6408420"/>
          <a:ext cx="3822700" cy="292100"/>
        </a:xfrm>
        <a:prstGeom prst="rect">
          <a:avLst/>
        </a:prstGeom>
        <a:solidFill>
          <a:srgbClr val="FFFFFF"/>
        </a:solidFill>
        <a:ln w="9525">
          <a:solidFill>
            <a:srgbClr val="A6A6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tlCol="0" anchor="ctr"/>
        <a:lstStyle/>
        <a:p>
          <a:pPr algn="l"/>
          <a:endParaRPr lang="zh-CN" altLang="en-US" sz="1200" b="1">
            <a:solidFill>
              <a:srgbClr val="000000"/>
            </a:solidFill>
            <a:latin typeface="Arial" panose="020B0604020202020204" pitchFamily="34" charset="0"/>
          </a:endParaRPr>
        </a:p>
      </xdr:txBody>
    </xdr:sp>
    <xdr:clientData/>
  </xdr:twoCellAnchor>
  <xdr:twoCellAnchor editAs="absolute">
    <xdr:from>
      <xdr:col>0</xdr:col>
      <xdr:colOff>761945</xdr:colOff>
      <xdr:row>16</xdr:row>
      <xdr:rowOff>209274</xdr:rowOff>
    </xdr:from>
    <xdr:to>
      <xdr:col>4</xdr:col>
      <xdr:colOff>879015</xdr:colOff>
      <xdr:row>17</xdr:row>
      <xdr:rowOff>132964</xdr:rowOff>
    </xdr:to>
    <xdr:sp macro="SelectProjectFromMenu" textlink="">
      <xdr:nvSpPr>
        <xdr:cNvPr id="6" name="ProjectOption2" hidden="1">
          <a:extLst>
            <a:ext uri="{FF2B5EF4-FFF2-40B4-BE49-F238E27FC236}">
              <a16:creationId xmlns:a16="http://schemas.microsoft.com/office/drawing/2014/main" id="{041C0778-156E-AF1E-7AE7-8A16109A4FD5}"/>
            </a:ext>
          </a:extLst>
        </xdr:cNvPr>
        <xdr:cNvSpPr/>
      </xdr:nvSpPr>
      <xdr:spPr>
        <a:xfrm>
          <a:off x="751840" y="4071620"/>
          <a:ext cx="3822700" cy="292100"/>
        </a:xfrm>
        <a:prstGeom prst="rect">
          <a:avLst/>
        </a:prstGeom>
        <a:solidFill>
          <a:srgbClr val="FFFFFF"/>
        </a:solidFill>
        <a:ln w="9525">
          <a:solidFill>
            <a:srgbClr val="A6A6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tlCol="0" anchor="ctr"/>
        <a:lstStyle/>
        <a:p>
          <a:pPr algn="l"/>
          <a:r>
            <a:rPr lang="zh-CN" altLang="en-US" sz="1200" b="1">
              <a:solidFill>
                <a:srgbClr val="000000"/>
              </a:solidFill>
              <a:latin typeface="Arial" panose="020B0604020202020204" pitchFamily="34" charset="0"/>
            </a:rPr>
            <a:t/>
          </a:r>
          <a:r>
            <a:rPr lang="en-US" altLang="zh-CN" sz="1200" b="1">
              <a:solidFill>
                <a:srgbClr val="000000"/>
              </a:solidFill>
              <a:latin typeface="Arial" panose="020B0604020202020204" pitchFamily="34" charset="0"/>
            </a:rPr>
            <a:t/>
          </a:r>
          <a:endParaRPr lang="zh-CN" altLang="en-US" sz="1200" b="1">
            <a:solidFill>
              <a:srgbClr val="000000"/>
            </a:solidFill>
            <a:latin typeface="Arial" panose="020B0604020202020204" pitchFamily="34" charset="0"/>
          </a:endParaRPr>
        </a:p>
      </xdr:txBody>
    </xdr:sp>
    <xdr:clientData/>
  </xdr:twoCellAnchor>
  <xdr:twoCellAnchor editAs="absolute">
    <xdr:from>
      <xdr:col>0</xdr:col>
      <xdr:colOff>761945</xdr:colOff>
      <xdr:row>15</xdr:row>
      <xdr:rowOff>149087</xdr:rowOff>
    </xdr:from>
    <xdr:to>
      <xdr:col>4</xdr:col>
      <xdr:colOff>879015</xdr:colOff>
      <xdr:row>16</xdr:row>
      <xdr:rowOff>209274</xdr:rowOff>
    </xdr:to>
    <xdr:sp macro="SelectProjectFromMenu" textlink="">
      <xdr:nvSpPr>
        <xdr:cNvPr id="5" name="ProjectOption1" hidden="1">
          <a:extLst>
            <a:ext uri="{FF2B5EF4-FFF2-40B4-BE49-F238E27FC236}">
              <a16:creationId xmlns:a16="http://schemas.microsoft.com/office/drawing/2014/main" id="{4F5C3577-4059-97F3-36E4-E0A2BF3DD118}"/>
            </a:ext>
          </a:extLst>
        </xdr:cNvPr>
        <xdr:cNvSpPr/>
      </xdr:nvSpPr>
      <xdr:spPr>
        <a:xfrm>
          <a:off x="751840" y="3779520"/>
          <a:ext cx="3822700" cy="292100"/>
        </a:xfrm>
        <a:prstGeom prst="rect">
          <a:avLst/>
        </a:prstGeom>
        <a:solidFill>
          <a:srgbClr val="FFFFFF"/>
        </a:solidFill>
        <a:ln w="9525">
          <a:solidFill>
            <a:srgbClr val="A6A6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tlCol="0" anchor="ctr"/>
        <a:lstStyle/>
        <a:p>
          <a:pPr algn="l"/>
          <a:r>
            <a:rPr lang="en-US" altLang="zh-CN" sz="1200" b="1">
              <a:solidFill>
                <a:srgbClr val="000000"/>
              </a:solidFill>
              <a:latin typeface="Arial" panose="020B0604020202020204" pitchFamily="34" charset="0"/>
            </a:rPr>
            <a:t/>
          </a:r>
          <a:endParaRPr lang="zh-CN" altLang="en-US" sz="1200" b="1">
            <a:solidFill>
              <a:srgbClr val="000000"/>
            </a:solidFill>
            <a:latin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718186</xdr:colOff>
      <xdr:row>0</xdr:row>
      <xdr:rowOff>38100</xdr:rowOff>
    </xdr:from>
    <xdr:to>
      <xdr:col>15</xdr:col>
      <xdr:colOff>781050</xdr:colOff>
      <xdr:row>1</xdr:row>
      <xdr:rowOff>264795</xdr:rowOff>
    </xdr:to>
    <xdr:sp macro="BuildMonthlyLearningSummary" textlink="">
      <xdr:nvSpPr>
        <xdr:cNvPr id="4" name="btnRefreshMonthlySummary" descr="MONTHLY_SUMMARY_V3_SIMPLE_BUTTON">
          <a:extLst>
            <a:ext uri="{FF2B5EF4-FFF2-40B4-BE49-F238E27FC236}">
              <a16:creationId xmlns:a16="http://schemas.microsoft.com/office/drawing/2014/main" id="{7097BF76-3BC2-2660-9724-43AC1A1884B3}"/>
            </a:ext>
          </a:extLst>
        </xdr:cNvPr>
        <xdr:cNvSpPr/>
      </xdr:nvSpPr>
      <xdr:spPr>
        <a:xfrm>
          <a:off x="13091161" y="38100"/>
          <a:ext cx="1615439" cy="65532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b="1">
              <a:solidFill>
                <a:srgbClr val="FFFFFF"/>
              </a:solidFill>
            </a:rPr>
            <a:t>Refresh Monthly Summary</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254000</xdr:colOff>
      <xdr:row>27</xdr:row>
      <xdr:rowOff>106680</xdr:rowOff>
    </xdr:from>
    <xdr:to>
      <xdr:col>6</xdr:col>
      <xdr:colOff>340360</xdr:colOff>
      <xdr:row>44</xdr:row>
      <xdr:rowOff>48260</xdr:rowOff>
    </xdr:to>
    <xdr:graphicFrame macro="">
      <xdr:nvGraphicFramePr>
        <xdr:cNvPr id="2" name="Chart 1">
          <a:extLst>
            <a:ext uri="{FF2B5EF4-FFF2-40B4-BE49-F238E27FC236}">
              <a16:creationId xmlns:a16="http://schemas.microsoft.com/office/drawing/2014/main" id="{A12DC489-09D5-6A6C-1774-A72BE4C60E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721360</xdr:colOff>
      <xdr:row>27</xdr:row>
      <xdr:rowOff>106680</xdr:rowOff>
    </xdr:from>
    <xdr:to>
      <xdr:col>10</xdr:col>
      <xdr:colOff>218440</xdr:colOff>
      <xdr:row>44</xdr:row>
      <xdr:rowOff>48260</xdr:rowOff>
    </xdr:to>
    <xdr:graphicFrame macro="">
      <xdr:nvGraphicFramePr>
        <xdr:cNvPr id="3" name="Chart 2">
          <a:extLst>
            <a:ext uri="{FF2B5EF4-FFF2-40B4-BE49-F238E27FC236}">
              <a16:creationId xmlns:a16="http://schemas.microsoft.com/office/drawing/2014/main" id="{6C2D2D67-2FB6-4B8E-03C4-3F69787778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48895</xdr:colOff>
      <xdr:row>0</xdr:row>
      <xdr:rowOff>38100</xdr:rowOff>
    </xdr:from>
    <xdr:to>
      <xdr:col>10</xdr:col>
      <xdr:colOff>598805</xdr:colOff>
      <xdr:row>0</xdr:row>
      <xdr:rowOff>251460</xdr:rowOff>
    </xdr:to>
    <xdr:sp macro="[0]!RefreshDataInsights" textlink="">
      <xdr:nvSpPr>
        <xdr:cNvPr id="5" name="btnRefreshDataInsights" descr="DATA_INSIGHTS_REFRESH_V7_BUTTON">
          <a:extLst>
            <a:ext uri="{FF2B5EF4-FFF2-40B4-BE49-F238E27FC236}">
              <a16:creationId xmlns:a16="http://schemas.microsoft.com/office/drawing/2014/main" id="{C7BE737A-832C-5EC8-1BFB-54470106899E}"/>
            </a:ext>
          </a:extLst>
        </xdr:cNvPr>
        <xdr:cNvSpPr/>
      </xdr:nvSpPr>
      <xdr:spPr>
        <a:xfrm>
          <a:off x="8021320" y="38100"/>
          <a:ext cx="2778760" cy="213360"/>
        </a:xfrm>
        <a:prstGeom prst="roundRect">
          <a:avLst/>
        </a:prstGeom>
        <a:solidFill>
          <a:srgbClr val="2F6992"/>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000" b="1">
              <a:solidFill>
                <a:srgbClr val="FFFFFF"/>
              </a:solidFill>
            </a:rPr>
            <a:t>Refresh Data Insights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12</xdr:col>
      <xdr:colOff>47625</xdr:colOff>
      <xdr:row>0</xdr:row>
      <xdr:rowOff>17780</xdr:rowOff>
    </xdr:from>
    <xdr:to>
      <xdr:col>15</xdr:col>
      <xdr:colOff>581025</xdr:colOff>
      <xdr:row>0</xdr:row>
      <xdr:rowOff>332740</xdr:rowOff>
    </xdr:to>
    <xdr:sp macro="[0]!ClearTomorrowPlan" textlink="">
      <xdr:nvSpPr>
        <xdr:cNvPr id="2" name="btnClearTomorrowPlan" descr="Clear Date, Planned Task, Priority, and Status while preserving Task #.">
          <a:extLst>
            <a:ext uri="{FF2B5EF4-FFF2-40B4-BE49-F238E27FC236}">
              <a16:creationId xmlns:a16="http://schemas.microsoft.com/office/drawing/2014/main" id="{17B19594-A854-60DA-88B5-DCFDE7371A9D}"/>
            </a:ext>
          </a:extLst>
        </xdr:cNvPr>
        <xdr:cNvSpPr/>
      </xdr:nvSpPr>
      <xdr:spPr>
        <a:xfrm>
          <a:off x="7534275" y="17780"/>
          <a:ext cx="2362200" cy="314960"/>
        </a:xfrm>
        <a:prstGeom prst="roundRect">
          <a:avLst/>
        </a:prstGeom>
        <a:solidFill>
          <a:srgbClr val="ED7D31"/>
        </a:solidFill>
        <a:ln w="15875">
          <a:solidFill>
            <a:srgbClr val="9B621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zh-CN" altLang="en-US" sz="1050" b="1">
              <a:solidFill>
                <a:srgbClr val="FFFFFF"/>
              </a:solidFill>
              <a:latin typeface="Aptos" panose="02010600030101010101" pitchFamily="2" charset="-122"/>
            </a:rPr>
            <a:t>Clear Plan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0</xdr:colOff>
      <xdr:row>57</xdr:row>
      <xdr:rowOff>0</xdr:rowOff>
    </xdr:from>
    <xdr:to>
      <xdr:col>14</xdr:col>
      <xdr:colOff>0</xdr:colOff>
      <xdr:row>59</xdr:row>
      <xdr:rowOff>0</xdr:rowOff>
    </xdr:to>
    <xdr:sp macro="ScheduleSort" textlink="">
      <xdr:nvSpPr>
        <xdr:cNvPr id="2" name="btnScheduleSort">
          <a:extLst>
            <a:ext uri="{FF2B5EF4-FFF2-40B4-BE49-F238E27FC236}">
              <a16:creationId xmlns:a16="http://schemas.microsoft.com/office/drawing/2014/main" id="{2408CE5A-AEE2-5516-A90A-7DB647427B45}"/>
            </a:ext>
          </a:extLst>
        </xdr:cNvPr>
        <xdr:cNvSpPr/>
      </xdr:nvSpPr>
      <xdr:spPr>
        <a:xfrm>
          <a:off x="7315200" y="11214100"/>
          <a:ext cx="1219200" cy="381000"/>
        </a:xfrm>
        <a:prstGeom prst="roundRect">
          <a:avLst/>
        </a:prstGeom>
        <a:gradFill flip="none" rotWithShape="1">
          <a:gsLst>
            <a:gs pos="0">
              <a:srgbClr val="FFC850"/>
            </a:gs>
            <a:gs pos="100000">
              <a:srgbClr val="FFFFFF"/>
            </a:gs>
          </a:gsLst>
          <a:lin ang="5400000" scaled="1"/>
          <a:tileRect/>
        </a:gradFill>
        <a:ln w="19050">
          <a:solidFill>
            <a:srgbClr val="E691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rgbClr val="282828"/>
              </a:solidFill>
            </a:rPr>
            <a:t>Sort Events</a:t>
          </a:r>
          <a:endParaRPr lang="en-CA" sz="1600" b="1">
            <a:solidFill>
              <a:srgbClr val="282828"/>
            </a:solidFill>
          </a:endParaRPr>
        </a:p>
      </xdr:txBody>
    </xdr:sp>
    <xdr:clientData/>
  </xdr:twoCellAnchor>
  <xdr:twoCellAnchor>
    <xdr:from>
      <xdr:col>29</xdr:col>
      <xdr:colOff>557604</xdr:colOff>
      <xdr:row>0</xdr:row>
      <xdr:rowOff>38100</xdr:rowOff>
    </xdr:from>
    <xdr:to>
      <xdr:col>33</xdr:col>
      <xdr:colOff>468853</xdr:colOff>
      <xdr:row>2</xdr:row>
      <xdr:rowOff>151952</xdr:rowOff>
    </xdr:to>
    <xdr:sp macro="[0]!ClearAcademicScheduledDeadline" textlink="">
      <xdr:nvSpPr>
        <xdr:cNvPr id="3" name="btnClearAcademicDeadlines" descr="Clear only Date, Task, and Progress inputs in the Academic Scheduled Deadline area and restore the blank template.">
          <a:extLst>
            <a:ext uri="{FF2B5EF4-FFF2-40B4-BE49-F238E27FC236}">
              <a16:creationId xmlns:a16="http://schemas.microsoft.com/office/drawing/2014/main" id="{DB973782-9981-82C4-39DF-C78D570E3E64}"/>
            </a:ext>
          </a:extLst>
        </xdr:cNvPr>
        <xdr:cNvSpPr/>
      </xdr:nvSpPr>
      <xdr:spPr>
        <a:xfrm>
          <a:off x="18341339" y="38100"/>
          <a:ext cx="2331720" cy="472440"/>
        </a:xfrm>
        <a:prstGeom prst="roundRect">
          <a:avLst/>
        </a:prstGeom>
        <a:solidFill>
          <a:srgbClr val="ED7D31"/>
        </a:solidFill>
        <a:ln w="15875">
          <a:solidFill>
            <a:srgbClr val="9B621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zh-CN" altLang="en-US" sz="1050" b="1">
              <a:solidFill>
                <a:srgbClr val="FFFFFF"/>
              </a:solidFill>
              <a:latin typeface="Aptos" panose="02010600030101010101" pitchFamily="2" charset="-122"/>
            </a:rPr>
            <a:t>Clear </a:t>
          </a:r>
          <a:r>
            <a:rPr lang="en-US" altLang="zh-CN" sz="1050" b="1">
              <a:solidFill>
                <a:srgbClr val="FFFFFF"/>
              </a:solidFill>
              <a:latin typeface="Aptos" panose="02010600030101010101" pitchFamily="2" charset="-122"/>
            </a:rPr>
            <a:t>Academic</a:t>
          </a:r>
          <a:endParaRPr lang="zh-CN" altLang="en-US" sz="1050" b="1">
            <a:solidFill>
              <a:srgbClr val="FFFFFF"/>
            </a:solidFill>
            <a:latin typeface="Aptos" panose="02010600030101010101" pitchFamily="2" charset="-122"/>
          </a:endParaRPr>
        </a:p>
      </xdr:txBody>
    </xdr:sp>
    <xdr:clientData/>
  </xdr:twoCellAnchor>
  <xdr:twoCellAnchor>
    <xdr:from>
      <xdr:col>30</xdr:col>
      <xdr:colOff>78739</xdr:colOff>
      <xdr:row>57</xdr:row>
      <xdr:rowOff>90170</xdr:rowOff>
    </xdr:from>
    <xdr:to>
      <xdr:col>33</xdr:col>
      <xdr:colOff>33654</xdr:colOff>
      <xdr:row>60</xdr:row>
      <xdr:rowOff>41275</xdr:rowOff>
    </xdr:to>
    <xdr:sp macro="AdvanceOtherScheduledEventsMonth" textlink="">
      <xdr:nvSpPr>
        <xdr:cNvPr id="5" name="btnOtherScheduleMonthSwitch" descr="OTHER_SCHEDULE_MONTH_SWITCH_BUTTON">
          <a:extLst>
            <a:ext uri="{FF2B5EF4-FFF2-40B4-BE49-F238E27FC236}">
              <a16:creationId xmlns:a16="http://schemas.microsoft.com/office/drawing/2014/main" id="{5CB8D4C8-14B8-EF0C-F956-F0DD102C07E4}"/>
            </a:ext>
          </a:extLst>
        </xdr:cNvPr>
        <xdr:cNvSpPr/>
      </xdr:nvSpPr>
      <xdr:spPr>
        <a:xfrm>
          <a:off x="18328639" y="11082020"/>
          <a:ext cx="1755140" cy="513080"/>
        </a:xfrm>
        <a:prstGeom prst="roundRect">
          <a:avLst/>
        </a:prstGeom>
        <a:gradFill flip="none" rotWithShape="1">
          <a:gsLst>
            <a:gs pos="0">
              <a:srgbClr val="4DB6AC"/>
            </a:gs>
            <a:gs pos="100000">
              <a:srgbClr val="FFFFFF"/>
            </a:gs>
          </a:gsLst>
          <a:lin ang="5400000" scaled="1"/>
          <a:tileRect/>
        </a:gradFill>
        <a:ln w="19050">
          <a:solidFill>
            <a:srgbClr val="00796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500" b="1">
              <a:solidFill>
                <a:srgbClr val="144641"/>
              </a:solidFill>
            </a:rPr>
            <a:t>Switch Month</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21</xdr:col>
      <xdr:colOff>80010</xdr:colOff>
      <xdr:row>6</xdr:row>
      <xdr:rowOff>63817</xdr:rowOff>
    </xdr:from>
    <xdr:to>
      <xdr:col>25</xdr:col>
      <xdr:colOff>13336</xdr:colOff>
      <xdr:row>7</xdr:row>
      <xdr:rowOff>174784</xdr:rowOff>
    </xdr:to>
    <xdr:sp macro="[0]!ClearStudyCheckin" textlink="">
      <xdr:nvSpPr>
        <xdr:cNvPr id="2" name="btnClearStudyCheckin" descr="Clear only Date, Study Content, Notes, Study Time entries, and Next-Day Study Plan.">
          <a:extLst>
            <a:ext uri="{FF2B5EF4-FFF2-40B4-BE49-F238E27FC236}">
              <a16:creationId xmlns:a16="http://schemas.microsoft.com/office/drawing/2014/main" id="{2809D105-6B68-3562-D5AA-AA67B122896D}"/>
            </a:ext>
          </a:extLst>
        </xdr:cNvPr>
        <xdr:cNvSpPr/>
      </xdr:nvSpPr>
      <xdr:spPr>
        <a:xfrm>
          <a:off x="12938760" y="1135380"/>
          <a:ext cx="2362201" cy="289560"/>
        </a:xfrm>
        <a:prstGeom prst="roundRect">
          <a:avLst/>
        </a:prstGeom>
        <a:solidFill>
          <a:srgbClr val="ED7D31"/>
        </a:solidFill>
        <a:ln w="15875">
          <a:solidFill>
            <a:srgbClr val="9B621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zh-CN" altLang="en-US" sz="1050" b="1">
              <a:solidFill>
                <a:srgbClr val="FFFFFF"/>
              </a:solidFill>
              <a:latin typeface="Aptos" panose="02010600030101010101" pitchFamily="2" charset="-122"/>
            </a:rPr>
            <a:t>Clear Check-In</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F3C6877-7F3C-40C7-9CD0-3DC999ED7833}" name="tblProjectSteps" displayName="tblProjectSteps" ref="A74:L159" totalsRowShown="0" headerRowDxfId="1188" dataDxfId="1186" headerRowBorderDxfId="1187" tableBorderDxfId="1185">
  <autoFilter ref="A74:L159" xr:uid="{6F3C6877-7F3C-40C7-9CD0-3DC999ED7833}"/>
  <tableColumns count="12">
    <tableColumn id="1" xr3:uid="{BE8E067A-2AC5-4CE8-B751-28D815369B08}" name="Project ID" dataDxfId="1184"/>
    <tableColumn id="2" xr3:uid="{C2D98F42-F050-40ED-90DB-DE9869CBCFA4}" name="Project Name" dataDxfId="1183">
      <calculatedColumnFormula>IF(A75="","",IFERROR(_xlfn.XLOOKUP(A75,$A$61:$A$70,$B$61:$B$70,""),""))</calculatedColumnFormula>
    </tableColumn>
    <tableColumn id="3" xr3:uid="{B908FCF7-5240-44B0-AF41-7D6A12312550}" name="Step #" dataDxfId="1182"/>
    <tableColumn id="4" xr3:uid="{584232D6-0A25-4544-8A8E-930B6DC8DEEC}" name="Phase" dataDxfId="1181"/>
    <tableColumn id="5" xr3:uid="{9A1EEBA4-5CB6-44E1-BCD6-BF30CBB108C6}" name="Step / Action" dataDxfId="1180"/>
    <tableColumn id="6" xr3:uid="{FCA49764-0197-4A11-9024-FAC398BBB94C}" name="Status" dataDxfId="1179"/>
    <tableColumn id="7" xr3:uid="{18320A42-A81B-44BB-B1D4-09C211C96E1D}" name="Progress %" dataDxfId="1178"/>
    <tableColumn id="8" xr3:uid="{B2126C14-C385-4450-AFB4-24FCAF4BCE7E}" name="Planned Start" dataDxfId="1177"/>
    <tableColumn id="9" xr3:uid="{321D506B-F490-43BF-8E02-C830EA62C2CF}" name="Planned End" dataDxfId="1176"/>
    <tableColumn id="10" xr3:uid="{6AB445A4-4FC1-491F-9828-B2C9FE700B25}" name="Depends On" dataDxfId="1175"/>
    <tableColumn id="11" xr3:uid="{32E2BC1D-4046-4F27-A067-6755F615E0FE}" name="Actual Completion Date" dataDxfId="1174"/>
    <tableColumn id="12" xr3:uid="{7C684AB5-0E82-47D8-89AB-07CA36AB08EB}" name="Notes" dataDxfId="1173"/>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8FE621-F61F-4B72-8F31-DBF878B0D895}" name="tblProjectInput" displayName="tblProjectInput" ref="A60:G70" totalsRowShown="0" headerRowDxfId="1172" dataDxfId="1170" headerRowBorderDxfId="1171" tableBorderDxfId="1169">
  <autoFilter ref="A60:G70" xr:uid="{3B8FE621-F61F-4B72-8F31-DBF878B0D895}"/>
  <tableColumns count="7">
    <tableColumn id="1" xr3:uid="{1E41DBAE-6260-4911-8FA0-446D13DF46CD}" name="Project ID" dataDxfId="1168">
      <calculatedColumnFormula array="1">IF(tblProjectInput[[#This Row],[Project Name]]="","","P"&amp;TEXT(ROW()-ROW(tblProjectInput[#Headers]),"000"))</calculatedColumnFormula>
    </tableColumn>
    <tableColumn id="2" xr3:uid="{C53A7AFE-215F-430F-BD57-676960923B06}" name="Project Name" dataDxfId="1167"/>
    <tableColumn id="3" xr3:uid="{B1827B7D-36AE-4E23-AAE5-944D222F0432}" name="Priority" dataDxfId="1166"/>
    <tableColumn id="4" xr3:uid="{748E0A75-001F-4F87-AE01-E6D8BD63033C}" name="Status" dataDxfId="1165"/>
    <tableColumn id="5" xr3:uid="{685761A9-C44D-4C0A-849C-D40352AF95DC}" name="Start Date" dataDxfId="1164"/>
    <tableColumn id="6" xr3:uid="{188DDFD7-2EBF-4836-AA7E-8754B739B254}" name="Deadline" dataDxfId="1163"/>
    <tableColumn id="7" xr3:uid="{829DE043-AC69-4156-926E-111B5BA9647F}" name="Notes" dataDxfId="1162"/>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E11656B-19B2-491B-972D-4A7473F46752}" name="tblLearningTrend" displayName="tblLearningTrend" ref="A10:H23" totalsRowShown="0" headerRowDxfId="1161">
  <autoFilter ref="A10:H23" xr:uid="{8E11656B-19B2-491B-972D-4A7473F46752}"/>
  <tableColumns count="8">
    <tableColumn id="1" xr3:uid="{AE2651B6-E606-4F3F-BD5B-9D4653B6B5A3}" name="Month" dataDxfId="1158"/>
    <tableColumn id="2" xr3:uid="{5923CAA1-8F1A-4E2E-9C5E-4936904A9322}" name="Tasks" dataDxfId="1157"/>
    <tableColumn id="3" xr3:uid="{743DDDCB-40EF-43E4-919C-D5233D22542E}" name="Active Tasks" dataDxfId="1156"/>
    <tableColumn id="4" xr3:uid="{7D5CC29D-9D8E-4772-8B68-D2E97C4C198C}" name="Completed" dataDxfId="1155"/>
    <tableColumn id="5" xr3:uid="{A3D31BB6-6480-4A59-810B-6D2C40F019A0}" name="Complete" dataDxfId="1154"/>
    <tableColumn id="6" xr3:uid="{82BB029F-B237-44C7-AB92-632DBF3D567E}" name="Incomplete" dataDxfId="1153"/>
    <tableColumn id="7" xr3:uid="{7CCC915E-3912-41EA-B327-F231EFBA872A}" name="Behind" dataDxfId="1152"/>
    <tableColumn id="8" xr3:uid="{B134EB6A-6F22-4F90-B223-F9360C8FFD26}" name="Avg Progress" dataDxfId="1151">
      <calculatedColumnFormula>IFERROR(N11/O11,0)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3498950-B2D9-4F84-B941-B323FF27E41E}" name="tblCurrentMonthStatus" displayName="tblCurrentMonthStatus" ref="J10:K14" totalsRowShown="0" headerRowDxfId="1160">
  <autoFilter ref="J10:K14" xr:uid="{73498950-B2D9-4F84-B941-B323FF27E41E}"/>
  <tableColumns count="2">
    <tableColumn id="1" xr3:uid="{3AA293CD-A682-456C-9326-147B9C84FD40}" name="Status"/>
    <tableColumn id="2" xr3:uid="{B9266D2A-528B-40F3-A5E4-24028412DE97}" name="C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C904C3E-76F9-48CE-8F79-F7EA61F4598A}" name="tblDataQuality" displayName="tblDataQuality" ref="J18:K22" totalsRowShown="0" headerRowDxfId="1159">
  <autoFilter ref="J18:K22" xr:uid="{7C904C3E-76F9-48CE-8F79-F7EA61F4598A}"/>
  <tableColumns count="2">
    <tableColumn id="1" xr3:uid="{D7E1974B-96C8-4E4A-946E-13A497C8243E}" name="Data Check"/>
    <tableColumn id="2" xr3:uid="{382614A3-45AD-46AD-AC7D-810010357649}" name="Result"/>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Aptos Light"/>
        <a:font script="Hang" typeface="맑은 고딕"/>
        <a:font script="Hans" typeface="Aptos Light"/>
        <a:font script="Hant" typeface="Times New Roman"/>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Aptos"/>
        <a:font script="Hang" typeface="맑은 고딕"/>
        <a:font script="Hans" typeface="Aptos"/>
        <a:font script="Hant" typeface="Times New Roman"/>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234D0-3FDC-4FA5-83C5-E50D720F986C}">
  <sheetPr codeName="Sheet3">
    <tabColor rgb="FFC00000"/>
  </sheetPr>
  <dimension ref="A1:N1989"/>
  <sheetViews>
    <sheetView tabSelected="1" zoomScale="145" zoomScaleNormal="145" workbookViewId="0">
      <pane ySplit="4" topLeftCell="A5" activePane="bottomLeft" state="frozen"/>
      <selection activeCell="L1996" sqref="L1996:M1996"/>
      <selection pane="bottomLeft" activeCell="J54" sqref="J54"/>
    </sheetView>
  </sheetViews>
  <sheetFormatPr defaultColWidth="8.77734375" defaultRowHeight="13.8"/>
  <cols>
    <col min="1" max="11" width="8.77734375" style="2"/>
    <col min="12" max="12" width="8.77734375" style="2" customWidth="1"/>
    <col min="13" max="16384" width="8.77734375" style="2"/>
  </cols>
  <sheetData>
    <row r="1" spans="1:14" ht="14.55" customHeight="1">
      <c r="A1" s="213" t="s">
        <v>0</v>
      </c>
      <c r="B1" s="214"/>
      <c r="C1" s="214"/>
      <c r="D1" s="214"/>
      <c r="E1" s="214"/>
      <c r="F1" s="214"/>
      <c r="G1" s="214"/>
      <c r="H1" s="214"/>
      <c r="I1" s="214"/>
      <c r="J1" s="214"/>
      <c r="K1" s="214"/>
      <c r="L1" s="214"/>
      <c r="M1" s="214"/>
      <c r="N1" s="215"/>
    </row>
    <row r="2" spans="1:14" ht="14.55" customHeight="1">
      <c r="A2" s="216"/>
      <c r="B2" s="217"/>
      <c r="C2" s="217"/>
      <c r="D2" s="217"/>
      <c r="E2" s="217"/>
      <c r="F2" s="217"/>
      <c r="G2" s="217"/>
      <c r="H2" s="217"/>
      <c r="I2" s="217"/>
      <c r="J2" s="217"/>
      <c r="K2" s="217"/>
      <c r="L2" s="217"/>
      <c r="M2" s="217"/>
      <c r="N2" s="218"/>
    </row>
    <row r="3" spans="1:14" ht="14.55" customHeight="1">
      <c r="A3" s="219" t="s">
        <v>57</v>
      </c>
      <c r="B3" s="220"/>
      <c r="C3" s="220"/>
      <c r="D3" s="220"/>
      <c r="E3" s="220"/>
      <c r="F3" s="220"/>
      <c r="G3" s="220"/>
      <c r="H3" s="220"/>
      <c r="I3" s="220"/>
      <c r="J3" s="220"/>
      <c r="K3" s="220"/>
      <c r="L3" s="220"/>
      <c r="M3" s="220"/>
      <c r="N3" s="221"/>
    </row>
    <row r="4" spans="1:14" ht="14.55" customHeight="1">
      <c r="A4" s="224" t="s">
        <v>1</v>
      </c>
      <c r="B4" s="222"/>
      <c r="C4" s="223"/>
      <c r="D4" s="224" t="s">
        <v>2</v>
      </c>
      <c r="E4" s="222"/>
      <c r="F4" s="223"/>
      <c r="G4" s="224" t="s">
        <v>3</v>
      </c>
      <c r="H4" s="222"/>
      <c r="I4" s="222"/>
      <c r="J4" s="222" t="s">
        <v>4</v>
      </c>
      <c r="K4" s="222"/>
      <c r="L4" s="222"/>
      <c r="M4" s="222"/>
      <c r="N4" s="223"/>
    </row>
    <row r="5" spans="1:14" ht="14.55" customHeight="1">
      <c r="A5" s="225"/>
      <c r="B5" s="226"/>
      <c r="C5" s="227"/>
      <c r="D5" s="228"/>
      <c r="E5" s="229"/>
      <c r="F5" s="230"/>
      <c r="G5" s="205"/>
      <c r="H5" s="206"/>
      <c r="I5" s="206"/>
      <c r="J5" s="193" t="s">
        <v>24</v>
      </c>
      <c r="K5" s="194"/>
      <c r="L5" s="194"/>
      <c r="M5" s="194"/>
      <c r="N5" s="195"/>
    </row>
    <row r="6" spans="1:14" ht="14.55" customHeight="1">
      <c r="A6" s="199"/>
      <c r="B6" s="200"/>
      <c r="C6" s="201"/>
      <c r="D6" s="202"/>
      <c r="E6" s="203"/>
      <c r="F6" s="204"/>
      <c r="G6" s="205"/>
      <c r="H6" s="206"/>
      <c r="I6" s="206"/>
      <c r="J6" s="196"/>
      <c r="K6" s="197"/>
      <c r="L6" s="197"/>
      <c r="M6" s="197"/>
      <c r="N6" s="198"/>
    </row>
    <row r="7" spans="1:14" ht="14.55" customHeight="1">
      <c r="A7" s="199"/>
      <c r="B7" s="200"/>
      <c r="C7" s="201"/>
      <c r="D7" s="202"/>
      <c r="E7" s="203"/>
      <c r="F7" s="204"/>
      <c r="G7" s="205"/>
      <c r="H7" s="206"/>
      <c r="I7" s="206"/>
      <c r="J7" s="182" t="s">
        <v>40</v>
      </c>
      <c r="K7" s="183"/>
      <c r="L7" s="183"/>
      <c r="M7" s="183"/>
      <c r="N7" s="184"/>
    </row>
    <row r="8" spans="1:14" ht="14.55" customHeight="1">
      <c r="A8" s="199"/>
      <c r="B8" s="200"/>
      <c r="C8" s="201"/>
      <c r="D8" s="202"/>
      <c r="E8" s="203"/>
      <c r="F8" s="204"/>
      <c r="G8" s="205"/>
      <c r="H8" s="206"/>
      <c r="I8" s="206"/>
      <c r="J8" s="185"/>
      <c r="K8" s="186"/>
      <c r="L8" s="186"/>
      <c r="M8" s="186"/>
      <c r="N8" s="187"/>
    </row>
    <row r="9" spans="1:14" ht="14.55" customHeight="1">
      <c r="A9" s="199"/>
      <c r="B9" s="200"/>
      <c r="C9" s="201"/>
      <c r="D9" s="202"/>
      <c r="E9" s="203"/>
      <c r="F9" s="204"/>
      <c r="G9" s="205"/>
      <c r="H9" s="206"/>
      <c r="I9" s="206"/>
      <c r="J9" s="185"/>
      <c r="K9" s="186"/>
      <c r="L9" s="186"/>
      <c r="M9" s="186"/>
      <c r="N9" s="187"/>
    </row>
    <row r="10" spans="1:14" ht="14.55" customHeight="1">
      <c r="A10" s="199"/>
      <c r="B10" s="200"/>
      <c r="C10" s="201"/>
      <c r="D10" s="202"/>
      <c r="E10" s="203"/>
      <c r="F10" s="204"/>
      <c r="G10" s="205"/>
      <c r="H10" s="206"/>
      <c r="I10" s="206"/>
      <c r="J10" s="188"/>
      <c r="K10" s="189"/>
      <c r="L10" s="189"/>
      <c r="M10" s="189"/>
      <c r="N10" s="190"/>
    </row>
    <row r="11" spans="1:14" ht="14.55" customHeight="1">
      <c r="A11" s="199"/>
      <c r="B11" s="200"/>
      <c r="C11" s="201"/>
      <c r="D11" s="202"/>
      <c r="E11" s="203"/>
      <c r="F11" s="204"/>
      <c r="G11" s="205"/>
      <c r="H11" s="206"/>
      <c r="I11" s="206"/>
      <c r="J11" s="191">
        <v>1</v>
      </c>
      <c r="K11" s="172"/>
      <c r="L11" s="172"/>
      <c r="M11" s="173"/>
      <c r="N11" s="173"/>
    </row>
    <row r="12" spans="1:14" ht="14.55" customHeight="1">
      <c r="A12" s="199"/>
      <c r="B12" s="200"/>
      <c r="C12" s="201"/>
      <c r="D12" s="202"/>
      <c r="E12" s="203"/>
      <c r="F12" s="204"/>
      <c r="G12" s="205"/>
      <c r="H12" s="206"/>
      <c r="I12" s="206"/>
      <c r="J12" s="192"/>
      <c r="K12" s="174"/>
      <c r="L12" s="174"/>
      <c r="M12" s="175"/>
      <c r="N12" s="175"/>
    </row>
    <row r="13" spans="1:14" ht="14.55" customHeight="1">
      <c r="A13" s="199"/>
      <c r="B13" s="200"/>
      <c r="C13" s="201"/>
      <c r="D13" s="202"/>
      <c r="E13" s="203"/>
      <c r="F13" s="204"/>
      <c r="G13" s="205"/>
      <c r="H13" s="206"/>
      <c r="I13" s="206"/>
      <c r="J13" s="191">
        <v>2</v>
      </c>
      <c r="K13" s="172"/>
      <c r="L13" s="172"/>
      <c r="M13" s="173"/>
      <c r="N13" s="173"/>
    </row>
    <row r="14" spans="1:14" ht="14.55" customHeight="1">
      <c r="A14" s="199"/>
      <c r="B14" s="200"/>
      <c r="C14" s="201"/>
      <c r="D14" s="202"/>
      <c r="E14" s="203"/>
      <c r="F14" s="204"/>
      <c r="G14" s="205"/>
      <c r="H14" s="206"/>
      <c r="I14" s="206"/>
      <c r="J14" s="192"/>
      <c r="K14" s="174"/>
      <c r="L14" s="174"/>
      <c r="M14" s="175"/>
      <c r="N14" s="175"/>
    </row>
    <row r="15" spans="1:14" ht="14.55" customHeight="1">
      <c r="A15" s="199"/>
      <c r="B15" s="200"/>
      <c r="C15" s="201"/>
      <c r="D15" s="202"/>
      <c r="E15" s="203"/>
      <c r="F15" s="204"/>
      <c r="G15" s="205"/>
      <c r="H15" s="206"/>
      <c r="I15" s="206"/>
      <c r="J15" s="191">
        <v>3</v>
      </c>
      <c r="K15" s="172"/>
      <c r="L15" s="172"/>
      <c r="M15" s="173"/>
      <c r="N15" s="173"/>
    </row>
    <row r="16" spans="1:14" ht="14.55" customHeight="1">
      <c r="A16" s="199"/>
      <c r="B16" s="200"/>
      <c r="C16" s="201"/>
      <c r="D16" s="202"/>
      <c r="E16" s="203"/>
      <c r="F16" s="204"/>
      <c r="G16" s="205"/>
      <c r="H16" s="206"/>
      <c r="I16" s="206"/>
      <c r="J16" s="192"/>
      <c r="K16" s="174"/>
      <c r="L16" s="174"/>
      <c r="M16" s="175"/>
      <c r="N16" s="175"/>
    </row>
    <row r="17" spans="1:14" ht="14.55" customHeight="1">
      <c r="A17" s="199"/>
      <c r="B17" s="200"/>
      <c r="C17" s="201"/>
      <c r="D17" s="202"/>
      <c r="E17" s="203"/>
      <c r="F17" s="204"/>
      <c r="G17" s="205"/>
      <c r="H17" s="206"/>
      <c r="I17" s="206"/>
      <c r="J17" s="191">
        <v>4</v>
      </c>
      <c r="K17" s="172"/>
      <c r="L17" s="172"/>
      <c r="M17" s="173"/>
      <c r="N17" s="173"/>
    </row>
    <row r="18" spans="1:14" ht="14.55" customHeight="1">
      <c r="A18" s="199"/>
      <c r="B18" s="200"/>
      <c r="C18" s="201"/>
      <c r="D18" s="202"/>
      <c r="E18" s="203"/>
      <c r="F18" s="204"/>
      <c r="G18" s="205"/>
      <c r="H18" s="206"/>
      <c r="I18" s="206"/>
      <c r="J18" s="192"/>
      <c r="K18" s="174"/>
      <c r="L18" s="174"/>
      <c r="M18" s="175"/>
      <c r="N18" s="175"/>
    </row>
    <row r="19" spans="1:14" ht="14.55" customHeight="1">
      <c r="A19" s="199"/>
      <c r="B19" s="200"/>
      <c r="C19" s="201"/>
      <c r="D19" s="202"/>
      <c r="E19" s="203"/>
      <c r="F19" s="204"/>
      <c r="G19" s="205"/>
      <c r="H19" s="206"/>
      <c r="I19" s="206"/>
      <c r="J19" s="191">
        <v>5</v>
      </c>
      <c r="K19" s="172"/>
      <c r="L19" s="172"/>
      <c r="M19" s="173"/>
      <c r="N19" s="173"/>
    </row>
    <row r="20" spans="1:14" ht="14.55" customHeight="1">
      <c r="A20" s="199"/>
      <c r="B20" s="200"/>
      <c r="C20" s="201"/>
      <c r="D20" s="202"/>
      <c r="E20" s="203"/>
      <c r="F20" s="204"/>
      <c r="G20" s="205"/>
      <c r="H20" s="206"/>
      <c r="I20" s="206"/>
      <c r="J20" s="192"/>
      <c r="K20" s="174"/>
      <c r="L20" s="174"/>
      <c r="M20" s="175"/>
      <c r="N20" s="175"/>
    </row>
    <row r="21" spans="1:14" ht="14.55" customHeight="1">
      <c r="A21" s="199"/>
      <c r="B21" s="200"/>
      <c r="C21" s="201"/>
      <c r="D21" s="202"/>
      <c r="E21" s="203"/>
      <c r="F21" s="204"/>
      <c r="G21" s="205"/>
      <c r="H21" s="206"/>
      <c r="I21" s="206"/>
      <c r="J21" s="191">
        <v>6</v>
      </c>
      <c r="K21" s="172"/>
      <c r="L21" s="172"/>
      <c r="M21" s="173"/>
      <c r="N21" s="173"/>
    </row>
    <row r="22" spans="1:14" ht="14.55" customHeight="1">
      <c r="A22" s="199"/>
      <c r="B22" s="200"/>
      <c r="C22" s="201"/>
      <c r="D22" s="202"/>
      <c r="E22" s="203"/>
      <c r="F22" s="204"/>
      <c r="G22" s="205"/>
      <c r="H22" s="206"/>
      <c r="I22" s="206"/>
      <c r="J22" s="192"/>
      <c r="K22" s="174"/>
      <c r="L22" s="174"/>
      <c r="M22" s="175"/>
      <c r="N22" s="175"/>
    </row>
    <row r="23" spans="1:14" ht="14.55" customHeight="1">
      <c r="A23" s="199"/>
      <c r="B23" s="200"/>
      <c r="C23" s="201"/>
      <c r="D23" s="202"/>
      <c r="E23" s="203"/>
      <c r="F23" s="204"/>
      <c r="G23" s="205"/>
      <c r="H23" s="206"/>
      <c r="I23" s="206"/>
      <c r="J23" s="191">
        <v>7</v>
      </c>
      <c r="K23" s="172"/>
      <c r="L23" s="172"/>
      <c r="M23" s="173"/>
      <c r="N23" s="173"/>
    </row>
    <row r="24" spans="1:14" ht="14.55" customHeight="1">
      <c r="A24" s="199"/>
      <c r="B24" s="200"/>
      <c r="C24" s="201"/>
      <c r="D24" s="202"/>
      <c r="E24" s="203"/>
      <c r="F24" s="204"/>
      <c r="G24" s="205"/>
      <c r="H24" s="206"/>
      <c r="I24" s="206"/>
      <c r="J24" s="192"/>
      <c r="K24" s="174"/>
      <c r="L24" s="174"/>
      <c r="M24" s="175"/>
      <c r="N24" s="175"/>
    </row>
    <row r="25" spans="1:14" ht="14.55" customHeight="1">
      <c r="A25" s="199"/>
      <c r="B25" s="200"/>
      <c r="C25" s="201"/>
      <c r="D25" s="202"/>
      <c r="E25" s="203"/>
      <c r="F25" s="204"/>
      <c r="G25" s="205"/>
      <c r="H25" s="206"/>
      <c r="I25" s="206"/>
      <c r="J25" s="176" t="s">
        <v>107</v>
      </c>
      <c r="K25" s="177"/>
      <c r="L25" s="177"/>
      <c r="M25" s="177"/>
      <c r="N25" s="178"/>
    </row>
    <row r="26" spans="1:14" ht="14.55" customHeight="1">
      <c r="A26" s="199"/>
      <c r="B26" s="200"/>
      <c r="C26" s="201"/>
      <c r="D26" s="202"/>
      <c r="E26" s="203"/>
      <c r="F26" s="204"/>
      <c r="G26" s="205"/>
      <c r="H26" s="206"/>
      <c r="I26" s="206"/>
      <c r="J26" s="179"/>
      <c r="K26" s="180"/>
      <c r="L26" s="180"/>
      <c r="M26" s="180"/>
      <c r="N26" s="181"/>
    </row>
    <row r="27" spans="1:14" ht="14.55" customHeight="1">
      <c r="A27" s="199"/>
      <c r="B27" s="200"/>
      <c r="C27" s="201"/>
      <c r="D27" s="202"/>
      <c r="E27" s="203"/>
      <c r="F27" s="204"/>
      <c r="G27" s="205"/>
      <c r="H27" s="206"/>
      <c r="I27" s="206"/>
      <c r="J27" s="191">
        <v>1</v>
      </c>
      <c r="K27" s="172"/>
      <c r="L27" s="172"/>
      <c r="M27" s="173"/>
      <c r="N27" s="173"/>
    </row>
    <row r="28" spans="1:14" ht="14.55" customHeight="1">
      <c r="A28" s="199"/>
      <c r="B28" s="200"/>
      <c r="C28" s="201"/>
      <c r="D28" s="202"/>
      <c r="E28" s="203"/>
      <c r="F28" s="204"/>
      <c r="G28" s="205"/>
      <c r="H28" s="206"/>
      <c r="I28" s="206"/>
      <c r="J28" s="192"/>
      <c r="K28" s="174"/>
      <c r="L28" s="174"/>
      <c r="M28" s="175"/>
      <c r="N28" s="175"/>
    </row>
    <row r="29" spans="1:14" ht="14.55" customHeight="1">
      <c r="A29" s="199"/>
      <c r="B29" s="200"/>
      <c r="C29" s="201"/>
      <c r="D29" s="202"/>
      <c r="E29" s="203"/>
      <c r="F29" s="204"/>
      <c r="G29" s="205"/>
      <c r="H29" s="206"/>
      <c r="I29" s="206"/>
      <c r="J29" s="191">
        <v>2</v>
      </c>
      <c r="K29" s="172"/>
      <c r="L29" s="172"/>
      <c r="M29" s="173"/>
      <c r="N29" s="173"/>
    </row>
    <row r="30" spans="1:14" ht="14.55" customHeight="1">
      <c r="A30" s="199"/>
      <c r="B30" s="200"/>
      <c r="C30" s="201"/>
      <c r="D30" s="202"/>
      <c r="E30" s="203"/>
      <c r="F30" s="204"/>
      <c r="G30" s="205"/>
      <c r="H30" s="206"/>
      <c r="I30" s="206"/>
      <c r="J30" s="192"/>
      <c r="K30" s="174"/>
      <c r="L30" s="174"/>
      <c r="M30" s="175"/>
      <c r="N30" s="175"/>
    </row>
    <row r="31" spans="1:14" ht="14.55" customHeight="1">
      <c r="A31" s="199"/>
      <c r="B31" s="200"/>
      <c r="C31" s="201"/>
      <c r="D31" s="202"/>
      <c r="E31" s="203"/>
      <c r="F31" s="204"/>
      <c r="G31" s="205"/>
      <c r="H31" s="206"/>
      <c r="I31" s="206"/>
      <c r="J31" s="191">
        <v>3</v>
      </c>
      <c r="K31" s="172"/>
      <c r="L31" s="172"/>
      <c r="M31" s="173"/>
      <c r="N31" s="173"/>
    </row>
    <row r="32" spans="1:14" ht="14.55" customHeight="1">
      <c r="A32" s="199"/>
      <c r="B32" s="200"/>
      <c r="C32" s="201"/>
      <c r="D32" s="202"/>
      <c r="E32" s="203"/>
      <c r="F32" s="204"/>
      <c r="G32" s="205"/>
      <c r="H32" s="206"/>
      <c r="I32" s="206"/>
      <c r="J32" s="192"/>
      <c r="K32" s="174"/>
      <c r="L32" s="174"/>
      <c r="M32" s="175"/>
      <c r="N32" s="175"/>
    </row>
    <row r="33" spans="1:14" ht="14.55" customHeight="1">
      <c r="A33" s="199"/>
      <c r="B33" s="200"/>
      <c r="C33" s="201"/>
      <c r="D33" s="202"/>
      <c r="E33" s="203"/>
      <c r="F33" s="204"/>
      <c r="G33" s="205"/>
      <c r="H33" s="206"/>
      <c r="I33" s="206"/>
      <c r="J33" s="191">
        <v>4</v>
      </c>
      <c r="K33" s="172"/>
      <c r="L33" s="172"/>
      <c r="M33" s="173"/>
      <c r="N33" s="173"/>
    </row>
    <row r="34" spans="1:14" ht="14.55" customHeight="1">
      <c r="A34" s="199"/>
      <c r="B34" s="200"/>
      <c r="C34" s="201"/>
      <c r="D34" s="202"/>
      <c r="E34" s="203"/>
      <c r="F34" s="204"/>
      <c r="G34" s="205"/>
      <c r="H34" s="206"/>
      <c r="I34" s="206"/>
      <c r="J34" s="192"/>
      <c r="K34" s="174"/>
      <c r="L34" s="174"/>
      <c r="M34" s="175"/>
      <c r="N34" s="175"/>
    </row>
    <row r="35" spans="1:14" ht="14.55" customHeight="1">
      <c r="A35" s="199"/>
      <c r="B35" s="200"/>
      <c r="C35" s="201"/>
      <c r="D35" s="202"/>
      <c r="E35" s="203"/>
      <c r="F35" s="204"/>
      <c r="G35" s="205"/>
      <c r="H35" s="206"/>
      <c r="I35" s="206"/>
      <c r="J35" s="191">
        <v>5</v>
      </c>
      <c r="K35" s="172"/>
      <c r="L35" s="172"/>
      <c r="M35" s="173"/>
      <c r="N35" s="173"/>
    </row>
    <row r="36" spans="1:14" ht="14.55" customHeight="1">
      <c r="A36" s="199"/>
      <c r="B36" s="200"/>
      <c r="C36" s="201"/>
      <c r="D36" s="202"/>
      <c r="E36" s="203"/>
      <c r="F36" s="204"/>
      <c r="G36" s="205"/>
      <c r="H36" s="206"/>
      <c r="I36" s="206"/>
      <c r="J36" s="192"/>
      <c r="K36" s="174"/>
      <c r="L36" s="174"/>
      <c r="M36" s="175"/>
      <c r="N36" s="175"/>
    </row>
    <row r="37" spans="1:14" ht="14.55" customHeight="1">
      <c r="A37" s="199"/>
      <c r="B37" s="200"/>
      <c r="C37" s="201"/>
      <c r="D37" s="202"/>
      <c r="E37" s="203"/>
      <c r="F37" s="204"/>
      <c r="G37" s="205"/>
      <c r="H37" s="206"/>
      <c r="I37" s="206"/>
      <c r="J37" s="191">
        <v>6</v>
      </c>
      <c r="K37" s="172"/>
      <c r="L37" s="172"/>
      <c r="M37" s="173"/>
      <c r="N37" s="173"/>
    </row>
    <row r="38" spans="1:14" ht="14.55" customHeight="1">
      <c r="A38" s="199"/>
      <c r="B38" s="200"/>
      <c r="C38" s="201"/>
      <c r="D38" s="202"/>
      <c r="E38" s="203"/>
      <c r="F38" s="204"/>
      <c r="G38" s="205"/>
      <c r="H38" s="206"/>
      <c r="I38" s="206"/>
      <c r="J38" s="192"/>
      <c r="K38" s="174"/>
      <c r="L38" s="174"/>
      <c r="M38" s="175"/>
      <c r="N38" s="175"/>
    </row>
    <row r="39" spans="1:14" ht="14.55" customHeight="1">
      <c r="A39" s="199"/>
      <c r="B39" s="200"/>
      <c r="C39" s="201"/>
      <c r="D39" s="202"/>
      <c r="E39" s="203"/>
      <c r="F39" s="204"/>
      <c r="G39" s="205"/>
      <c r="H39" s="206"/>
      <c r="I39" s="206"/>
      <c r="J39" s="191">
        <v>7</v>
      </c>
      <c r="K39" s="172"/>
      <c r="L39" s="172"/>
      <c r="M39" s="173"/>
      <c r="N39" s="173"/>
    </row>
    <row r="40" spans="1:14" ht="14.55" customHeight="1">
      <c r="A40" s="199"/>
      <c r="B40" s="200"/>
      <c r="C40" s="201"/>
      <c r="D40" s="202"/>
      <c r="E40" s="203"/>
      <c r="F40" s="204"/>
      <c r="G40" s="205"/>
      <c r="H40" s="206"/>
      <c r="I40" s="206"/>
      <c r="J40" s="192"/>
      <c r="K40" s="174"/>
      <c r="L40" s="174"/>
      <c r="M40" s="175"/>
      <c r="N40" s="175"/>
    </row>
    <row r="41" spans="1:14" ht="14.55" customHeight="1">
      <c r="A41" s="199"/>
      <c r="B41" s="200"/>
      <c r="C41" s="201"/>
      <c r="D41" s="202"/>
      <c r="E41" s="203"/>
      <c r="F41" s="204"/>
      <c r="G41" s="205"/>
      <c r="H41" s="206"/>
      <c r="I41" s="206"/>
      <c r="J41" s="191">
        <v>8</v>
      </c>
      <c r="K41" s="172"/>
      <c r="L41" s="172"/>
      <c r="M41" s="173"/>
      <c r="N41" s="173"/>
    </row>
    <row r="42" spans="1:14" ht="14.55" customHeight="1">
      <c r="A42" s="199"/>
      <c r="B42" s="200"/>
      <c r="C42" s="201"/>
      <c r="D42" s="202"/>
      <c r="E42" s="203"/>
      <c r="F42" s="204"/>
      <c r="G42" s="205"/>
      <c r="H42" s="206"/>
      <c r="I42" s="206"/>
      <c r="J42" s="192"/>
      <c r="K42" s="174"/>
      <c r="L42" s="174"/>
      <c r="M42" s="175"/>
      <c r="N42" s="175"/>
    </row>
    <row r="43" spans="1:14" ht="14.55" customHeight="1">
      <c r="A43" s="199"/>
      <c r="B43" s="200"/>
      <c r="C43" s="201"/>
      <c r="D43" s="202"/>
      <c r="E43" s="203"/>
      <c r="F43" s="204"/>
      <c r="G43" s="205"/>
      <c r="H43" s="206"/>
      <c r="I43" s="206"/>
      <c r="J43" s="191">
        <v>9</v>
      </c>
      <c r="K43" s="172"/>
      <c r="L43" s="172"/>
      <c r="M43" s="173"/>
      <c r="N43" s="173"/>
    </row>
    <row r="44" spans="1:14" ht="14.55" customHeight="1">
      <c r="A44" s="199"/>
      <c r="B44" s="200"/>
      <c r="C44" s="201"/>
      <c r="D44" s="202"/>
      <c r="E44" s="203"/>
      <c r="F44" s="204"/>
      <c r="G44" s="205"/>
      <c r="H44" s="206"/>
      <c r="I44" s="206"/>
      <c r="J44" s="192"/>
      <c r="K44" s="174"/>
      <c r="L44" s="174"/>
      <c r="M44" s="175"/>
      <c r="N44" s="175"/>
    </row>
    <row r="45" spans="1:14" ht="14.55" customHeight="1">
      <c r="A45" s="199"/>
      <c r="B45" s="200"/>
      <c r="C45" s="201"/>
      <c r="D45" s="202"/>
      <c r="E45" s="203"/>
      <c r="F45" s="204"/>
      <c r="G45" s="205"/>
      <c r="H45" s="206"/>
      <c r="I45" s="206"/>
      <c r="J45" s="231" t="s">
        <v>179</v>
      </c>
      <c r="K45" s="232"/>
      <c r="L45" s="232"/>
      <c r="M45" s="232"/>
      <c r="N45" s="233"/>
    </row>
    <row r="46" spans="1:14" ht="14.55" customHeight="1">
      <c r="A46" s="199"/>
      <c r="B46" s="200"/>
      <c r="C46" s="201"/>
      <c r="D46" s="202"/>
      <c r="E46" s="203"/>
      <c r="F46" s="204"/>
      <c r="G46" s="205"/>
      <c r="H46" s="206"/>
      <c r="I46" s="206"/>
      <c r="J46" s="234"/>
      <c r="K46" s="235"/>
      <c r="L46" s="235"/>
      <c r="M46" s="235"/>
      <c r="N46" s="236"/>
    </row>
    <row r="47" spans="1:14" ht="14.55" customHeight="1">
      <c r="A47" s="199"/>
      <c r="B47" s="200"/>
      <c r="C47" s="201"/>
      <c r="D47" s="202"/>
      <c r="E47" s="203"/>
      <c r="F47" s="204"/>
      <c r="G47" s="205"/>
      <c r="H47" s="206"/>
      <c r="I47" s="206"/>
      <c r="J47" s="234"/>
      <c r="K47" s="235"/>
      <c r="L47" s="235"/>
      <c r="M47" s="235"/>
      <c r="N47" s="236"/>
    </row>
    <row r="48" spans="1:14" ht="14.55" customHeight="1">
      <c r="A48" s="199"/>
      <c r="B48" s="200"/>
      <c r="C48" s="201"/>
      <c r="D48" s="202"/>
      <c r="E48" s="203"/>
      <c r="F48" s="204"/>
      <c r="G48" s="205"/>
      <c r="H48" s="206"/>
      <c r="I48" s="206"/>
      <c r="J48" s="234"/>
      <c r="K48" s="235"/>
      <c r="L48" s="235"/>
      <c r="M48" s="235"/>
      <c r="N48" s="236"/>
    </row>
    <row r="49" spans="1:14" ht="14.55" customHeight="1">
      <c r="A49" s="199"/>
      <c r="B49" s="200"/>
      <c r="C49" s="201"/>
      <c r="D49" s="202"/>
      <c r="E49" s="203"/>
      <c r="F49" s="204"/>
      <c r="G49" s="205"/>
      <c r="H49" s="206"/>
      <c r="I49" s="206"/>
      <c r="J49" s="234"/>
      <c r="K49" s="235"/>
      <c r="L49" s="235"/>
      <c r="M49" s="235"/>
      <c r="N49" s="236"/>
    </row>
    <row r="50" spans="1:14" ht="14.55" customHeight="1">
      <c r="A50" s="199"/>
      <c r="B50" s="200"/>
      <c r="C50" s="201"/>
      <c r="D50" s="202"/>
      <c r="E50" s="203"/>
      <c r="F50" s="204"/>
      <c r="G50" s="205"/>
      <c r="H50" s="206"/>
      <c r="I50" s="206"/>
      <c r="J50" s="234"/>
      <c r="K50" s="235"/>
      <c r="L50" s="235"/>
      <c r="M50" s="235"/>
      <c r="N50" s="236"/>
    </row>
    <row r="51" spans="1:14" ht="16.05" customHeight="1">
      <c r="A51" s="199"/>
      <c r="B51" s="200"/>
      <c r="C51" s="201"/>
      <c r="D51" s="202"/>
      <c r="E51" s="203"/>
      <c r="F51" s="204"/>
      <c r="G51" s="205"/>
      <c r="H51" s="206"/>
      <c r="I51" s="206"/>
      <c r="J51" s="234"/>
      <c r="K51" s="235"/>
      <c r="L51" s="235"/>
      <c r="M51" s="235"/>
      <c r="N51" s="236"/>
    </row>
    <row r="52" spans="1:14" ht="16.05" customHeight="1">
      <c r="A52" s="199"/>
      <c r="B52" s="200"/>
      <c r="C52" s="201"/>
      <c r="D52" s="202"/>
      <c r="E52" s="203"/>
      <c r="F52" s="204"/>
      <c r="G52" s="205"/>
      <c r="H52" s="206"/>
      <c r="I52" s="206"/>
      <c r="J52" s="234"/>
      <c r="K52" s="235"/>
      <c r="L52" s="235"/>
      <c r="M52" s="235"/>
      <c r="N52" s="236"/>
    </row>
    <row r="53" spans="1:14" ht="16.05" customHeight="1">
      <c r="A53" s="207"/>
      <c r="B53" s="208"/>
      <c r="C53" s="209"/>
      <c r="D53" s="210"/>
      <c r="E53" s="211"/>
      <c r="F53" s="212"/>
      <c r="G53" s="205"/>
      <c r="H53" s="206"/>
      <c r="I53" s="206"/>
      <c r="J53" s="237"/>
      <c r="K53" s="238"/>
      <c r="L53" s="238"/>
      <c r="M53" s="238"/>
      <c r="N53" s="239"/>
    </row>
    <row r="1989" spans="9:9">
      <c r="I1989" s="2" t="s">
        <v>39</v>
      </c>
    </row>
  </sheetData>
  <autoFilter ref="A4:N4" xr:uid="{EBD234D0-3FDC-4FA5-83C5-E50D720F986C}">
    <filterColumn colId="0" showButton="0"/>
    <filterColumn colId="1" showButton="0"/>
    <filterColumn colId="3" showButton="0"/>
    <filterColumn colId="4" showButton="0"/>
    <filterColumn colId="6" showButton="0"/>
    <filterColumn colId="7" showButton="0"/>
    <filterColumn colId="9" showButton="0"/>
    <filterColumn colId="10" showButton="0"/>
    <filterColumn colId="11" showButton="0"/>
    <filterColumn colId="12" showButton="0"/>
  </autoFilter>
  <sortState xmlns:xlrd2="http://schemas.microsoft.com/office/spreadsheetml/2017/richdata2" ref="A5:I53">
    <sortCondition ref="D5:D53" customList="Urgent,Important,Priority,Medium,Low Urgency"/>
  </sortState>
  <mergeCells count="205">
    <mergeCell ref="J45:N53"/>
    <mergeCell ref="N33:N34"/>
    <mergeCell ref="N35:N36"/>
    <mergeCell ref="N37:N38"/>
    <mergeCell ref="N39:N40"/>
    <mergeCell ref="N41:N42"/>
    <mergeCell ref="N27:N28"/>
    <mergeCell ref="J23:J24"/>
    <mergeCell ref="J27:J28"/>
    <mergeCell ref="N23:N24"/>
    <mergeCell ref="J29:J30"/>
    <mergeCell ref="J31:J32"/>
    <mergeCell ref="J33:J34"/>
    <mergeCell ref="J35:J36"/>
    <mergeCell ref="J37:J38"/>
    <mergeCell ref="J39:J40"/>
    <mergeCell ref="J41:J42"/>
    <mergeCell ref="J43:J44"/>
    <mergeCell ref="K41:M42"/>
    <mergeCell ref="K43:M44"/>
    <mergeCell ref="K23:M24"/>
    <mergeCell ref="K27:M28"/>
    <mergeCell ref="K29:M30"/>
    <mergeCell ref="K31:M32"/>
    <mergeCell ref="A12:C12"/>
    <mergeCell ref="D12:F12"/>
    <mergeCell ref="G12:I12"/>
    <mergeCell ref="A13:C13"/>
    <mergeCell ref="D13:F13"/>
    <mergeCell ref="G13:I13"/>
    <mergeCell ref="A17:C17"/>
    <mergeCell ref="D17:F17"/>
    <mergeCell ref="G17:I17"/>
    <mergeCell ref="A14:C14"/>
    <mergeCell ref="D14:F14"/>
    <mergeCell ref="G14:I14"/>
    <mergeCell ref="A15:C15"/>
    <mergeCell ref="D15:F15"/>
    <mergeCell ref="G15:I15"/>
    <mergeCell ref="A16:C16"/>
    <mergeCell ref="D16:F16"/>
    <mergeCell ref="A7:C7"/>
    <mergeCell ref="D7:F7"/>
    <mergeCell ref="G7:I7"/>
    <mergeCell ref="A10:C10"/>
    <mergeCell ref="D10:F10"/>
    <mergeCell ref="G10:I10"/>
    <mergeCell ref="A11:C11"/>
    <mergeCell ref="D11:F11"/>
    <mergeCell ref="G11:I11"/>
    <mergeCell ref="A8:C8"/>
    <mergeCell ref="D8:F8"/>
    <mergeCell ref="G8:I8"/>
    <mergeCell ref="A9:C9"/>
    <mergeCell ref="D9:F9"/>
    <mergeCell ref="G9:I9"/>
    <mergeCell ref="A4:C4"/>
    <mergeCell ref="D4:F4"/>
    <mergeCell ref="G4:I4"/>
    <mergeCell ref="A5:C5"/>
    <mergeCell ref="D5:F5"/>
    <mergeCell ref="G5:I5"/>
    <mergeCell ref="A6:C6"/>
    <mergeCell ref="D6:F6"/>
    <mergeCell ref="G6:I6"/>
    <mergeCell ref="A22:C22"/>
    <mergeCell ref="D22:F22"/>
    <mergeCell ref="G22:I22"/>
    <mergeCell ref="A23:C23"/>
    <mergeCell ref="D23:F23"/>
    <mergeCell ref="G23:I23"/>
    <mergeCell ref="G16:I16"/>
    <mergeCell ref="A21:C21"/>
    <mergeCell ref="D21:F21"/>
    <mergeCell ref="G21:I21"/>
    <mergeCell ref="A18:C18"/>
    <mergeCell ref="D18:F18"/>
    <mergeCell ref="G18:I18"/>
    <mergeCell ref="A19:C19"/>
    <mergeCell ref="D19:F19"/>
    <mergeCell ref="G19:I19"/>
    <mergeCell ref="A20:C20"/>
    <mergeCell ref="D20:F20"/>
    <mergeCell ref="G20:I20"/>
    <mergeCell ref="A26:C26"/>
    <mergeCell ref="D26:F26"/>
    <mergeCell ref="G26:I26"/>
    <mergeCell ref="A27:C27"/>
    <mergeCell ref="D27:F27"/>
    <mergeCell ref="G27:I27"/>
    <mergeCell ref="A24:C24"/>
    <mergeCell ref="D24:F24"/>
    <mergeCell ref="G24:I24"/>
    <mergeCell ref="A25:C25"/>
    <mergeCell ref="D25:F25"/>
    <mergeCell ref="G25:I25"/>
    <mergeCell ref="G30:I30"/>
    <mergeCell ref="A31:C31"/>
    <mergeCell ref="D31:F31"/>
    <mergeCell ref="G31:I31"/>
    <mergeCell ref="A28:C28"/>
    <mergeCell ref="D28:F28"/>
    <mergeCell ref="G28:I28"/>
    <mergeCell ref="A29:C29"/>
    <mergeCell ref="D29:F29"/>
    <mergeCell ref="G29:I29"/>
    <mergeCell ref="A1:N2"/>
    <mergeCell ref="A3:N3"/>
    <mergeCell ref="J4:N4"/>
    <mergeCell ref="A50:C50"/>
    <mergeCell ref="D50:F50"/>
    <mergeCell ref="G50:I50"/>
    <mergeCell ref="A48:C48"/>
    <mergeCell ref="D48:F48"/>
    <mergeCell ref="G48:I48"/>
    <mergeCell ref="A49:C49"/>
    <mergeCell ref="D49:F49"/>
    <mergeCell ref="G49:I49"/>
    <mergeCell ref="A46:C46"/>
    <mergeCell ref="D46:F46"/>
    <mergeCell ref="G46:I46"/>
    <mergeCell ref="A47:C47"/>
    <mergeCell ref="D47:F47"/>
    <mergeCell ref="G47:I47"/>
    <mergeCell ref="A44:C44"/>
    <mergeCell ref="D44:F44"/>
    <mergeCell ref="D41:F41"/>
    <mergeCell ref="A45:C45"/>
    <mergeCell ref="D45:F45"/>
    <mergeCell ref="G45:I45"/>
    <mergeCell ref="A51:C51"/>
    <mergeCell ref="A52:C52"/>
    <mergeCell ref="A53:C53"/>
    <mergeCell ref="D51:F51"/>
    <mergeCell ref="D52:F52"/>
    <mergeCell ref="D53:F53"/>
    <mergeCell ref="G51:I51"/>
    <mergeCell ref="G52:I52"/>
    <mergeCell ref="G53:I53"/>
    <mergeCell ref="A43:C43"/>
    <mergeCell ref="D43:F43"/>
    <mergeCell ref="G43:I43"/>
    <mergeCell ref="G44:I44"/>
    <mergeCell ref="G41:I41"/>
    <mergeCell ref="A38:C38"/>
    <mergeCell ref="D38:F38"/>
    <mergeCell ref="A40:C40"/>
    <mergeCell ref="D40:F40"/>
    <mergeCell ref="G40:I40"/>
    <mergeCell ref="A41:C41"/>
    <mergeCell ref="G38:I38"/>
    <mergeCell ref="A39:C39"/>
    <mergeCell ref="D39:F39"/>
    <mergeCell ref="G39:I39"/>
    <mergeCell ref="J5:N6"/>
    <mergeCell ref="A42:C42"/>
    <mergeCell ref="D42:F42"/>
    <mergeCell ref="G42:I42"/>
    <mergeCell ref="A34:C34"/>
    <mergeCell ref="D34:F34"/>
    <mergeCell ref="G34:I34"/>
    <mergeCell ref="A35:C35"/>
    <mergeCell ref="D35:F35"/>
    <mergeCell ref="G35:I35"/>
    <mergeCell ref="A36:C36"/>
    <mergeCell ref="D36:F36"/>
    <mergeCell ref="G36:I36"/>
    <mergeCell ref="A37:C37"/>
    <mergeCell ref="D37:F37"/>
    <mergeCell ref="G37:I37"/>
    <mergeCell ref="A32:C32"/>
    <mergeCell ref="D32:F32"/>
    <mergeCell ref="G32:I32"/>
    <mergeCell ref="A33:C33"/>
    <mergeCell ref="D33:F33"/>
    <mergeCell ref="G33:I33"/>
    <mergeCell ref="A30:C30"/>
    <mergeCell ref="D30:F30"/>
    <mergeCell ref="J7:N10"/>
    <mergeCell ref="K11:M12"/>
    <mergeCell ref="J11:J12"/>
    <mergeCell ref="J13:J14"/>
    <mergeCell ref="J15:J16"/>
    <mergeCell ref="J17:J18"/>
    <mergeCell ref="J19:J20"/>
    <mergeCell ref="J21:J22"/>
    <mergeCell ref="N15:N16"/>
    <mergeCell ref="N17:N18"/>
    <mergeCell ref="N19:N20"/>
    <mergeCell ref="N21:N22"/>
    <mergeCell ref="K13:M14"/>
    <mergeCell ref="K15:M16"/>
    <mergeCell ref="K17:M18"/>
    <mergeCell ref="K19:M20"/>
    <mergeCell ref="K21:M22"/>
    <mergeCell ref="N13:N14"/>
    <mergeCell ref="K33:M34"/>
    <mergeCell ref="K35:M36"/>
    <mergeCell ref="K37:M38"/>
    <mergeCell ref="K39:M40"/>
    <mergeCell ref="J25:N26"/>
    <mergeCell ref="N31:N32"/>
    <mergeCell ref="N29:N30"/>
    <mergeCell ref="N43:N44"/>
    <mergeCell ref="N11:N12"/>
  </mergeCells>
  <phoneticPr fontId="47" type="noConversion"/>
  <conditionalFormatting sqref="D5:F53">
    <cfRule type="containsText" dxfId="1150" priority="3" operator="containsText" text="Low Urgency">
      <formula>NOT(ISERROR(SEARCH("Low Urgency",D5)))</formula>
    </cfRule>
    <cfRule type="containsText" dxfId="1149" priority="4" operator="containsText" text="Medium">
      <formula>NOT(ISERROR(SEARCH("Medium",D5)))</formula>
    </cfRule>
    <cfRule type="containsText" dxfId="1148" priority="5" operator="containsText" text="Priority">
      <formula>NOT(ISERROR(SEARCH("Priority",D5)))</formula>
    </cfRule>
    <cfRule type="containsText" dxfId="1147" priority="6" operator="containsText" text="Important">
      <formula>NOT(ISERROR(SEARCH("Important",D5)))</formula>
    </cfRule>
    <cfRule type="containsText" dxfId="1146" priority="7" operator="containsText" text="Urgent">
      <formula>NOT(ISERROR(SEARCH("Urgent",D5)))</formula>
    </cfRule>
  </conditionalFormatting>
  <dataValidations count="1">
    <dataValidation type="list" allowBlank="1" showInputMessage="1" sqref="D5:D2000" xr:uid="{95A3134C-9D21-4A8D-BFFE-AFE9CE7D0A1D}">
      <formula1>"Urgent,Important,Priority,Medium,Low Urgency"</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31429-5095-4587-8BBC-90C34ED0AEE9}">
  <sheetPr codeName="Sheet4">
    <tabColor theme="9" tint="-0.249977111117893"/>
  </sheetPr>
  <dimension ref="A1:L1989"/>
  <sheetViews>
    <sheetView zoomScale="175" zoomScaleNormal="175" workbookViewId="0">
      <pane ySplit="4" topLeftCell="A5" activePane="bottomLeft" state="frozen"/>
      <selection activeCell="L1996" sqref="L1996:M1996"/>
      <selection pane="bottomLeft" activeCell="G10" sqref="G10:I10"/>
    </sheetView>
  </sheetViews>
  <sheetFormatPr defaultRowHeight="13.8"/>
  <sheetData>
    <row r="1" spans="1:12" ht="13.8" customHeight="1">
      <c r="A1" s="217" t="s">
        <v>0</v>
      </c>
      <c r="B1" s="217"/>
      <c r="C1" s="217"/>
      <c r="D1" s="217"/>
      <c r="E1" s="217"/>
      <c r="F1" s="217"/>
      <c r="G1" s="217"/>
      <c r="H1" s="217"/>
      <c r="I1" s="217"/>
      <c r="J1" s="217"/>
      <c r="K1" s="217"/>
      <c r="L1" s="217"/>
    </row>
    <row r="2" spans="1:12" ht="13.8" customHeight="1">
      <c r="A2" s="217"/>
      <c r="B2" s="217"/>
      <c r="C2" s="217"/>
      <c r="D2" s="217"/>
      <c r="E2" s="217"/>
      <c r="F2" s="217"/>
      <c r="G2" s="217"/>
      <c r="H2" s="217"/>
      <c r="I2" s="217"/>
      <c r="J2" s="217"/>
      <c r="K2" s="217"/>
      <c r="L2" s="217"/>
    </row>
    <row r="3" spans="1:12" ht="15.6" customHeight="1">
      <c r="A3" s="220" t="s">
        <v>56</v>
      </c>
      <c r="B3" s="220"/>
      <c r="C3" s="220"/>
      <c r="D3" s="220"/>
      <c r="E3" s="220"/>
      <c r="F3" s="220"/>
      <c r="G3" s="220"/>
      <c r="H3" s="220"/>
      <c r="I3" s="220"/>
      <c r="J3" s="220"/>
      <c r="K3" s="220"/>
      <c r="L3" s="220"/>
    </row>
    <row r="4" spans="1:12" ht="13.8" customHeight="1">
      <c r="A4" s="245" t="s">
        <v>1</v>
      </c>
      <c r="B4" s="245"/>
      <c r="C4" s="245"/>
      <c r="D4" s="245" t="s">
        <v>2</v>
      </c>
      <c r="E4" s="245"/>
      <c r="F4" s="245"/>
      <c r="G4" s="245" t="s">
        <v>178</v>
      </c>
      <c r="H4" s="245"/>
      <c r="I4" s="245"/>
      <c r="J4" s="245"/>
      <c r="K4" s="245"/>
      <c r="L4" s="245"/>
    </row>
    <row r="5" spans="1:12" ht="14.55" customHeight="1">
      <c r="A5" s="225"/>
      <c r="B5" s="226"/>
      <c r="C5" s="226"/>
      <c r="D5" s="228"/>
      <c r="E5" s="229"/>
      <c r="F5" s="230"/>
      <c r="G5" s="240"/>
      <c r="H5" s="241"/>
      <c r="I5" s="242"/>
      <c r="J5" s="118"/>
      <c r="K5" s="119"/>
      <c r="L5" s="120"/>
    </row>
    <row r="6" spans="1:12" ht="14.55" customHeight="1">
      <c r="A6" s="199"/>
      <c r="B6" s="200"/>
      <c r="C6" s="200"/>
      <c r="D6" s="202"/>
      <c r="E6" s="203"/>
      <c r="F6" s="204"/>
      <c r="G6" s="240"/>
      <c r="H6" s="241"/>
      <c r="I6" s="242"/>
      <c r="J6" s="165"/>
      <c r="K6" s="166"/>
      <c r="L6" s="167"/>
    </row>
    <row r="7" spans="1:12" ht="14.55" customHeight="1">
      <c r="A7" s="199"/>
      <c r="B7" s="200"/>
      <c r="C7" s="200"/>
      <c r="D7" s="202"/>
      <c r="E7" s="203"/>
      <c r="F7" s="204"/>
      <c r="G7" s="240"/>
      <c r="H7" s="241"/>
      <c r="I7" s="242"/>
      <c r="J7" s="165"/>
      <c r="K7" s="166"/>
      <c r="L7" s="167"/>
    </row>
    <row r="8" spans="1:12" ht="14.55" customHeight="1">
      <c r="A8" s="199"/>
      <c r="B8" s="200"/>
      <c r="C8" s="200"/>
      <c r="D8" s="202"/>
      <c r="E8" s="203"/>
      <c r="F8" s="204"/>
      <c r="G8" s="240"/>
      <c r="H8" s="241"/>
      <c r="I8" s="242"/>
      <c r="J8" s="165"/>
      <c r="K8" s="166"/>
      <c r="L8" s="167"/>
    </row>
    <row r="9" spans="1:12" ht="14.55" customHeight="1">
      <c r="A9" s="199"/>
      <c r="B9" s="200"/>
      <c r="C9" s="200"/>
      <c r="D9" s="202"/>
      <c r="E9" s="203"/>
      <c r="F9" s="204"/>
      <c r="G9" s="240"/>
      <c r="H9" s="241"/>
      <c r="I9" s="242"/>
      <c r="J9" s="165"/>
      <c r="K9" s="166"/>
      <c r="L9" s="167"/>
    </row>
    <row r="10" spans="1:12" ht="14.55" customHeight="1">
      <c r="A10" s="199"/>
      <c r="B10" s="200"/>
      <c r="C10" s="200"/>
      <c r="D10" s="202"/>
      <c r="E10" s="203"/>
      <c r="F10" s="204"/>
      <c r="G10" s="240"/>
      <c r="H10" s="241"/>
      <c r="I10" s="242"/>
      <c r="J10" s="165"/>
      <c r="K10" s="166"/>
      <c r="L10" s="167"/>
    </row>
    <row r="11" spans="1:12" ht="14.55" customHeight="1">
      <c r="A11" s="199"/>
      <c r="B11" s="200"/>
      <c r="C11" s="200"/>
      <c r="D11" s="202"/>
      <c r="E11" s="203"/>
      <c r="F11" s="204"/>
      <c r="G11" s="240"/>
      <c r="H11" s="241"/>
      <c r="I11" s="242"/>
      <c r="J11" s="165"/>
      <c r="K11" s="166"/>
      <c r="L11" s="167"/>
    </row>
    <row r="12" spans="1:12" ht="15.45" customHeight="1">
      <c r="A12" s="199"/>
      <c r="B12" s="200"/>
      <c r="C12" s="200"/>
      <c r="D12" s="202"/>
      <c r="E12" s="203"/>
      <c r="F12" s="204"/>
      <c r="G12" s="240"/>
      <c r="H12" s="241"/>
      <c r="I12" s="242"/>
      <c r="J12" s="165"/>
      <c r="K12" s="166"/>
      <c r="L12" s="167"/>
    </row>
    <row r="13" spans="1:12" ht="14.55" customHeight="1">
      <c r="A13" s="199"/>
      <c r="B13" s="200"/>
      <c r="C13" s="200"/>
      <c r="D13" s="202"/>
      <c r="E13" s="203"/>
      <c r="F13" s="204"/>
      <c r="G13" s="240"/>
      <c r="H13" s="241"/>
      <c r="I13" s="242"/>
      <c r="J13" s="165"/>
      <c r="K13" s="166"/>
      <c r="L13" s="167"/>
    </row>
    <row r="14" spans="1:12" ht="14.55" customHeight="1">
      <c r="A14" s="199"/>
      <c r="B14" s="200"/>
      <c r="C14" s="200"/>
      <c r="D14" s="202"/>
      <c r="E14" s="203"/>
      <c r="F14" s="204"/>
      <c r="G14" s="240"/>
      <c r="H14" s="241"/>
      <c r="I14" s="242"/>
      <c r="J14" s="165"/>
      <c r="K14" s="166"/>
      <c r="L14" s="167"/>
    </row>
    <row r="15" spans="1:12" ht="14.55" customHeight="1">
      <c r="A15" s="200"/>
      <c r="B15" s="200"/>
      <c r="C15" s="200"/>
      <c r="D15" s="202"/>
      <c r="E15" s="203"/>
      <c r="F15" s="204"/>
      <c r="G15" s="240"/>
      <c r="H15" s="241"/>
      <c r="I15" s="242"/>
      <c r="J15" s="165"/>
      <c r="K15" s="166"/>
      <c r="L15" s="167"/>
    </row>
    <row r="16" spans="1:12" ht="14.55" customHeight="1">
      <c r="A16" s="200"/>
      <c r="B16" s="200"/>
      <c r="C16" s="200"/>
      <c r="D16" s="202"/>
      <c r="E16" s="203"/>
      <c r="F16" s="204"/>
      <c r="G16" s="240"/>
      <c r="H16" s="241"/>
      <c r="I16" s="242"/>
      <c r="J16" s="165"/>
      <c r="K16" s="166"/>
      <c r="L16" s="167"/>
    </row>
    <row r="17" spans="1:12" ht="14.55" customHeight="1">
      <c r="A17" s="200"/>
      <c r="B17" s="200"/>
      <c r="C17" s="200"/>
      <c r="D17" s="202"/>
      <c r="E17" s="203"/>
      <c r="F17" s="204"/>
      <c r="G17" s="240"/>
      <c r="H17" s="241"/>
      <c r="I17" s="242"/>
      <c r="J17" s="165"/>
      <c r="K17" s="166"/>
      <c r="L17" s="167"/>
    </row>
    <row r="18" spans="1:12">
      <c r="A18" s="199"/>
      <c r="B18" s="200"/>
      <c r="C18" s="200"/>
      <c r="D18" s="202"/>
      <c r="E18" s="203"/>
      <c r="F18" s="204"/>
      <c r="G18" s="240"/>
      <c r="H18" s="241"/>
      <c r="I18" s="242"/>
      <c r="J18" s="165"/>
      <c r="K18" s="166"/>
      <c r="L18" s="167"/>
    </row>
    <row r="19" spans="1:12" ht="15.45" customHeight="1">
      <c r="A19" s="199"/>
      <c r="B19" s="200"/>
      <c r="C19" s="200"/>
      <c r="D19" s="202"/>
      <c r="E19" s="203"/>
      <c r="F19" s="204"/>
      <c r="G19" s="240"/>
      <c r="H19" s="241"/>
      <c r="I19" s="242"/>
      <c r="J19" s="165"/>
      <c r="K19" s="166"/>
      <c r="L19" s="167"/>
    </row>
    <row r="20" spans="1:12">
      <c r="A20" s="199"/>
      <c r="B20" s="200"/>
      <c r="C20" s="200"/>
      <c r="D20" s="202"/>
      <c r="E20" s="203"/>
      <c r="F20" s="204"/>
      <c r="G20" s="240"/>
      <c r="H20" s="241"/>
      <c r="I20" s="242"/>
      <c r="J20" s="165"/>
      <c r="K20" s="166"/>
      <c r="L20" s="167"/>
    </row>
    <row r="21" spans="1:12" ht="15.45" customHeight="1">
      <c r="A21" s="199"/>
      <c r="B21" s="200"/>
      <c r="C21" s="200"/>
      <c r="D21" s="202"/>
      <c r="E21" s="203"/>
      <c r="F21" s="204"/>
      <c r="G21" s="240"/>
      <c r="H21" s="241"/>
      <c r="I21" s="242"/>
      <c r="J21" s="165"/>
      <c r="K21" s="166"/>
      <c r="L21" s="167"/>
    </row>
    <row r="22" spans="1:12">
      <c r="A22" s="199"/>
      <c r="B22" s="200"/>
      <c r="C22" s="200"/>
      <c r="D22" s="243"/>
      <c r="E22" s="203"/>
      <c r="F22" s="204"/>
      <c r="G22" s="244"/>
      <c r="H22" s="241"/>
      <c r="I22" s="242"/>
      <c r="J22" s="165"/>
      <c r="K22" s="166"/>
      <c r="L22" s="167"/>
    </row>
    <row r="23" spans="1:12" ht="15.45" customHeight="1">
      <c r="A23" s="199"/>
      <c r="B23" s="200"/>
      <c r="C23" s="200"/>
      <c r="D23" s="202"/>
      <c r="E23" s="203"/>
      <c r="F23" s="204"/>
      <c r="G23" s="240"/>
      <c r="H23" s="241"/>
      <c r="I23" s="242"/>
      <c r="J23" s="165"/>
      <c r="K23" s="166"/>
      <c r="L23" s="167"/>
    </row>
    <row r="24" spans="1:12">
      <c r="A24" s="199"/>
      <c r="B24" s="200"/>
      <c r="C24" s="201"/>
      <c r="D24" s="202"/>
      <c r="E24" s="203"/>
      <c r="F24" s="204"/>
      <c r="G24" s="244"/>
      <c r="H24" s="241"/>
      <c r="I24" s="242"/>
      <c r="J24" s="165"/>
      <c r="K24" s="166"/>
      <c r="L24" s="167"/>
    </row>
    <row r="25" spans="1:12">
      <c r="A25" s="199"/>
      <c r="B25" s="200"/>
      <c r="C25" s="201"/>
      <c r="D25" s="202"/>
      <c r="E25" s="203"/>
      <c r="F25" s="204"/>
      <c r="G25" s="240"/>
      <c r="H25" s="241"/>
      <c r="I25" s="242"/>
      <c r="J25" s="165"/>
      <c r="K25" s="166"/>
      <c r="L25" s="167"/>
    </row>
    <row r="26" spans="1:12" ht="16.05" customHeight="1">
      <c r="A26" s="199"/>
      <c r="B26" s="200"/>
      <c r="C26" s="201"/>
      <c r="D26" s="202"/>
      <c r="E26" s="203"/>
      <c r="F26" s="204"/>
      <c r="G26" s="240"/>
      <c r="H26" s="241"/>
      <c r="I26" s="242"/>
      <c r="J26" s="165"/>
      <c r="K26" s="166"/>
      <c r="L26" s="167"/>
    </row>
    <row r="27" spans="1:12">
      <c r="A27" s="199"/>
      <c r="B27" s="200"/>
      <c r="C27" s="201"/>
      <c r="D27" s="202"/>
      <c r="E27" s="203"/>
      <c r="F27" s="204"/>
      <c r="G27" s="240"/>
      <c r="H27" s="241"/>
      <c r="I27" s="242"/>
      <c r="J27" s="165"/>
      <c r="K27" s="166"/>
      <c r="L27" s="167"/>
    </row>
    <row r="28" spans="1:12">
      <c r="A28" s="199"/>
      <c r="B28" s="200"/>
      <c r="C28" s="201"/>
      <c r="D28" s="202"/>
      <c r="E28" s="203"/>
      <c r="F28" s="204"/>
      <c r="G28" s="240"/>
      <c r="H28" s="241"/>
      <c r="I28" s="242"/>
      <c r="J28" s="165"/>
      <c r="K28" s="166"/>
      <c r="L28" s="167"/>
    </row>
    <row r="29" spans="1:12">
      <c r="A29" s="199"/>
      <c r="B29" s="200"/>
      <c r="C29" s="201"/>
      <c r="D29" s="202"/>
      <c r="E29" s="203"/>
      <c r="F29" s="204"/>
      <c r="G29" s="240"/>
      <c r="H29" s="241"/>
      <c r="I29" s="242"/>
      <c r="J29" s="165"/>
      <c r="K29" s="166"/>
      <c r="L29" s="167"/>
    </row>
    <row r="30" spans="1:12">
      <c r="A30" s="199"/>
      <c r="B30" s="200"/>
      <c r="C30" s="201"/>
      <c r="D30" s="202"/>
      <c r="E30" s="203"/>
      <c r="F30" s="204"/>
      <c r="G30" s="240"/>
      <c r="H30" s="241"/>
      <c r="I30" s="242"/>
      <c r="J30" s="165"/>
      <c r="K30" s="166"/>
      <c r="L30" s="167"/>
    </row>
    <row r="31" spans="1:12">
      <c r="A31" s="199"/>
      <c r="B31" s="200"/>
      <c r="C31" s="201"/>
      <c r="D31" s="202"/>
      <c r="E31" s="203"/>
      <c r="F31" s="204"/>
      <c r="G31" s="240"/>
      <c r="H31" s="241"/>
      <c r="I31" s="242"/>
      <c r="J31" s="165"/>
      <c r="K31" s="166"/>
      <c r="L31" s="167"/>
    </row>
    <row r="32" spans="1:12">
      <c r="A32" s="199"/>
      <c r="B32" s="200"/>
      <c r="C32" s="201"/>
      <c r="D32" s="202"/>
      <c r="E32" s="203"/>
      <c r="F32" s="204"/>
      <c r="G32" s="240"/>
      <c r="H32" s="241"/>
      <c r="I32" s="242"/>
      <c r="J32" s="165"/>
      <c r="K32" s="166"/>
      <c r="L32" s="167"/>
    </row>
    <row r="33" spans="1:12">
      <c r="A33" s="199"/>
      <c r="B33" s="200"/>
      <c r="C33" s="201"/>
      <c r="D33" s="202"/>
      <c r="E33" s="203"/>
      <c r="F33" s="204"/>
      <c r="G33" s="240"/>
      <c r="H33" s="241"/>
      <c r="I33" s="242"/>
      <c r="J33" s="165"/>
      <c r="K33" s="166"/>
      <c r="L33" s="167"/>
    </row>
    <row r="34" spans="1:12">
      <c r="A34" s="207"/>
      <c r="B34" s="208"/>
      <c r="C34" s="209"/>
      <c r="D34" s="210"/>
      <c r="E34" s="211"/>
      <c r="F34" s="212"/>
      <c r="G34" s="240"/>
      <c r="H34" s="241"/>
      <c r="I34" s="242"/>
      <c r="J34" s="168"/>
      <c r="K34" s="169"/>
      <c r="L34" s="170"/>
    </row>
    <row r="1989" spans="9:9">
      <c r="I1989" t="s">
        <v>39</v>
      </c>
    </row>
  </sheetData>
  <autoFilter ref="A4:L4" xr:uid="{D9F31429-5095-4587-8BBC-90C34ED0AEE9}">
    <filterColumn colId="0" showButton="0"/>
    <filterColumn colId="1" showButton="0"/>
    <filterColumn colId="3" showButton="0"/>
    <filterColumn colId="4" showButton="0"/>
    <filterColumn colId="6" showButton="0"/>
    <filterColumn colId="7" showButton="0"/>
    <filterColumn colId="9" showButton="0"/>
    <filterColumn colId="10" showButton="0"/>
  </autoFilter>
  <sortState xmlns:xlrd2="http://schemas.microsoft.com/office/spreadsheetml/2017/richdata2" ref="A5:I1989">
    <sortCondition ref="D5:D1989" customList="Urgent,Critical,Important,Priority,Medium,Normal,Low,Low Urgency"/>
  </sortState>
  <mergeCells count="97">
    <mergeCell ref="A1:L2"/>
    <mergeCell ref="A3:L3"/>
    <mergeCell ref="A4:C4"/>
    <mergeCell ref="D4:F4"/>
    <mergeCell ref="G4:I4"/>
    <mergeCell ref="J4:L4"/>
    <mergeCell ref="A9:C9"/>
    <mergeCell ref="D9:F9"/>
    <mergeCell ref="G9:I9"/>
    <mergeCell ref="A7:C7"/>
    <mergeCell ref="D7:F7"/>
    <mergeCell ref="G7:I7"/>
    <mergeCell ref="A5:C5"/>
    <mergeCell ref="D8:F8"/>
    <mergeCell ref="G8:I8"/>
    <mergeCell ref="A6:C6"/>
    <mergeCell ref="A8:C8"/>
    <mergeCell ref="D6:F6"/>
    <mergeCell ref="G6:I6"/>
    <mergeCell ref="J5:L34"/>
    <mergeCell ref="D5:F5"/>
    <mergeCell ref="G5:I5"/>
    <mergeCell ref="D24:F24"/>
    <mergeCell ref="G24:I24"/>
    <mergeCell ref="D10:F10"/>
    <mergeCell ref="G10:I10"/>
    <mergeCell ref="D14:F14"/>
    <mergeCell ref="G14:I14"/>
    <mergeCell ref="D18:F18"/>
    <mergeCell ref="G18:I18"/>
    <mergeCell ref="G22:I22"/>
    <mergeCell ref="G33:I33"/>
    <mergeCell ref="D34:F34"/>
    <mergeCell ref="D26:F26"/>
    <mergeCell ref="G26:I26"/>
    <mergeCell ref="A13:C13"/>
    <mergeCell ref="D13:F13"/>
    <mergeCell ref="G13:I13"/>
    <mergeCell ref="A10:C10"/>
    <mergeCell ref="A12:C12"/>
    <mergeCell ref="A11:C11"/>
    <mergeCell ref="D11:F11"/>
    <mergeCell ref="G11:I11"/>
    <mergeCell ref="D12:F12"/>
    <mergeCell ref="G12:I12"/>
    <mergeCell ref="A14:C14"/>
    <mergeCell ref="A16:C16"/>
    <mergeCell ref="A15:C15"/>
    <mergeCell ref="D15:F15"/>
    <mergeCell ref="G15:I15"/>
    <mergeCell ref="D16:F16"/>
    <mergeCell ref="G16:I16"/>
    <mergeCell ref="A18:C18"/>
    <mergeCell ref="A20:C20"/>
    <mergeCell ref="A17:C17"/>
    <mergeCell ref="D17:F17"/>
    <mergeCell ref="G17:I17"/>
    <mergeCell ref="A19:C19"/>
    <mergeCell ref="D19:F19"/>
    <mergeCell ref="G19:I19"/>
    <mergeCell ref="A24:C24"/>
    <mergeCell ref="A23:C23"/>
    <mergeCell ref="D23:F23"/>
    <mergeCell ref="G23:I23"/>
    <mergeCell ref="A22:C22"/>
    <mergeCell ref="A32:C32"/>
    <mergeCell ref="A29:C29"/>
    <mergeCell ref="D20:F20"/>
    <mergeCell ref="D25:F25"/>
    <mergeCell ref="G25:I25"/>
    <mergeCell ref="D22:F22"/>
    <mergeCell ref="A30:C30"/>
    <mergeCell ref="A31:C31"/>
    <mergeCell ref="A28:C28"/>
    <mergeCell ref="A25:C25"/>
    <mergeCell ref="A26:C26"/>
    <mergeCell ref="A27:C27"/>
    <mergeCell ref="G20:I20"/>
    <mergeCell ref="A21:C21"/>
    <mergeCell ref="D21:F21"/>
    <mergeCell ref="G21:I21"/>
    <mergeCell ref="A34:C34"/>
    <mergeCell ref="D27:F27"/>
    <mergeCell ref="G27:I27"/>
    <mergeCell ref="D28:F28"/>
    <mergeCell ref="D29:F29"/>
    <mergeCell ref="D30:F30"/>
    <mergeCell ref="D31:F31"/>
    <mergeCell ref="D32:F32"/>
    <mergeCell ref="G28:I28"/>
    <mergeCell ref="G29:I29"/>
    <mergeCell ref="G30:I30"/>
    <mergeCell ref="G31:I31"/>
    <mergeCell ref="G32:I32"/>
    <mergeCell ref="G34:I34"/>
    <mergeCell ref="A33:C33"/>
    <mergeCell ref="D33:F33"/>
  </mergeCells>
  <phoneticPr fontId="17" type="noConversion"/>
  <conditionalFormatting sqref="D5:F34">
    <cfRule type="containsText" dxfId="1145" priority="1" operator="containsText" text="Low Urgency">
      <formula>NOT(ISERROR(SEARCH("Low Urgency",D5)))</formula>
    </cfRule>
    <cfRule type="containsText" dxfId="1144" priority="2" operator="containsText" text="Medium">
      <formula>NOT(ISERROR(SEARCH("Medium",D5)))</formula>
    </cfRule>
    <cfRule type="containsText" dxfId="1143" priority="3" operator="containsText" text="Priority">
      <formula>NOT(ISERROR(SEARCH("Priority",D5)))</formula>
    </cfRule>
    <cfRule type="containsText" dxfId="1142" priority="4" operator="containsText" text="Important">
      <formula>NOT(ISERROR(SEARCH("Important",D5)))</formula>
    </cfRule>
    <cfRule type="containsText" dxfId="1141" priority="5" operator="containsText" text="Urgent">
      <formula>NOT(ISERROR(SEARCH("Urgent",D5)))</formula>
    </cfRule>
  </conditionalFormatting>
  <dataValidations count="1">
    <dataValidation type="list" allowBlank="1" showInputMessage="1" sqref="D5:D2000" xr:uid="{A899DECC-E1A7-4A22-9B5A-53D0C6B6726B}">
      <formula1>"Urgent,Important,Priority,Medium,Low Urgency"</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33F0E-DD2C-429B-9599-050D8FC9B47D}">
  <sheetPr codeName="Sheet11">
    <tabColor rgb="FFF4B183"/>
  </sheetPr>
  <dimension ref="A1:EN274"/>
  <sheetViews>
    <sheetView showGridLines="0" zoomScale="115" zoomScaleNormal="115" workbookViewId="0">
      <selection activeCell="G11" sqref="G11"/>
    </sheetView>
  </sheetViews>
  <sheetFormatPr defaultRowHeight="18" customHeight="1"/>
  <cols>
    <col min="1" max="1" width="12.77734375" style="62" customWidth="1"/>
    <col min="2" max="2" width="18.77734375" style="62" customWidth="1"/>
    <col min="3" max="3" width="10.77734375" style="62" customWidth="1"/>
    <col min="4" max="4" width="11.77734375" style="62" customWidth="1"/>
    <col min="5" max="5" width="16.44140625" style="62" customWidth="1"/>
    <col min="6" max="6" width="12.77734375" style="62" customWidth="1"/>
    <col min="7" max="7" width="22" style="62" customWidth="1"/>
    <col min="8" max="8" width="15.21875" style="62" customWidth="1"/>
    <col min="9" max="9" width="22.44140625" style="62" customWidth="1"/>
    <col min="10" max="10" width="19.6640625" style="62" customWidth="1"/>
    <col min="11" max="11" width="23.88671875" style="62" customWidth="1"/>
    <col min="12" max="12" width="20.44140625" style="62" customWidth="1"/>
    <col min="13" max="13" width="10.77734375" style="62" customWidth="1"/>
    <col min="14" max="14" width="16.77734375" style="62" customWidth="1"/>
    <col min="15" max="15" width="5.77734375" style="62" customWidth="1"/>
    <col min="16" max="22" width="11.33203125" style="62" customWidth="1"/>
    <col min="23" max="135" width="4" style="62" customWidth="1"/>
    <col min="136" max="136" width="8.88671875" style="62"/>
    <col min="137" max="144" width="0" style="62" hidden="1" customWidth="1"/>
    <col min="145" max="16384" width="8.88671875" style="62"/>
  </cols>
  <sheetData>
    <row r="1" spans="1:144" ht="34.049999999999997" customHeight="1">
      <c r="A1" s="266" t="s">
        <v>125</v>
      </c>
      <c r="B1" s="267"/>
      <c r="C1" s="267"/>
      <c r="D1" s="267"/>
      <c r="E1" s="267"/>
      <c r="F1" s="267"/>
      <c r="G1" s="267"/>
      <c r="H1" s="267"/>
      <c r="I1" s="267"/>
      <c r="J1" s="268"/>
      <c r="K1" s="58"/>
      <c r="L1" s="58"/>
      <c r="M1" s="58"/>
      <c r="N1" s="58"/>
      <c r="O1" s="282" t="s">
        <v>159</v>
      </c>
      <c r="P1" s="282"/>
      <c r="Q1" s="282"/>
      <c r="R1" s="282"/>
      <c r="S1" s="282"/>
      <c r="T1" s="282"/>
      <c r="U1" s="282"/>
      <c r="V1" s="282"/>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c r="AW1" s="46"/>
      <c r="AX1" s="46"/>
      <c r="AY1" s="46"/>
      <c r="AZ1" s="46"/>
      <c r="BA1" s="46"/>
      <c r="BB1" s="46"/>
      <c r="BC1" s="46"/>
      <c r="BD1" s="46"/>
      <c r="BE1" s="46"/>
      <c r="BF1" s="46"/>
      <c r="BG1" s="46"/>
      <c r="BH1" s="46"/>
      <c r="BI1" s="46"/>
      <c r="BJ1" s="46"/>
      <c r="BK1" s="46"/>
      <c r="BL1" s="46"/>
      <c r="BM1" s="46"/>
      <c r="BN1" s="46"/>
      <c r="BO1" s="46"/>
      <c r="BP1" s="46"/>
      <c r="BQ1" s="46"/>
      <c r="BR1" s="46"/>
      <c r="BS1" s="46"/>
      <c r="BT1" s="46"/>
      <c r="BU1" s="46"/>
      <c r="BV1" s="46"/>
      <c r="BW1" s="46"/>
      <c r="BX1" s="46"/>
      <c r="BY1" s="46"/>
      <c r="BZ1" s="46"/>
      <c r="CA1" s="46"/>
      <c r="CB1" s="46"/>
      <c r="CC1" s="46"/>
      <c r="CD1" s="46"/>
      <c r="CE1" s="46"/>
      <c r="CF1" s="46"/>
      <c r="CG1" s="46"/>
      <c r="CH1" s="46"/>
      <c r="CI1" s="46"/>
      <c r="CJ1" s="46"/>
      <c r="CK1" s="46"/>
      <c r="CL1" s="46"/>
      <c r="CM1" s="46"/>
      <c r="CN1" s="46"/>
      <c r="CO1" s="46"/>
      <c r="CP1" s="46"/>
      <c r="CQ1" s="46"/>
      <c r="CR1" s="46"/>
      <c r="CS1" s="46"/>
      <c r="CT1" s="46"/>
      <c r="CU1" s="46"/>
      <c r="CV1" s="46"/>
      <c r="CW1" s="46"/>
      <c r="CX1" s="46"/>
      <c r="CY1" s="46"/>
      <c r="CZ1" s="46"/>
      <c r="DA1" s="46"/>
      <c r="DB1" s="46"/>
      <c r="DC1" s="46"/>
      <c r="DD1" s="46"/>
      <c r="DE1" s="46"/>
      <c r="DF1" s="46"/>
      <c r="DG1" s="46"/>
      <c r="DH1" s="46"/>
      <c r="DI1" s="46"/>
      <c r="DJ1" s="46"/>
      <c r="DK1" s="46"/>
      <c r="DL1" s="46"/>
      <c r="DM1" s="46"/>
      <c r="DN1" s="46"/>
      <c r="DO1" s="46"/>
      <c r="DP1" s="46"/>
      <c r="DQ1" s="46"/>
      <c r="DR1" s="46"/>
      <c r="DS1" s="46"/>
      <c r="DT1" s="46"/>
      <c r="DU1" s="46"/>
      <c r="DV1" s="46"/>
      <c r="DW1" s="46"/>
      <c r="DX1" s="46"/>
      <c r="DY1" s="46"/>
      <c r="DZ1" s="46"/>
      <c r="EA1" s="46"/>
      <c r="EB1" s="46"/>
      <c r="EC1" s="46"/>
      <c r="ED1" s="46"/>
      <c r="EE1" s="46"/>
      <c r="EF1" s="46"/>
      <c r="EG1" s="45" t="str">
        <f>IFERROR(_xlfn.XLOOKUP($B$17,tblProjectInput[Project Name],tblProjectInput[Project ID],""),"")</f>
        <v/>
      </c>
      <c r="EH1" s="46"/>
      <c r="EI1" s="46"/>
      <c r="EJ1" s="46" t="s">
        <v>150</v>
      </c>
      <c r="EK1" s="46" t="s">
        <v>152</v>
      </c>
      <c r="EL1" s="46" t="s">
        <v>152</v>
      </c>
      <c r="EM1" s="46" t="str" cm="1">
        <f t="array" ref="EM1">IF($EG$2="","",IFERROR(_xlfn.XLOOKUP(1,(tblProjectSteps[Project ID]=$EG$1)*(tblProjectSteps[Step '#]=$EG$2),tblProjectSteps[Step / Action],""),""))</f>
        <v/>
      </c>
      <c r="EN1" s="61" t="s">
        <v>157</v>
      </c>
    </row>
    <row r="2" spans="1:144" ht="18" customHeight="1">
      <c r="A2" s="257" t="s">
        <v>174</v>
      </c>
      <c r="B2" s="257"/>
      <c r="C2" s="257"/>
      <c r="D2" s="257"/>
      <c r="E2" s="257"/>
      <c r="F2" s="257"/>
      <c r="G2" s="257"/>
      <c r="H2" s="257"/>
      <c r="I2" s="257"/>
      <c r="J2" s="257"/>
      <c r="K2" s="257"/>
      <c r="L2" s="257"/>
      <c r="M2" s="257"/>
      <c r="N2" s="257"/>
      <c r="O2" s="283" t="s">
        <v>160</v>
      </c>
      <c r="P2" s="283"/>
      <c r="Q2" s="283"/>
      <c r="R2" s="283"/>
      <c r="S2" s="283"/>
      <c r="T2" s="283"/>
      <c r="U2" s="283"/>
      <c r="V2" s="283"/>
      <c r="W2" s="46"/>
      <c r="X2" s="46"/>
      <c r="Y2" s="46"/>
      <c r="Z2" s="46"/>
      <c r="AA2" s="46"/>
      <c r="AB2" s="46"/>
      <c r="AC2" s="46"/>
      <c r="AD2" s="46"/>
      <c r="AE2" s="46"/>
      <c r="AF2" s="46"/>
      <c r="AG2" s="46"/>
      <c r="AH2" s="46"/>
      <c r="AI2" s="46"/>
      <c r="AJ2" s="46"/>
      <c r="AK2" s="46"/>
      <c r="AL2" s="46"/>
      <c r="AM2" s="46"/>
      <c r="AN2" s="46"/>
      <c r="AO2" s="46"/>
      <c r="AP2" s="46"/>
      <c r="AQ2" s="46"/>
      <c r="AR2" s="46"/>
      <c r="AS2" s="46"/>
      <c r="AT2" s="46"/>
      <c r="AU2" s="46"/>
      <c r="AV2" s="46"/>
      <c r="AW2" s="46"/>
      <c r="AX2" s="46"/>
      <c r="AY2" s="46"/>
      <c r="AZ2" s="46"/>
      <c r="BA2" s="46"/>
      <c r="BB2" s="46"/>
      <c r="BC2" s="46"/>
      <c r="BD2" s="46"/>
      <c r="BE2" s="46"/>
      <c r="BF2" s="46"/>
      <c r="BG2" s="46"/>
      <c r="BH2" s="46"/>
      <c r="BI2" s="46"/>
      <c r="BJ2" s="46"/>
      <c r="BK2" s="46"/>
      <c r="BL2" s="46"/>
      <c r="BM2" s="46"/>
      <c r="BN2" s="46"/>
      <c r="BO2" s="46"/>
      <c r="BP2" s="46"/>
      <c r="BQ2" s="46"/>
      <c r="BR2" s="46"/>
      <c r="BS2" s="46"/>
      <c r="BT2" s="46"/>
      <c r="BU2" s="46"/>
      <c r="BV2" s="46"/>
      <c r="BW2" s="46"/>
      <c r="BX2" s="46"/>
      <c r="BY2" s="46"/>
      <c r="BZ2" s="46"/>
      <c r="CA2" s="46"/>
      <c r="CB2" s="46"/>
      <c r="CC2" s="46"/>
      <c r="CD2" s="46"/>
      <c r="CE2" s="46"/>
      <c r="CF2" s="46"/>
      <c r="CG2" s="46"/>
      <c r="CH2" s="46"/>
      <c r="CI2" s="46"/>
      <c r="CJ2" s="46"/>
      <c r="CK2" s="46"/>
      <c r="CL2" s="46"/>
      <c r="CM2" s="46"/>
      <c r="CN2" s="46"/>
      <c r="CO2" s="46"/>
      <c r="CP2" s="46"/>
      <c r="CQ2" s="46"/>
      <c r="CR2" s="46"/>
      <c r="CS2" s="46"/>
      <c r="CT2" s="46"/>
      <c r="CU2" s="46"/>
      <c r="CV2" s="46"/>
      <c r="CW2" s="46"/>
      <c r="CX2" s="46"/>
      <c r="CY2" s="46"/>
      <c r="CZ2" s="46"/>
      <c r="DA2" s="46"/>
      <c r="DB2" s="46"/>
      <c r="DC2" s="46"/>
      <c r="DD2" s="46"/>
      <c r="DE2" s="46"/>
      <c r="DF2" s="46"/>
      <c r="DG2" s="46"/>
      <c r="DH2" s="46"/>
      <c r="DI2" s="46"/>
      <c r="DJ2" s="46"/>
      <c r="DK2" s="46"/>
      <c r="DL2" s="46"/>
      <c r="DM2" s="46"/>
      <c r="DN2" s="46"/>
      <c r="DO2" s="46"/>
      <c r="DP2" s="46"/>
      <c r="DQ2" s="46"/>
      <c r="DR2" s="46"/>
      <c r="DS2" s="46"/>
      <c r="DT2" s="46"/>
      <c r="DU2" s="46"/>
      <c r="DV2" s="46"/>
      <c r="DW2" s="46"/>
      <c r="DX2" s="46"/>
      <c r="DY2" s="46"/>
      <c r="DZ2" s="46"/>
      <c r="EA2" s="46"/>
      <c r="EB2" s="46"/>
      <c r="EC2" s="46"/>
      <c r="ED2" s="46"/>
      <c r="EE2" s="46"/>
      <c r="EF2" s="46"/>
      <c r="EG2" s="27" t="str">
        <f>IF($EG$1="","",_xlfn.LET(_xlpm.pid,$EG$1,_xlpm.nIP,COUNTIFS(tblProjectSteps[Project ID],_xlpm.pid,tblProjectSteps[Status],"In Progress"),_xlpm.nW,COUNTIFS(tblProjectSteps[Project ID],_xlpm.pid,tblProjectSteps[Status],"Waiting"),_xlpm.nB,COUNTIFS(tblProjectSteps[Project ID],_xlpm.pid,tblProjectSteps[Status],"Blocked"),_xlpm.nU,COUNTIFS(tblProjectSteps[Project ID],_xlpm.pid,tblProjectSteps[Status],"&lt;&gt;Completed",tblProjectSteps[Status],"&lt;&gt;Cancelled"),IF(_xlpm.nU=0,"",IF(_xlpm.nIP&gt;0,_xlfn.MINIFS(tblProjectSteps[Step '#],tblProjectSteps[Project ID],_xlpm.pid,tblProjectSteps[Status],"In Progress"),IF(_xlpm.nW+_xlpm.nB&gt;0,MIN(IF(_xlpm.nW&gt;0,_xlfn.MINIFS(tblProjectSteps[Step '#],tblProjectSteps[Project ID],_xlpm.pid,tblProjectSteps[Status],"Waiting"),1E+99),IF(_xlpm.nB&gt;0,_xlfn.MINIFS(tblProjectSteps[Step '#],tblProjectSteps[Project ID],_xlpm.pid,tblProjectSteps[Status],"Blocked"),1E+99)),_xlfn.MINIFS(tblProjectSteps[Step '#],tblProjectSteps[Project ID],_xlpm.pid,tblProjectSteps[Status],"&lt;&gt;Completed",tblProjectSteps[Status],"&lt;&gt;Cancelled"))))))</f>
        <v/>
      </c>
      <c r="EH2" s="46"/>
      <c r="EI2" s="46"/>
      <c r="EJ2" s="46" t="s">
        <v>151</v>
      </c>
      <c r="EK2" s="46" t="s">
        <v>153</v>
      </c>
      <c r="EL2" s="46" t="s">
        <v>153</v>
      </c>
      <c r="EM2" s="46" t="str" cm="1">
        <f t="array" ref="EM2">IF($EG$3="","",IFERROR(_xlfn.XLOOKUP(1,(tblProjectSteps[Project ID]=$EG$1)*(tblProjectSteps[Step '#]=$EG$3),tblProjectSteps[Step / Action],""),""))</f>
        <v/>
      </c>
      <c r="EN2" s="61" t="s">
        <v>158</v>
      </c>
    </row>
    <row r="3" spans="1:144" ht="18" customHeight="1">
      <c r="A3" s="44" t="s">
        <v>126</v>
      </c>
      <c r="B3" s="251" t="s">
        <v>127</v>
      </c>
      <c r="C3" s="281"/>
      <c r="D3" s="44" t="s">
        <v>128</v>
      </c>
      <c r="E3" s="44" t="s">
        <v>69</v>
      </c>
      <c r="F3" s="44" t="s">
        <v>129</v>
      </c>
      <c r="G3" s="44" t="s">
        <v>130</v>
      </c>
      <c r="H3" s="44" t="s">
        <v>131</v>
      </c>
      <c r="I3" s="251" t="s">
        <v>132</v>
      </c>
      <c r="J3" s="281"/>
      <c r="K3" s="251" t="s">
        <v>133</v>
      </c>
      <c r="L3" s="281"/>
      <c r="M3" s="44" t="s">
        <v>134</v>
      </c>
      <c r="N3" s="44" t="s">
        <v>135</v>
      </c>
      <c r="O3" s="284">
        <v>1</v>
      </c>
      <c r="P3" s="285" t="s">
        <v>161</v>
      </c>
      <c r="Q3" s="285"/>
      <c r="R3" s="285"/>
      <c r="S3" s="285"/>
      <c r="T3" s="285"/>
      <c r="U3" s="285"/>
      <c r="V3" s="285"/>
      <c r="W3" s="46"/>
      <c r="X3" s="46"/>
      <c r="Y3" s="46"/>
      <c r="Z3" s="46"/>
      <c r="AA3" s="46"/>
      <c r="AB3" s="46"/>
      <c r="AC3" s="46"/>
      <c r="AD3" s="46"/>
      <c r="AE3" s="46"/>
      <c r="AF3" s="46"/>
      <c r="AG3" s="46"/>
      <c r="AH3" s="46"/>
      <c r="AI3" s="46"/>
      <c r="AJ3" s="46"/>
      <c r="AK3" s="46"/>
      <c r="AL3" s="46"/>
      <c r="AM3" s="46"/>
      <c r="AN3" s="46"/>
      <c r="AO3" s="46"/>
      <c r="AP3" s="46"/>
      <c r="AQ3" s="46"/>
      <c r="AR3" s="46"/>
      <c r="AS3" s="46"/>
      <c r="AT3" s="46"/>
      <c r="AU3" s="46"/>
      <c r="AV3" s="46"/>
      <c r="AW3" s="46"/>
      <c r="AX3" s="46"/>
      <c r="AY3" s="46"/>
      <c r="AZ3" s="46"/>
      <c r="BA3" s="46"/>
      <c r="BB3" s="46"/>
      <c r="BC3" s="46"/>
      <c r="BD3" s="46"/>
      <c r="BE3" s="46"/>
      <c r="BF3" s="46"/>
      <c r="BG3" s="46"/>
      <c r="BH3" s="46"/>
      <c r="BI3" s="46"/>
      <c r="BJ3" s="46"/>
      <c r="BK3" s="46"/>
      <c r="BL3" s="46"/>
      <c r="BM3" s="46"/>
      <c r="BN3" s="46"/>
      <c r="BO3" s="46"/>
      <c r="BP3" s="46"/>
      <c r="BQ3" s="46"/>
      <c r="BR3" s="46"/>
      <c r="BS3" s="46"/>
      <c r="BT3" s="46"/>
      <c r="BU3" s="46"/>
      <c r="BV3" s="46"/>
      <c r="BW3" s="46"/>
      <c r="BX3" s="46"/>
      <c r="BY3" s="46"/>
      <c r="BZ3" s="46"/>
      <c r="CA3" s="46"/>
      <c r="CB3" s="46"/>
      <c r="CC3" s="46"/>
      <c r="CD3" s="46"/>
      <c r="CE3" s="46"/>
      <c r="CF3" s="46"/>
      <c r="CG3" s="46"/>
      <c r="CH3" s="46"/>
      <c r="CI3" s="46"/>
      <c r="CJ3" s="46"/>
      <c r="CK3" s="46"/>
      <c r="CL3" s="46"/>
      <c r="CM3" s="46"/>
      <c r="CN3" s="46"/>
      <c r="CO3" s="46"/>
      <c r="CP3" s="46"/>
      <c r="CQ3" s="46"/>
      <c r="CR3" s="46"/>
      <c r="CS3" s="46"/>
      <c r="CT3" s="46"/>
      <c r="CU3" s="46"/>
      <c r="CV3" s="46"/>
      <c r="CW3" s="46"/>
      <c r="CX3" s="46"/>
      <c r="CY3" s="46"/>
      <c r="CZ3" s="46"/>
      <c r="DA3" s="46"/>
      <c r="DB3" s="46"/>
      <c r="DC3" s="46"/>
      <c r="DD3" s="46"/>
      <c r="DE3" s="46"/>
      <c r="DF3" s="46"/>
      <c r="DG3" s="46"/>
      <c r="DH3" s="46"/>
      <c r="DI3" s="46"/>
      <c r="DJ3" s="46"/>
      <c r="DK3" s="46"/>
      <c r="DL3" s="46"/>
      <c r="DM3" s="46"/>
      <c r="DN3" s="46"/>
      <c r="DO3" s="46"/>
      <c r="DP3" s="46"/>
      <c r="DQ3" s="46"/>
      <c r="DR3" s="46"/>
      <c r="DS3" s="46"/>
      <c r="DT3" s="46"/>
      <c r="DU3" s="46"/>
      <c r="DV3" s="46"/>
      <c r="DW3" s="46"/>
      <c r="DX3" s="46"/>
      <c r="DY3" s="46"/>
      <c r="DZ3" s="46"/>
      <c r="EA3" s="46"/>
      <c r="EB3" s="46"/>
      <c r="EC3" s="46"/>
      <c r="ED3" s="46"/>
      <c r="EE3" s="46"/>
      <c r="EF3" s="46"/>
      <c r="EG3" s="27" t="str">
        <f>IF(OR($EG$1="",$EG$2=""),"",_xlfn.LET(_xlpm.n,IFERROR(_xlfn.MINIFS(tblProjectSteps[Step '#],tblProjectSteps[Project ID],$EG$1,tblProjectSteps[Step '#],"&gt;"&amp;$EG$2,tblProjectSteps[Status],"&lt;&gt;Completed",tblProjectSteps[Status],"&lt;&gt;Cancelled"),0),IF(_xlpm.n=0,"",_xlpm.n)))</f>
        <v/>
      </c>
      <c r="EH3" s="46"/>
      <c r="EI3" s="46"/>
      <c r="EJ3" s="46" t="s">
        <v>105</v>
      </c>
      <c r="EK3" s="46" t="s">
        <v>154</v>
      </c>
      <c r="EL3" s="46" t="s">
        <v>154</v>
      </c>
      <c r="EM3" s="46" t="str" cm="1">
        <f t="array" ref="EM3">IF($EG$4="","",IFERROR(_xlfn.XLOOKUP(1,(tblProjectSteps[Project ID]=$EG$1)*(tblProjectSteps[Step '#]=$EG$4),tblProjectSteps[Step / Action],""),""))</f>
        <v/>
      </c>
      <c r="EN3" s="61" t="s">
        <v>167</v>
      </c>
    </row>
    <row r="4" spans="1:144" ht="18" customHeight="1">
      <c r="A4" s="59" t="str" cm="1">
        <f t="array" ref="A4">_xlfn.LET(_xlpm.v,IFERROR(INDEX($A$61:$A$70,ROWS($A$4:$A4)),""),IF(_xlpm.v=0,"",_xlpm.v))</f>
        <v/>
      </c>
      <c r="B4" s="259" t="str">
        <f>IF($A4="","",IFERROR(INDEX($B$61:$B$70,ROWS($A$4:$A4)),""))</f>
        <v/>
      </c>
      <c r="C4" s="260"/>
      <c r="D4" s="59" t="str">
        <f>IF($A4="","",IFERROR(INDEX($C$61:$C$70,ROWS($A$4:$A4)),""))</f>
        <v/>
      </c>
      <c r="E4" s="59" t="str">
        <f>IF($A4="","",IFERROR(INDEX($D$61:$D$70,ROWS($A$4:$A4)),""))</f>
        <v/>
      </c>
      <c r="F4" s="69" t="str">
        <f>IF($A4="","",IFERROR(INDEX($E$61:$E$70,ROWS($A$4:$A4)),""))</f>
        <v/>
      </c>
      <c r="G4" s="69" t="str">
        <f>IF($A4="","",IFERROR(INDEX($F$61:$F$70,ROWS($A$4:$A4)),""))</f>
        <v/>
      </c>
      <c r="H4" s="70" t="str">
        <f t="shared" ref="H4:H13" si="0">IF($A4="","",IFERROR(AVERAGEIFS($G$75:$G$159,$A$75:$A$159,$A4,$F$75:$F$159,"&lt;&gt;Cancelled"),0))</f>
        <v/>
      </c>
      <c r="I4" s="261" t="str" cm="1">
        <f t="array" ref="I4">IF($A4="","",_xlfn.LET(_xlpm.pid,$A4,_xlpm.nIP,COUNTIFS($A$75:$A$159,_xlpm.pid,$F$75:$F$159,"In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IF(_xlpm.s="","",IFERROR(_xlfn.XLOOKUP(1,($A$75:$A$159=_xlpm.pid)*($C$75:$C$159=_xlpm.s),$E$75:$E$159,""),""))))</f>
        <v/>
      </c>
      <c r="J4" s="262"/>
      <c r="K4" s="259" t="str" cm="1">
        <f t="array" ref="K4">IF($A4="","",_xlfn.LET(_xlpm.pid,$A4,_xlpm.nIP,COUNTIFS($A$75:$A$159,_xlpm.pid,$F$75:$F$159,"In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_xlpm.nx,IF(_xlpm.s="",0,IFERROR(_xlfn.MINIFS($C$75:$C$159,$A$75:$A$159,_xlpm.pid,$C$75:$C$159,"&gt;"&amp;_xlpm.s,$F$75:$F$159,"&lt;&gt;Completed",$F$75:$F$159,"&lt;&gt;Cancelled"),0)),IF(_xlpm.nx=0,"",IFERROR(_xlfn.XLOOKUP(1,($A$75:$A$159=_xlpm.pid)*($C$75:$C$159=_xlpm.nx),$E$75:$E$159,""),""))))</f>
        <v/>
      </c>
      <c r="L4" s="260"/>
      <c r="M4" s="59" t="str">
        <f t="shared" ref="M4:M13" ca="1" si="1">IF($A4="","",IF($E4="Completed","Completed",IF($G4="","",$G4-TODAY())))</f>
        <v/>
      </c>
      <c r="N4" s="71" t="str">
        <f t="shared" ref="N4:N13" ca="1" si="2">IF($A4="","",IF($E4="Completed","✅ Completed",IF(AND($G4&lt;&gt;"",$G4&lt;TODAY(),$H4&lt;1),"🔴 Overdue",IF(OR($E4="Blocked",COUNTIFS($A$75:$A$159,$A4,$F$75:$F$159,"Blocked")&gt;0),"🔴 Blocked",_xlfn.LET(_xlpm.tp,IF(OR($F4="",$G4=""),"",MAX(0,MIN(1,IF($G4&lt;=$F4,IF(TODAY()&gt;=$G4,1,0),(TODAY()-$F4)/($G4-$F4))))),IF(OR($H4="",_xlpm.tp=""),"",IF($H4-_xlpm.tp&lt;=-15%,"🔴 Behind",IF($H4-_xlpm.tp&lt;=-5%,"🟡 Attention","🟢 On Track"))))))))</f>
        <v/>
      </c>
      <c r="O4" s="284"/>
      <c r="P4" s="285"/>
      <c r="Q4" s="285"/>
      <c r="R4" s="285"/>
      <c r="S4" s="285"/>
      <c r="T4" s="285"/>
      <c r="U4" s="285"/>
      <c r="V4" s="285"/>
      <c r="W4" s="46"/>
      <c r="X4" s="46"/>
      <c r="Y4" s="46"/>
      <c r="Z4" s="46"/>
      <c r="AA4" s="46"/>
      <c r="AB4" s="46"/>
      <c r="AC4" s="46"/>
      <c r="AD4" s="46"/>
      <c r="AE4" s="46"/>
      <c r="AF4" s="46"/>
      <c r="AG4" s="46"/>
      <c r="AH4" s="46"/>
      <c r="AI4" s="46"/>
      <c r="AJ4" s="46"/>
      <c r="AK4" s="46"/>
      <c r="AL4" s="46"/>
      <c r="AM4" s="46"/>
      <c r="AN4" s="46"/>
      <c r="AO4" s="46"/>
      <c r="AP4" s="46"/>
      <c r="AQ4" s="46"/>
      <c r="AR4" s="46"/>
      <c r="AS4" s="46"/>
      <c r="AT4" s="46"/>
      <c r="AU4" s="46"/>
      <c r="AV4" s="46"/>
      <c r="AW4" s="46"/>
      <c r="AX4" s="46"/>
      <c r="AY4" s="46"/>
      <c r="AZ4" s="46"/>
      <c r="BA4" s="46"/>
      <c r="BB4" s="46"/>
      <c r="BC4" s="46"/>
      <c r="BD4" s="46"/>
      <c r="BE4" s="46"/>
      <c r="BF4" s="46"/>
      <c r="BG4" s="46"/>
      <c r="BH4" s="46"/>
      <c r="BI4" s="46"/>
      <c r="BJ4" s="46"/>
      <c r="BK4" s="46"/>
      <c r="BL4" s="46"/>
      <c r="BM4" s="46"/>
      <c r="BN4" s="46"/>
      <c r="BO4" s="46"/>
      <c r="BP4" s="46"/>
      <c r="BQ4" s="46"/>
      <c r="BR4" s="46"/>
      <c r="BS4" s="46"/>
      <c r="BT4" s="46"/>
      <c r="BU4" s="46"/>
      <c r="BV4" s="46"/>
      <c r="BW4" s="46"/>
      <c r="BX4" s="46"/>
      <c r="BY4" s="46"/>
      <c r="BZ4" s="46"/>
      <c r="CA4" s="46"/>
      <c r="CB4" s="46"/>
      <c r="CC4" s="46"/>
      <c r="CD4" s="46"/>
      <c r="CE4" s="46"/>
      <c r="CF4" s="46"/>
      <c r="CG4" s="46"/>
      <c r="CH4" s="46"/>
      <c r="CI4" s="46"/>
      <c r="CJ4" s="46"/>
      <c r="CK4" s="46"/>
      <c r="CL4" s="46"/>
      <c r="CM4" s="46"/>
      <c r="CN4" s="46"/>
      <c r="CO4" s="46"/>
      <c r="CP4" s="46"/>
      <c r="CQ4" s="46"/>
      <c r="CR4" s="46"/>
      <c r="CS4" s="46"/>
      <c r="CT4" s="46"/>
      <c r="CU4" s="46"/>
      <c r="CV4" s="46"/>
      <c r="CW4" s="46"/>
      <c r="CX4" s="46"/>
      <c r="CY4" s="46"/>
      <c r="CZ4" s="46"/>
      <c r="DA4" s="46"/>
      <c r="DB4" s="46"/>
      <c r="DC4" s="46"/>
      <c r="DD4" s="46"/>
      <c r="DE4" s="46"/>
      <c r="DF4" s="46"/>
      <c r="DG4" s="46"/>
      <c r="DH4" s="46"/>
      <c r="DI4" s="46"/>
      <c r="DJ4" s="46"/>
      <c r="DK4" s="46"/>
      <c r="DL4" s="46"/>
      <c r="DM4" s="46"/>
      <c r="DN4" s="46"/>
      <c r="DO4" s="46"/>
      <c r="DP4" s="46"/>
      <c r="DQ4" s="46"/>
      <c r="DR4" s="46"/>
      <c r="DS4" s="46"/>
      <c r="DT4" s="46"/>
      <c r="DU4" s="46"/>
      <c r="DV4" s="46"/>
      <c r="DW4" s="46"/>
      <c r="DX4" s="46"/>
      <c r="DY4" s="46"/>
      <c r="DZ4" s="46"/>
      <c r="EA4" s="46"/>
      <c r="EB4" s="46"/>
      <c r="EC4" s="46"/>
      <c r="ED4" s="46"/>
      <c r="EE4" s="46"/>
      <c r="EF4" s="46"/>
      <c r="EG4" s="27" t="str">
        <f>IF(OR($EG$1="",$EG$3=""),"",_xlfn.LET(_xlpm.n,IFERROR(_xlfn.MINIFS(tblProjectSteps[Step '#],tblProjectSteps[Project ID],$EG$1,tblProjectSteps[Step '#],"&gt;"&amp;$EG$3,tblProjectSteps[Status],"&lt;&gt;Completed",tblProjectSteps[Status],"&lt;&gt;Cancelled"),0),IF(_xlpm.n=0,"",_xlpm.n)))</f>
        <v/>
      </c>
      <c r="EH4" s="46"/>
      <c r="EI4" s="46"/>
      <c r="EJ4" s="46"/>
      <c r="EK4" s="46" t="s">
        <v>155</v>
      </c>
      <c r="EL4" s="46" t="s">
        <v>155</v>
      </c>
      <c r="EM4" s="46" t="str" cm="1">
        <f t="array" ref="EM4">IF($EG$5="","",IFERROR(_xlfn.XLOOKUP(1,(tblProjectSteps[Project ID]=$EG$1)*(tblProjectSteps[Step '#]=$EG$5),tblProjectSteps[Step / Action],""),""))</f>
        <v/>
      </c>
      <c r="EN4" s="61" t="s">
        <v>168</v>
      </c>
    </row>
    <row r="5" spans="1:144" ht="18" customHeight="1">
      <c r="A5" s="59" t="str" cm="1">
        <f t="array" ref="A5">_xlfn.LET(_xlpm.v,IFERROR(INDEX($A$61:$A$70,ROWS($A$4:$A5)),""),IF(_xlpm.v=0,"",_xlpm.v))</f>
        <v/>
      </c>
      <c r="B5" s="259" t="str">
        <f>IF($A5="","",IFERROR(INDEX($B$61:$B$70,ROWS($A$4:$A5)),""))</f>
        <v/>
      </c>
      <c r="C5" s="260"/>
      <c r="D5" s="59" t="str">
        <f>IF($A5="","",IFERROR(INDEX($C$61:$C$70,ROWS($A$4:$A5)),""))</f>
        <v/>
      </c>
      <c r="E5" s="59" t="str">
        <f>IF($A5="","",IFERROR(INDEX($D$61:$D$70,ROWS($A$4:$A5)),""))</f>
        <v/>
      </c>
      <c r="F5" s="69" t="str">
        <f>IF($A5="","",IFERROR(INDEX($E$61:$E$70,ROWS($A$4:$A5)),""))</f>
        <v/>
      </c>
      <c r="G5" s="69" t="str">
        <f>IF($A5="","",IFERROR(INDEX($F$61:$F$70,ROWS($A$4:$A5)),""))</f>
        <v/>
      </c>
      <c r="H5" s="70" t="str">
        <f t="shared" si="0"/>
        <v/>
      </c>
      <c r="I5" s="261" t="str" cm="1">
        <f t="array" ref="I5">IF($A5="","",_xlfn.LET(_xlpm.pid,$A5,_xlpm.nIP,COUNTIFS($A$75:$A$159,_xlpm.pid,$F$75:$F$159,"In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IF(_xlpm.s="","",IFERROR(_xlfn.XLOOKUP(1,($A$75:$A$159=_xlpm.pid)*($C$75:$C$159=_xlpm.s),$E$75:$E$159,""),""))))</f>
        <v/>
      </c>
      <c r="J5" s="262"/>
      <c r="K5" s="259" t="str" cm="1">
        <f t="array" ref="K5">IF($A5="","",_xlfn.LET(_xlpm.pid,$A5,_xlpm.nIP,COUNTIFS($A$75:$A$159,_xlpm.pid,$F$75:$F$159,"In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_xlpm.nx,IF(_xlpm.s="",0,IFERROR(_xlfn.MINIFS($C$75:$C$159,$A$75:$A$159,_xlpm.pid,$C$75:$C$159,"&gt;"&amp;_xlpm.s,$F$75:$F$159,"&lt;&gt;Completed",$F$75:$F$159,"&lt;&gt;Cancelled"),0)),IF(_xlpm.nx=0,"",IFERROR(_xlfn.XLOOKUP(1,($A$75:$A$159=_xlpm.pid)*($C$75:$C$159=_xlpm.nx),$E$75:$E$159,""),""))))</f>
        <v/>
      </c>
      <c r="L5" s="260"/>
      <c r="M5" s="59" t="str">
        <f t="shared" ca="1" si="1"/>
        <v/>
      </c>
      <c r="N5" s="71" t="str">
        <f t="shared" ca="1" si="2"/>
        <v/>
      </c>
      <c r="O5" s="284">
        <v>2</v>
      </c>
      <c r="P5" s="286" t="s">
        <v>162</v>
      </c>
      <c r="Q5" s="286"/>
      <c r="R5" s="286"/>
      <c r="S5" s="286"/>
      <c r="T5" s="286"/>
      <c r="U5" s="286"/>
      <c r="V5" s="286"/>
      <c r="W5" s="46"/>
      <c r="X5" s="46"/>
      <c r="Y5" s="46"/>
      <c r="Z5" s="46"/>
      <c r="AA5" s="46"/>
      <c r="AB5" s="46"/>
      <c r="AC5" s="46"/>
      <c r="AD5" s="46"/>
      <c r="AE5" s="46"/>
      <c r="AF5" s="46"/>
      <c r="AG5" s="46"/>
      <c r="AH5" s="46"/>
      <c r="AI5" s="46"/>
      <c r="AJ5" s="46"/>
      <c r="AK5" s="46"/>
      <c r="AL5" s="46"/>
      <c r="AM5" s="46"/>
      <c r="AN5" s="46"/>
      <c r="AO5" s="46"/>
      <c r="AP5" s="46"/>
      <c r="AQ5" s="46"/>
      <c r="AR5" s="46"/>
      <c r="AS5" s="46"/>
      <c r="AT5" s="46"/>
      <c r="AU5" s="46"/>
      <c r="AV5" s="46"/>
      <c r="AW5" s="46"/>
      <c r="AX5" s="46"/>
      <c r="AY5" s="46"/>
      <c r="AZ5" s="46"/>
      <c r="BA5" s="46"/>
      <c r="BB5" s="46"/>
      <c r="BC5" s="46"/>
      <c r="BD5" s="46"/>
      <c r="BE5" s="46"/>
      <c r="BF5" s="46"/>
      <c r="BG5" s="46"/>
      <c r="BH5" s="46"/>
      <c r="BI5" s="46"/>
      <c r="BJ5" s="46"/>
      <c r="BK5" s="46"/>
      <c r="BL5" s="46"/>
      <c r="BM5" s="46"/>
      <c r="BN5" s="46"/>
      <c r="BO5" s="46"/>
      <c r="BP5" s="46"/>
      <c r="BQ5" s="46"/>
      <c r="BR5" s="46"/>
      <c r="BS5" s="46"/>
      <c r="BT5" s="46"/>
      <c r="BU5" s="46"/>
      <c r="BV5" s="46"/>
      <c r="BW5" s="46"/>
      <c r="BX5" s="46"/>
      <c r="BY5" s="46"/>
      <c r="BZ5" s="46"/>
      <c r="CA5" s="46"/>
      <c r="CB5" s="46"/>
      <c r="CC5" s="46"/>
      <c r="CD5" s="46"/>
      <c r="CE5" s="46"/>
      <c r="CF5" s="46"/>
      <c r="CG5" s="46"/>
      <c r="CH5" s="46"/>
      <c r="CI5" s="46"/>
      <c r="CJ5" s="46"/>
      <c r="CK5" s="46"/>
      <c r="CL5" s="46"/>
      <c r="CM5" s="46"/>
      <c r="CN5" s="46"/>
      <c r="CO5" s="46"/>
      <c r="CP5" s="46"/>
      <c r="CQ5" s="46"/>
      <c r="CR5" s="46"/>
      <c r="CS5" s="46"/>
      <c r="CT5" s="46"/>
      <c r="CU5" s="46"/>
      <c r="CV5" s="46"/>
      <c r="CW5" s="46"/>
      <c r="CX5" s="46"/>
      <c r="CY5" s="46"/>
      <c r="CZ5" s="46"/>
      <c r="DA5" s="46"/>
      <c r="DB5" s="46"/>
      <c r="DC5" s="46"/>
      <c r="DD5" s="46"/>
      <c r="DE5" s="46"/>
      <c r="DF5" s="46"/>
      <c r="DG5" s="46"/>
      <c r="DH5" s="46"/>
      <c r="DI5" s="46"/>
      <c r="DJ5" s="46"/>
      <c r="DK5" s="46"/>
      <c r="DL5" s="46"/>
      <c r="DM5" s="46"/>
      <c r="DN5" s="46"/>
      <c r="DO5" s="46"/>
      <c r="DP5" s="46"/>
      <c r="DQ5" s="46"/>
      <c r="DR5" s="46"/>
      <c r="DS5" s="46"/>
      <c r="DT5" s="46"/>
      <c r="DU5" s="46"/>
      <c r="DV5" s="46"/>
      <c r="DW5" s="46"/>
      <c r="DX5" s="46"/>
      <c r="DY5" s="46"/>
      <c r="DZ5" s="46"/>
      <c r="EA5" s="46"/>
      <c r="EB5" s="46"/>
      <c r="EC5" s="46"/>
      <c r="ED5" s="46"/>
      <c r="EE5" s="46"/>
      <c r="EF5" s="46"/>
      <c r="EG5" s="27" t="str">
        <f>IF(OR($EG$1="",$EG$4=""),"",_xlfn.LET(_xlpm.n,IFERROR(_xlfn.MINIFS(tblProjectSteps[Step '#],tblProjectSteps[Project ID],$EG$1,tblProjectSteps[Step '#],"&gt;"&amp;$EG$4,tblProjectSteps[Status],"&lt;&gt;Completed",tblProjectSteps[Status],"&lt;&gt;Cancelled"),0),IF(_xlpm.n=0,"",_xlpm.n)))</f>
        <v/>
      </c>
      <c r="EH5" s="46"/>
      <c r="EI5" s="46"/>
      <c r="EJ5" s="46"/>
      <c r="EK5" s="46" t="s">
        <v>156</v>
      </c>
      <c r="EL5" s="46" t="s">
        <v>67</v>
      </c>
      <c r="EM5" s="46"/>
      <c r="EN5" s="61" t="s">
        <v>169</v>
      </c>
    </row>
    <row r="6" spans="1:144" ht="18" customHeight="1">
      <c r="A6" s="59" t="str" cm="1">
        <f t="array" ref="A6">_xlfn.LET(_xlpm.v,IFERROR(INDEX($A$61:$A$70,ROWS($A$4:$A6)),""),IF(_xlpm.v=0,"",_xlpm.v))</f>
        <v/>
      </c>
      <c r="B6" s="259" t="str">
        <f>IF($A6="","",IFERROR(INDEX($B$61:$B$70,ROWS($A$4:$A6)),""))</f>
        <v/>
      </c>
      <c r="C6" s="260"/>
      <c r="D6" s="59" t="str">
        <f>IF($A6="","",IFERROR(INDEX($C$61:$C$70,ROWS($A$4:$A6)),""))</f>
        <v/>
      </c>
      <c r="E6" s="59" t="str">
        <f>IF($A6="","",IFERROR(INDEX($D$61:$D$70,ROWS($A$4:$A6)),""))</f>
        <v/>
      </c>
      <c r="F6" s="69" t="str">
        <f>IF($A6="","",IFERROR(INDEX($E$61:$E$70,ROWS($A$4:$A6)),""))</f>
        <v/>
      </c>
      <c r="G6" s="69" t="str">
        <f>IF($A6="","",IFERROR(INDEX($F$61:$F$70,ROWS($A$4:$A6)),""))</f>
        <v/>
      </c>
      <c r="H6" s="70" t="str">
        <f t="shared" si="0"/>
        <v/>
      </c>
      <c r="I6" s="261" t="str" cm="1">
        <f t="array" ref="I6">IF($A6="","",_xlfn.LET(_xlpm.pid,$A6,_xlpm.nIP,COUNTIFS($A$75:$A$159,_xlpm.pid,$F$75:$F$159,"In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IF(_xlpm.s="","",IFERROR(_xlfn.XLOOKUP(1,($A$75:$A$159=_xlpm.pid)*($C$75:$C$159=_xlpm.s),$E$75:$E$159,""),""))))</f>
        <v/>
      </c>
      <c r="J6" s="262"/>
      <c r="K6" s="259" t="str" cm="1">
        <f t="array" ref="K6">IF($A6="","",_xlfn.LET(_xlpm.pid,$A6,_xlpm.nIP,COUNTIFS($A$75:$A$159,_xlpm.pid,$F$75:$F$159,"In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_xlpm.nx,IF(_xlpm.s="",0,IFERROR(_xlfn.MINIFS($C$75:$C$159,$A$75:$A$159,_xlpm.pid,$C$75:$C$159,"&gt;"&amp;_xlpm.s,$F$75:$F$159,"&lt;&gt;Completed",$F$75:$F$159,"&lt;&gt;Cancelled"),0)),IF(_xlpm.nx=0,"",IFERROR(_xlfn.XLOOKUP(1,($A$75:$A$159=_xlpm.pid)*($C$75:$C$159=_xlpm.nx),$E$75:$E$159,""),""))))</f>
        <v/>
      </c>
      <c r="L6" s="260"/>
      <c r="M6" s="59" t="str">
        <f t="shared" ca="1" si="1"/>
        <v/>
      </c>
      <c r="N6" s="71" t="str">
        <f t="shared" ca="1" si="2"/>
        <v/>
      </c>
      <c r="O6" s="284"/>
      <c r="P6" s="286"/>
      <c r="Q6" s="286"/>
      <c r="R6" s="286"/>
      <c r="S6" s="286"/>
      <c r="T6" s="286"/>
      <c r="U6" s="286"/>
      <c r="V6" s="286"/>
      <c r="W6" s="46"/>
      <c r="X6" s="46"/>
      <c r="Y6" s="46"/>
      <c r="Z6" s="46"/>
      <c r="AA6" s="46"/>
      <c r="AB6" s="46"/>
      <c r="AC6" s="46"/>
      <c r="AD6" s="46"/>
      <c r="AE6" s="46"/>
      <c r="AF6" s="46"/>
      <c r="AG6" s="46"/>
      <c r="AH6" s="46"/>
      <c r="AI6" s="46"/>
      <c r="AJ6" s="46"/>
      <c r="AK6" s="46"/>
      <c r="AL6" s="46"/>
      <c r="AM6" s="46"/>
      <c r="AN6" s="46"/>
      <c r="AO6" s="46"/>
      <c r="AP6" s="46"/>
      <c r="AQ6" s="46"/>
      <c r="AR6" s="46"/>
      <c r="AS6" s="46"/>
      <c r="AT6" s="46"/>
      <c r="AU6" s="46"/>
      <c r="AV6" s="46"/>
      <c r="AW6" s="46"/>
      <c r="AX6" s="46"/>
      <c r="AY6" s="46"/>
      <c r="AZ6" s="46"/>
      <c r="BA6" s="46"/>
      <c r="BB6" s="46"/>
      <c r="BC6" s="46"/>
      <c r="BD6" s="46"/>
      <c r="BE6" s="46"/>
      <c r="BF6" s="46"/>
      <c r="BG6" s="46"/>
      <c r="BH6" s="46"/>
      <c r="BI6" s="46"/>
      <c r="BJ6" s="46"/>
      <c r="BK6" s="46"/>
      <c r="BL6" s="46"/>
      <c r="BM6" s="46"/>
      <c r="BN6" s="46"/>
      <c r="BO6" s="46"/>
      <c r="BP6" s="46"/>
      <c r="BQ6" s="46"/>
      <c r="BR6" s="46"/>
      <c r="BS6" s="46"/>
      <c r="BT6" s="46"/>
      <c r="BU6" s="46"/>
      <c r="BV6" s="46"/>
      <c r="BW6" s="46"/>
      <c r="BX6" s="46"/>
      <c r="BY6" s="46"/>
      <c r="BZ6" s="46"/>
      <c r="CA6" s="46"/>
      <c r="CB6" s="46"/>
      <c r="CC6" s="46"/>
      <c r="CD6" s="46"/>
      <c r="CE6" s="46"/>
      <c r="CF6" s="46"/>
      <c r="CG6" s="46"/>
      <c r="CH6" s="46"/>
      <c r="CI6" s="46"/>
      <c r="CJ6" s="46"/>
      <c r="CK6" s="46"/>
      <c r="CL6" s="46"/>
      <c r="CM6" s="46"/>
      <c r="CN6" s="46"/>
      <c r="CO6" s="46"/>
      <c r="CP6" s="46"/>
      <c r="CQ6" s="46"/>
      <c r="CR6" s="46"/>
      <c r="CS6" s="46"/>
      <c r="CT6" s="46"/>
      <c r="CU6" s="46"/>
      <c r="CV6" s="46"/>
      <c r="CW6" s="46"/>
      <c r="CX6" s="46"/>
      <c r="CY6" s="46"/>
      <c r="CZ6" s="46"/>
      <c r="DA6" s="46"/>
      <c r="DB6" s="46"/>
      <c r="DC6" s="46"/>
      <c r="DD6" s="46"/>
      <c r="DE6" s="46"/>
      <c r="DF6" s="46"/>
      <c r="DG6" s="46"/>
      <c r="DH6" s="46"/>
      <c r="DI6" s="46"/>
      <c r="DJ6" s="46"/>
      <c r="DK6" s="46"/>
      <c r="DL6" s="46"/>
      <c r="DM6" s="46"/>
      <c r="DN6" s="46"/>
      <c r="DO6" s="46"/>
      <c r="DP6" s="46"/>
      <c r="DQ6" s="46"/>
      <c r="DR6" s="46"/>
      <c r="DS6" s="46"/>
      <c r="DT6" s="46"/>
      <c r="DU6" s="46"/>
      <c r="DV6" s="46"/>
      <c r="DW6" s="46"/>
      <c r="DX6" s="46"/>
      <c r="DY6" s="46"/>
      <c r="DZ6" s="46"/>
      <c r="EA6" s="46"/>
      <c r="EB6" s="46"/>
      <c r="EC6" s="46"/>
      <c r="ED6" s="46"/>
      <c r="EE6" s="46"/>
      <c r="EF6" s="46"/>
      <c r="EG6" s="46"/>
      <c r="EH6" s="46"/>
      <c r="EI6" s="46"/>
      <c r="EJ6" s="46"/>
      <c r="EK6" s="46" t="s">
        <v>67</v>
      </c>
      <c r="EL6" s="46" t="s">
        <v>42</v>
      </c>
      <c r="EM6" s="46"/>
    </row>
    <row r="7" spans="1:144" ht="18" customHeight="1">
      <c r="A7" s="59" t="str" cm="1">
        <f t="array" ref="A7">_xlfn.LET(_xlpm.v,IFERROR(INDEX($A$61:$A$70,ROWS($A$4:$A7)),""),IF(_xlpm.v=0,"",_xlpm.v))</f>
        <v/>
      </c>
      <c r="B7" s="259" t="str">
        <f>IF($A7="","",IFERROR(INDEX($B$61:$B$70,ROWS($A$4:$A7)),""))</f>
        <v/>
      </c>
      <c r="C7" s="260"/>
      <c r="D7" s="59" t="str">
        <f>IF($A7="","",IFERROR(INDEX($C$61:$C$70,ROWS($A$4:$A7)),""))</f>
        <v/>
      </c>
      <c r="E7" s="59" t="str">
        <f>IF($A7="","",IFERROR(INDEX($D$61:$D$70,ROWS($A$4:$A7)),""))</f>
        <v/>
      </c>
      <c r="F7" s="69" t="str">
        <f>IF($A7="","",IFERROR(INDEX($E$61:$E$70,ROWS($A$4:$A7)),""))</f>
        <v/>
      </c>
      <c r="G7" s="69" t="str">
        <f>IF($A7="","",IFERROR(INDEX($F$61:$F$70,ROWS($A$4:$A7)),""))</f>
        <v/>
      </c>
      <c r="H7" s="70" t="str">
        <f t="shared" si="0"/>
        <v/>
      </c>
      <c r="I7" s="261" t="str" cm="1">
        <f t="array" ref="I7">IF($A7="","",_xlfn.LET(_xlpm.pid,$A7,_xlpm.nIP,COUNTIFS($A$75:$A$159,_xlpm.pid,$F$75:$F$159,"In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IF(_xlpm.s="","",IFERROR(_xlfn.XLOOKUP(1,($A$75:$A$159=_xlpm.pid)*($C$75:$C$159=_xlpm.s),$E$75:$E$159,""),""))))</f>
        <v/>
      </c>
      <c r="J7" s="262"/>
      <c r="K7" s="259" t="str" cm="1">
        <f t="array" ref="K7">IF($A7="","",_xlfn.LET(_xlpm.pid,$A7,_xlpm.nIP,COUNTIFS($A$75:$A$159,_xlpm.pid,$F$75:$F$159,"In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_xlpm.nx,IF(_xlpm.s="",0,IFERROR(_xlfn.MINIFS($C$75:$C$159,$A$75:$A$159,_xlpm.pid,$C$75:$C$159,"&gt;"&amp;_xlpm.s,$F$75:$F$159,"&lt;&gt;Completed",$F$75:$F$159,"&lt;&gt;Cancelled"),0)),IF(_xlpm.nx=0,"",IFERROR(_xlfn.XLOOKUP(1,($A$75:$A$159=_xlpm.pid)*($C$75:$C$159=_xlpm.nx),$E$75:$E$159,""),""))))</f>
        <v/>
      </c>
      <c r="L7" s="260"/>
      <c r="M7" s="59" t="str">
        <f t="shared" ca="1" si="1"/>
        <v/>
      </c>
      <c r="N7" s="71" t="str">
        <f t="shared" ca="1" si="2"/>
        <v/>
      </c>
      <c r="O7" s="284">
        <v>3</v>
      </c>
      <c r="P7" s="285" t="s">
        <v>163</v>
      </c>
      <c r="Q7" s="285"/>
      <c r="R7" s="285"/>
      <c r="S7" s="285"/>
      <c r="T7" s="285"/>
      <c r="U7" s="285"/>
      <c r="V7" s="285"/>
      <c r="W7" s="46"/>
      <c r="X7" s="46"/>
      <c r="Y7" s="46"/>
      <c r="Z7" s="46"/>
      <c r="AA7" s="46"/>
      <c r="AB7" s="46"/>
      <c r="AC7" s="46"/>
      <c r="AD7" s="46"/>
      <c r="AE7" s="46"/>
      <c r="AF7" s="46"/>
      <c r="AG7" s="46"/>
      <c r="AH7" s="46"/>
      <c r="AI7" s="46"/>
      <c r="AJ7" s="46"/>
      <c r="AK7" s="46"/>
      <c r="AL7" s="46"/>
      <c r="AM7" s="46"/>
      <c r="AN7" s="46"/>
      <c r="AO7" s="46"/>
      <c r="AP7" s="46"/>
      <c r="AQ7" s="46"/>
      <c r="AR7" s="46"/>
      <c r="AS7" s="46"/>
      <c r="AT7" s="46"/>
      <c r="AU7" s="46"/>
      <c r="AV7" s="46"/>
      <c r="AW7" s="46"/>
      <c r="AX7" s="46"/>
      <c r="AY7" s="46"/>
      <c r="AZ7" s="46"/>
      <c r="BA7" s="46"/>
      <c r="BB7" s="46"/>
      <c r="BC7" s="46"/>
      <c r="BD7" s="46"/>
      <c r="BE7" s="46"/>
      <c r="BF7" s="46"/>
      <c r="BG7" s="46"/>
      <c r="BH7" s="46"/>
      <c r="BI7" s="46"/>
      <c r="BJ7" s="46"/>
      <c r="BK7" s="46"/>
      <c r="BL7" s="46"/>
      <c r="BM7" s="46"/>
      <c r="BN7" s="46"/>
      <c r="BO7" s="46"/>
      <c r="BP7" s="46"/>
      <c r="BQ7" s="46"/>
      <c r="BR7" s="46"/>
      <c r="BS7" s="46"/>
      <c r="BT7" s="46"/>
      <c r="BU7" s="46"/>
      <c r="BV7" s="46"/>
      <c r="BW7" s="46"/>
      <c r="BX7" s="46"/>
      <c r="BY7" s="46"/>
      <c r="BZ7" s="46"/>
      <c r="CA7" s="46"/>
      <c r="CB7" s="46"/>
      <c r="CC7" s="46"/>
      <c r="CD7" s="46"/>
      <c r="CE7" s="46"/>
      <c r="CF7" s="46"/>
      <c r="CG7" s="46"/>
      <c r="CH7" s="46"/>
      <c r="CI7" s="46"/>
      <c r="CJ7" s="46"/>
      <c r="CK7" s="46"/>
      <c r="CL7" s="46"/>
      <c r="CM7" s="46"/>
      <c r="CN7" s="46"/>
      <c r="CO7" s="46"/>
      <c r="CP7" s="46"/>
      <c r="CQ7" s="46"/>
      <c r="CR7" s="46"/>
      <c r="CS7" s="46"/>
      <c r="CT7" s="46"/>
      <c r="CU7" s="46"/>
      <c r="CV7" s="46"/>
      <c r="CW7" s="46"/>
      <c r="CX7" s="46"/>
      <c r="CY7" s="46"/>
      <c r="CZ7" s="46"/>
      <c r="DA7" s="46"/>
      <c r="DB7" s="46"/>
      <c r="DC7" s="46"/>
      <c r="DD7" s="46"/>
      <c r="DE7" s="46"/>
      <c r="DF7" s="46"/>
      <c r="DG7" s="46"/>
      <c r="DH7" s="46"/>
      <c r="DI7" s="46"/>
      <c r="DJ7" s="46"/>
      <c r="DK7" s="46"/>
      <c r="DL7" s="46"/>
      <c r="DM7" s="46"/>
      <c r="DN7" s="46"/>
      <c r="DO7" s="46"/>
      <c r="DP7" s="46"/>
      <c r="DQ7" s="46"/>
      <c r="DR7" s="46"/>
      <c r="DS7" s="46"/>
      <c r="DT7" s="46"/>
      <c r="DU7" s="46"/>
      <c r="DV7" s="46"/>
      <c r="DW7" s="46"/>
      <c r="DX7" s="46"/>
      <c r="DY7" s="46"/>
      <c r="DZ7" s="46"/>
      <c r="EA7" s="46"/>
      <c r="EB7" s="46"/>
      <c r="EC7" s="46"/>
      <c r="ED7" s="46"/>
      <c r="EE7" s="46"/>
      <c r="EF7" s="46"/>
      <c r="EG7" s="46"/>
      <c r="EH7" s="46"/>
      <c r="EI7" s="46"/>
      <c r="EJ7" s="46"/>
      <c r="EK7" s="46" t="s">
        <v>42</v>
      </c>
      <c r="EL7" s="46"/>
      <c r="EM7" s="46"/>
    </row>
    <row r="8" spans="1:144" ht="18" customHeight="1">
      <c r="A8" s="59" t="str" cm="1">
        <f t="array" ref="A8">_xlfn.LET(_xlpm.v,IFERROR(INDEX($A$61:$A$70,ROWS($A$4:$A8)),""),IF(_xlpm.v=0,"",_xlpm.v))</f>
        <v/>
      </c>
      <c r="B8" s="259" t="str">
        <f>IF($A8="","",IFERROR(INDEX($B$61:$B$70,ROWS($A$4:$A8)),""))</f>
        <v/>
      </c>
      <c r="C8" s="260"/>
      <c r="D8" s="59" t="str">
        <f>IF($A8="","",IFERROR(INDEX($C$61:$C$70,ROWS($A$4:$A8)),""))</f>
        <v/>
      </c>
      <c r="E8" s="59" t="str">
        <f>IF($A8="","",IFERROR(INDEX($D$61:$D$70,ROWS($A$4:$A8)),""))</f>
        <v/>
      </c>
      <c r="F8" s="69" t="str">
        <f>IF($A8="","",IFERROR(INDEX($E$61:$E$70,ROWS($A$4:$A8)),""))</f>
        <v/>
      </c>
      <c r="G8" s="69" t="str">
        <f>IF($A8="","",IFERROR(INDEX($F$61:$F$70,ROWS($A$4:$A8)),""))</f>
        <v/>
      </c>
      <c r="H8" s="70" t="str">
        <f t="shared" si="0"/>
        <v/>
      </c>
      <c r="I8" s="261" t="str" cm="1">
        <f t="array" ref="I8">IF($A8="","",_xlfn.LET(_xlpm.pid,$A8,_xlpm.nIP,COUNTIFS($A$75:$A$159,_xlpm.pid,$F$75:$F$159,"In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IF(_xlpm.s="","",IFERROR(_xlfn.XLOOKUP(1,($A$75:$A$159=_xlpm.pid)*($C$75:$C$159=_xlpm.s),$E$75:$E$159,""),""))))</f>
        <v/>
      </c>
      <c r="J8" s="262"/>
      <c r="K8" s="259" t="str" cm="1">
        <f t="array" ref="K8">IF($A8="","",_xlfn.LET(_xlpm.pid,$A8,_xlpm.nIP,COUNTIFS($A$75:$A$159,_xlpm.pid,$F$75:$F$159,"In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_xlpm.nx,IF(_xlpm.s="",0,IFERROR(_xlfn.MINIFS($C$75:$C$159,$A$75:$A$159,_xlpm.pid,$C$75:$C$159,"&gt;"&amp;_xlpm.s,$F$75:$F$159,"&lt;&gt;Completed",$F$75:$F$159,"&lt;&gt;Cancelled"),0)),IF(_xlpm.nx=0,"",IFERROR(_xlfn.XLOOKUP(1,($A$75:$A$159=_xlpm.pid)*($C$75:$C$159=_xlpm.nx),$E$75:$E$159,""),""))))</f>
        <v/>
      </c>
      <c r="L8" s="260"/>
      <c r="M8" s="59" t="str">
        <f t="shared" ca="1" si="1"/>
        <v/>
      </c>
      <c r="N8" s="71" t="str">
        <f t="shared" ca="1" si="2"/>
        <v/>
      </c>
      <c r="O8" s="284"/>
      <c r="P8" s="285"/>
      <c r="Q8" s="285"/>
      <c r="R8" s="285"/>
      <c r="S8" s="285"/>
      <c r="T8" s="285"/>
      <c r="U8" s="285"/>
      <c r="V8" s="285"/>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46"/>
      <c r="BL8" s="46"/>
      <c r="BM8" s="46"/>
      <c r="BN8" s="46"/>
      <c r="BO8" s="46"/>
      <c r="BP8" s="46"/>
      <c r="BQ8" s="46"/>
      <c r="BR8" s="46"/>
      <c r="BS8" s="46"/>
      <c r="BT8" s="46"/>
      <c r="BU8" s="46"/>
      <c r="BV8" s="46"/>
      <c r="BW8" s="46"/>
      <c r="BX8" s="46"/>
      <c r="BY8" s="46"/>
      <c r="BZ8" s="46"/>
      <c r="CA8" s="46"/>
      <c r="CB8" s="46"/>
      <c r="CC8" s="46"/>
      <c r="CD8" s="46"/>
      <c r="CE8" s="46"/>
      <c r="CF8" s="46"/>
      <c r="CG8" s="46"/>
      <c r="CH8" s="46"/>
      <c r="CI8" s="46"/>
      <c r="CJ8" s="46"/>
      <c r="CK8" s="46"/>
      <c r="CL8" s="46"/>
      <c r="CM8" s="46"/>
      <c r="CN8" s="46"/>
      <c r="CO8" s="46"/>
      <c r="CP8" s="46"/>
      <c r="CQ8" s="46"/>
      <c r="CR8" s="46"/>
      <c r="CS8" s="46"/>
      <c r="CT8" s="46"/>
      <c r="CU8" s="46"/>
      <c r="CV8" s="46"/>
      <c r="CW8" s="46"/>
      <c r="CX8" s="46"/>
      <c r="CY8" s="46"/>
      <c r="CZ8" s="46"/>
      <c r="DA8" s="46"/>
      <c r="DB8" s="46"/>
      <c r="DC8" s="46"/>
      <c r="DD8" s="46"/>
      <c r="DE8" s="46"/>
      <c r="DF8" s="46"/>
      <c r="DG8" s="46"/>
      <c r="DH8" s="46"/>
      <c r="DI8" s="46"/>
      <c r="DJ8" s="46"/>
      <c r="DK8" s="46"/>
      <c r="DL8" s="46"/>
      <c r="DM8" s="46"/>
      <c r="DN8" s="46"/>
      <c r="DO8" s="46"/>
      <c r="DP8" s="46"/>
      <c r="DQ8" s="46"/>
      <c r="DR8" s="46"/>
      <c r="DS8" s="46"/>
      <c r="DT8" s="46"/>
      <c r="DU8" s="46"/>
      <c r="DV8" s="46"/>
      <c r="DW8" s="46"/>
      <c r="DX8" s="46"/>
      <c r="DY8" s="46"/>
      <c r="DZ8" s="46"/>
      <c r="EA8" s="46"/>
      <c r="EB8" s="46"/>
      <c r="EC8" s="46"/>
      <c r="ED8" s="46"/>
      <c r="EE8" s="46"/>
      <c r="EF8" s="46"/>
      <c r="EG8" s="46"/>
      <c r="EH8" s="46"/>
      <c r="EI8" s="46"/>
      <c r="EJ8" s="46"/>
      <c r="EK8" s="46"/>
      <c r="EL8" s="46"/>
      <c r="EM8" s="46"/>
    </row>
    <row r="9" spans="1:144" ht="18" customHeight="1">
      <c r="A9" s="59" t="str" cm="1">
        <f t="array" ref="A9">_xlfn.LET(_xlpm.v,IFERROR(INDEX($A$61:$A$70,ROWS($A$4:$A9)),""),IF(_xlpm.v=0,"",_xlpm.v))</f>
        <v/>
      </c>
      <c r="B9" s="259" t="str">
        <f>IF($A9="","",IFERROR(INDEX($B$61:$B$70,ROWS($A$4:$A9)),""))</f>
        <v/>
      </c>
      <c r="C9" s="260"/>
      <c r="D9" s="59" t="str">
        <f>IF($A9="","",IFERROR(INDEX($C$61:$C$70,ROWS($A$4:$A9)),""))</f>
        <v/>
      </c>
      <c r="E9" s="59" t="str">
        <f>IF($A9="","",IFERROR(INDEX($D$61:$D$70,ROWS($A$4:$A9)),""))</f>
        <v/>
      </c>
      <c r="F9" s="69" t="str">
        <f>IF($A9="","",IFERROR(INDEX($E$61:$E$70,ROWS($A$4:$A9)),""))</f>
        <v/>
      </c>
      <c r="G9" s="69" t="str">
        <f>IF($A9="","",IFERROR(INDEX($F$61:$F$70,ROWS($A$4:$A9)),""))</f>
        <v/>
      </c>
      <c r="H9" s="70" t="str">
        <f t="shared" si="0"/>
        <v/>
      </c>
      <c r="I9" s="261" t="str" cm="1">
        <f t="array" ref="I9">IF($A9="","",_xlfn.LET(_xlpm.pid,$A9,_xlpm.nIP,COUNTIFS($A$75:$A$159,_xlpm.pid,$F$75:$F$159,"In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IF(_xlpm.s="","",IFERROR(_xlfn.XLOOKUP(1,($A$75:$A$159=_xlpm.pid)*($C$75:$C$159=_xlpm.s),$E$75:$E$159,""),""))))</f>
        <v/>
      </c>
      <c r="J9" s="262"/>
      <c r="K9" s="259" t="str" cm="1">
        <f t="array" ref="K9">IF($A9="","",_xlfn.LET(_xlpm.pid,$A9,_xlpm.nIP,COUNTIFS($A$75:$A$159,_xlpm.pid,$F$75:$F$159,"In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_xlpm.nx,IF(_xlpm.s="",0,IFERROR(_xlfn.MINIFS($C$75:$C$159,$A$75:$A$159,_xlpm.pid,$C$75:$C$159,"&gt;"&amp;_xlpm.s,$F$75:$F$159,"&lt;&gt;Completed",$F$75:$F$159,"&lt;&gt;Cancelled"),0)),IF(_xlpm.nx=0,"",IFERROR(_xlfn.XLOOKUP(1,($A$75:$A$159=_xlpm.pid)*($C$75:$C$159=_xlpm.nx),$E$75:$E$159,""),""))))</f>
        <v/>
      </c>
      <c r="L9" s="260"/>
      <c r="M9" s="59" t="str">
        <f t="shared" ca="1" si="1"/>
        <v/>
      </c>
      <c r="N9" s="71" t="str">
        <f t="shared" ca="1" si="2"/>
        <v/>
      </c>
      <c r="O9" s="284">
        <v>4</v>
      </c>
      <c r="P9" s="286" t="s">
        <v>164</v>
      </c>
      <c r="Q9" s="286"/>
      <c r="R9" s="286"/>
      <c r="S9" s="286"/>
      <c r="T9" s="286"/>
      <c r="U9" s="286"/>
      <c r="V9" s="286"/>
      <c r="W9" s="46"/>
      <c r="X9" s="46"/>
      <c r="Y9" s="46"/>
      <c r="Z9" s="46"/>
      <c r="AA9" s="46"/>
      <c r="AB9" s="46"/>
      <c r="AC9" s="46"/>
      <c r="AD9" s="46"/>
      <c r="AE9" s="46"/>
      <c r="AF9" s="46"/>
      <c r="AG9" s="46"/>
      <c r="AH9" s="46"/>
      <c r="AI9" s="46"/>
      <c r="AJ9" s="46"/>
      <c r="AK9" s="46"/>
      <c r="AL9" s="46"/>
      <c r="AM9" s="46"/>
      <c r="AN9" s="46"/>
      <c r="AO9" s="46"/>
      <c r="AP9" s="46"/>
      <c r="AQ9" s="46"/>
      <c r="AR9" s="46"/>
      <c r="AS9" s="46"/>
      <c r="AT9" s="46"/>
      <c r="AU9" s="46"/>
      <c r="AV9" s="46"/>
      <c r="AW9" s="46"/>
      <c r="AX9" s="46"/>
      <c r="AY9" s="46"/>
      <c r="AZ9" s="46"/>
      <c r="BA9" s="46"/>
      <c r="BB9" s="46"/>
      <c r="BC9" s="46"/>
      <c r="BD9" s="46"/>
      <c r="BE9" s="46"/>
      <c r="BF9" s="46"/>
      <c r="BG9" s="46"/>
      <c r="BH9" s="46"/>
      <c r="BI9" s="46"/>
      <c r="BJ9" s="46"/>
      <c r="BK9" s="46"/>
      <c r="BL9" s="46"/>
      <c r="BM9" s="46"/>
      <c r="BN9" s="46"/>
      <c r="BO9" s="46"/>
      <c r="BP9" s="46"/>
      <c r="BQ9" s="46"/>
      <c r="BR9" s="46"/>
      <c r="BS9" s="46"/>
      <c r="BT9" s="46"/>
      <c r="BU9" s="46"/>
      <c r="BV9" s="46"/>
      <c r="BW9" s="46"/>
      <c r="BX9" s="46"/>
      <c r="BY9" s="46"/>
      <c r="BZ9" s="46"/>
      <c r="CA9" s="46"/>
      <c r="CB9" s="46"/>
      <c r="CC9" s="46"/>
      <c r="CD9" s="46"/>
      <c r="CE9" s="46"/>
      <c r="CF9" s="46"/>
      <c r="CG9" s="46"/>
      <c r="CH9" s="46"/>
      <c r="CI9" s="46"/>
      <c r="CJ9" s="46"/>
      <c r="CK9" s="46"/>
      <c r="CL9" s="46"/>
      <c r="CM9" s="46"/>
      <c r="CN9" s="46"/>
      <c r="CO9" s="46"/>
      <c r="CP9" s="46"/>
      <c r="CQ9" s="46"/>
      <c r="CR9" s="46"/>
      <c r="CS9" s="46"/>
      <c r="CT9" s="46"/>
      <c r="CU9" s="46"/>
      <c r="CV9" s="46"/>
      <c r="CW9" s="46"/>
      <c r="CX9" s="46"/>
      <c r="CY9" s="46"/>
      <c r="CZ9" s="46"/>
      <c r="DA9" s="46"/>
      <c r="DB9" s="46"/>
      <c r="DC9" s="46"/>
      <c r="DD9" s="46"/>
      <c r="DE9" s="46"/>
      <c r="DF9" s="46"/>
      <c r="DG9" s="46"/>
      <c r="DH9" s="46"/>
      <c r="DI9" s="46"/>
      <c r="DJ9" s="46"/>
      <c r="DK9" s="46"/>
      <c r="DL9" s="46"/>
      <c r="DM9" s="46"/>
      <c r="DN9" s="46"/>
      <c r="DO9" s="46"/>
      <c r="DP9" s="46"/>
      <c r="DQ9" s="46"/>
      <c r="DR9" s="46"/>
      <c r="DS9" s="46"/>
      <c r="DT9" s="46"/>
      <c r="DU9" s="46"/>
      <c r="DV9" s="46"/>
      <c r="DW9" s="46"/>
      <c r="DX9" s="46"/>
      <c r="DY9" s="46"/>
      <c r="DZ9" s="46"/>
      <c r="EA9" s="46"/>
      <c r="EB9" s="46"/>
      <c r="EC9" s="46"/>
      <c r="ED9" s="46"/>
      <c r="EE9" s="46"/>
      <c r="EF9" s="46"/>
      <c r="EG9" s="46"/>
      <c r="EH9" s="46"/>
      <c r="EI9" s="46"/>
      <c r="EJ9" s="46"/>
      <c r="EK9" s="46"/>
      <c r="EL9" s="46"/>
      <c r="EM9" s="46"/>
    </row>
    <row r="10" spans="1:144" ht="18" customHeight="1">
      <c r="A10" s="59" t="str" cm="1">
        <f t="array" ref="A10">_xlfn.LET(_xlpm.v,IFERROR(INDEX($A$61:$A$70,ROWS($A$4:$A10)),""),IF(_xlpm.v=0,"",_xlpm.v))</f>
        <v/>
      </c>
      <c r="B10" s="259" t="str">
        <f>IF($A10="","",IFERROR(INDEX($B$61:$B$70,ROWS($A$4:$A10)),""))</f>
        <v/>
      </c>
      <c r="C10" s="260"/>
      <c r="D10" s="59" t="str">
        <f>IF($A10="","",IFERROR(INDEX($C$61:$C$70,ROWS($A$4:$A10)),""))</f>
        <v/>
      </c>
      <c r="E10" s="59" t="str">
        <f>IF($A10="","",IFERROR(INDEX($D$61:$D$70,ROWS($A$4:$A10)),""))</f>
        <v/>
      </c>
      <c r="F10" s="69" t="str">
        <f>IF($A10="","",IFERROR(INDEX($E$61:$E$70,ROWS($A$4:$A10)),""))</f>
        <v/>
      </c>
      <c r="G10" s="69" t="str">
        <f>IF($A10="","",IFERROR(INDEX($F$61:$F$70,ROWS($A$4:$A10)),""))</f>
        <v/>
      </c>
      <c r="H10" s="70" t="str">
        <f t="shared" si="0"/>
        <v/>
      </c>
      <c r="I10" s="261" t="str" cm="1">
        <f t="array" ref="I10">IF($A10="","",_xlfn.LET(_xlpm.pid,$A10,_xlpm.nIP,COUNTIFS($A$75:$A$159,_xlpm.pid,$F$75:$F$159,"In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IF(_xlpm.s="","",IFERROR(_xlfn.XLOOKUP(1,($A$75:$A$159=_xlpm.pid)*($C$75:$C$159=_xlpm.s),$E$75:$E$159,""),""))))</f>
        <v/>
      </c>
      <c r="J10" s="262"/>
      <c r="K10" s="259" t="str" cm="1">
        <f t="array" ref="K10">IF($A10="","",_xlfn.LET(_xlpm.pid,$A10,_xlpm.nIP,COUNTIFS($A$75:$A$159,_xlpm.pid,$F$75:$F$159,"In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_xlpm.nx,IF(_xlpm.s="",0,IFERROR(_xlfn.MINIFS($C$75:$C$159,$A$75:$A$159,_xlpm.pid,$C$75:$C$159,"&gt;"&amp;_xlpm.s,$F$75:$F$159,"&lt;&gt;Completed",$F$75:$F$159,"&lt;&gt;Cancelled"),0)),IF(_xlpm.nx=0,"",IFERROR(_xlfn.XLOOKUP(1,($A$75:$A$159=_xlpm.pid)*($C$75:$C$159=_xlpm.nx),$E$75:$E$159,""),""))))</f>
        <v/>
      </c>
      <c r="L10" s="260"/>
      <c r="M10" s="59" t="str">
        <f t="shared" ca="1" si="1"/>
        <v/>
      </c>
      <c r="N10" s="71" t="str">
        <f t="shared" ca="1" si="2"/>
        <v/>
      </c>
      <c r="O10" s="284"/>
      <c r="P10" s="286"/>
      <c r="Q10" s="286"/>
      <c r="R10" s="286"/>
      <c r="S10" s="286"/>
      <c r="T10" s="286"/>
      <c r="U10" s="286"/>
      <c r="V10" s="286"/>
      <c r="W10" s="46"/>
      <c r="X10" s="46"/>
      <c r="Y10" s="46"/>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46"/>
      <c r="CX10" s="46"/>
      <c r="CY10" s="46"/>
      <c r="CZ10" s="46"/>
      <c r="DA10" s="46"/>
      <c r="DB10" s="46"/>
      <c r="DC10" s="46"/>
      <c r="DD10" s="46"/>
      <c r="DE10" s="46"/>
      <c r="DF10" s="46"/>
      <c r="DG10" s="46"/>
      <c r="DH10" s="46"/>
      <c r="DI10" s="46"/>
      <c r="DJ10" s="46"/>
      <c r="DK10" s="46"/>
      <c r="DL10" s="46"/>
      <c r="DM10" s="46"/>
      <c r="DN10" s="46"/>
      <c r="DO10" s="46"/>
      <c r="DP10" s="46"/>
      <c r="DQ10" s="46"/>
      <c r="DR10" s="46"/>
      <c r="DS10" s="46"/>
      <c r="DT10" s="46"/>
      <c r="DU10" s="46"/>
      <c r="DV10" s="46"/>
      <c r="DW10" s="46"/>
      <c r="DX10" s="46"/>
      <c r="DY10" s="46"/>
      <c r="DZ10" s="46"/>
      <c r="EA10" s="46"/>
      <c r="EB10" s="46"/>
      <c r="EC10" s="46"/>
      <c r="ED10" s="46"/>
      <c r="EE10" s="46"/>
      <c r="EF10" s="46"/>
      <c r="EG10" s="46"/>
      <c r="EH10" s="46"/>
      <c r="EI10" s="46"/>
      <c r="EJ10" s="46"/>
      <c r="EK10" s="46"/>
      <c r="EL10" s="46"/>
      <c r="EM10" s="46"/>
    </row>
    <row r="11" spans="1:144" ht="18" customHeight="1">
      <c r="A11" s="59" t="str" cm="1">
        <f t="array" ref="A11">_xlfn.LET(_xlpm.v,IFERROR(INDEX($A$61:$A$70,ROWS($A$4:$A11)),""),IF(_xlpm.v=0,"",_xlpm.v))</f>
        <v/>
      </c>
      <c r="B11" s="259" t="str">
        <f>IF($A11="","",IFERROR(INDEX($B$61:$B$70,ROWS($A$4:$A11)),""))</f>
        <v/>
      </c>
      <c r="C11" s="260"/>
      <c r="D11" s="59" t="str">
        <f>IF($A11="","",IFERROR(INDEX($C$61:$C$70,ROWS($A$4:$A11)),""))</f>
        <v/>
      </c>
      <c r="E11" s="59" t="str">
        <f>IF($A11="","",IFERROR(INDEX($D$61:$D$70,ROWS($A$4:$A11)),""))</f>
        <v/>
      </c>
      <c r="F11" s="69" t="str">
        <f>IF($A11="","",IFERROR(INDEX($E$61:$E$70,ROWS($A$4:$A11)),""))</f>
        <v/>
      </c>
      <c r="G11" s="69" t="str">
        <f>IF($A11="","",IFERROR(INDEX($F$61:$F$70,ROWS($A$4:$A11)),""))</f>
        <v/>
      </c>
      <c r="H11" s="70" t="str">
        <f t="shared" si="0"/>
        <v/>
      </c>
      <c r="I11" s="261" t="str" cm="1">
        <f t="array" ref="I11">IF($A11="","",_xlfn.LET(_xlpm.pid,$A11,_xlpm.nIP,COUNTIFS($A$75:$A$159,_xlpm.pid,$F$75:$F$159,"In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IF(_xlpm.s="","",IFERROR(_xlfn.XLOOKUP(1,($A$75:$A$159=_xlpm.pid)*($C$75:$C$159=_xlpm.s),$E$75:$E$159,""),""))))</f>
        <v/>
      </c>
      <c r="J11" s="262"/>
      <c r="K11" s="259" t="str" cm="1">
        <f t="array" ref="K11">IF($A11="","",_xlfn.LET(_xlpm.pid,$A11,_xlpm.nIP,COUNTIFS($A$75:$A$159,_xlpm.pid,$F$75:$F$159,"In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_xlpm.nx,IF(_xlpm.s="",0,IFERROR(_xlfn.MINIFS($C$75:$C$159,$A$75:$A$159,_xlpm.pid,$C$75:$C$159,"&gt;"&amp;_xlpm.s,$F$75:$F$159,"&lt;&gt;Completed",$F$75:$F$159,"&lt;&gt;Cancelled"),0)),IF(_xlpm.nx=0,"",IFERROR(_xlfn.XLOOKUP(1,($A$75:$A$159=_xlpm.pid)*($C$75:$C$159=_xlpm.nx),$E$75:$E$159,""),""))))</f>
        <v/>
      </c>
      <c r="L11" s="260"/>
      <c r="M11" s="59" t="str">
        <f t="shared" ca="1" si="1"/>
        <v/>
      </c>
      <c r="N11" s="71" t="str">
        <f t="shared" ca="1" si="2"/>
        <v/>
      </c>
      <c r="O11" s="284">
        <v>5</v>
      </c>
      <c r="P11" s="285" t="s">
        <v>165</v>
      </c>
      <c r="Q11" s="285"/>
      <c r="R11" s="285"/>
      <c r="S11" s="285"/>
      <c r="T11" s="285"/>
      <c r="U11" s="285"/>
      <c r="V11" s="285"/>
      <c r="W11" s="46"/>
      <c r="X11" s="46"/>
      <c r="Y11" s="46"/>
      <c r="Z11" s="46"/>
      <c r="AA11" s="46"/>
      <c r="AB11" s="46"/>
      <c r="AC11" s="46"/>
      <c r="AD11" s="46"/>
      <c r="AE11" s="46"/>
      <c r="AF11" s="46"/>
      <c r="AG11" s="46"/>
      <c r="AH11" s="46"/>
      <c r="AI11" s="46"/>
      <c r="AJ11" s="46"/>
      <c r="AK11" s="46"/>
      <c r="AL11" s="46"/>
      <c r="AM11" s="46"/>
      <c r="AN11" s="46"/>
      <c r="AO11" s="46"/>
      <c r="AP11" s="46"/>
      <c r="AQ11" s="46"/>
      <c r="AR11" s="46"/>
      <c r="AS11" s="46"/>
      <c r="AT11" s="46"/>
      <c r="AU11" s="46"/>
      <c r="AV11" s="46"/>
      <c r="AW11" s="46"/>
      <c r="AX11" s="46"/>
      <c r="AY11" s="46"/>
      <c r="AZ11" s="46"/>
      <c r="BA11" s="46"/>
      <c r="BB11" s="46"/>
      <c r="BC11" s="46"/>
      <c r="BD11" s="46"/>
      <c r="BE11" s="46"/>
      <c r="BF11" s="46"/>
      <c r="BG11" s="46"/>
      <c r="BH11" s="46"/>
      <c r="BI11" s="46"/>
      <c r="BJ11" s="46"/>
      <c r="BK11" s="46"/>
      <c r="BL11" s="46"/>
      <c r="BM11" s="46"/>
      <c r="BN11" s="46"/>
      <c r="BO11" s="46"/>
      <c r="BP11" s="46"/>
      <c r="BQ11" s="46"/>
      <c r="BR11" s="46"/>
      <c r="BS11" s="46"/>
      <c r="BT11" s="46"/>
      <c r="BU11" s="46"/>
      <c r="BV11" s="46"/>
      <c r="BW11" s="46"/>
      <c r="BX11" s="46"/>
      <c r="BY11" s="46"/>
      <c r="BZ11" s="46"/>
      <c r="CA11" s="46"/>
      <c r="CB11" s="46"/>
      <c r="CC11" s="46"/>
      <c r="CD11" s="46"/>
      <c r="CE11" s="46"/>
      <c r="CF11" s="46"/>
      <c r="CG11" s="46"/>
      <c r="CH11" s="46"/>
      <c r="CI11" s="46"/>
      <c r="CJ11" s="46"/>
      <c r="CK11" s="46"/>
      <c r="CL11" s="46"/>
      <c r="CM11" s="46"/>
      <c r="CN11" s="46"/>
      <c r="CO11" s="46"/>
      <c r="CP11" s="46"/>
      <c r="CQ11" s="46"/>
      <c r="CR11" s="46"/>
      <c r="CS11" s="46"/>
      <c r="CT11" s="46"/>
      <c r="CU11" s="46"/>
      <c r="CV11" s="46"/>
      <c r="CW11" s="46"/>
      <c r="CX11" s="46"/>
      <c r="CY11" s="46"/>
      <c r="CZ11" s="46"/>
      <c r="DA11" s="46"/>
      <c r="DB11" s="46"/>
      <c r="DC11" s="46"/>
      <c r="DD11" s="46"/>
      <c r="DE11" s="46"/>
      <c r="DF11" s="46"/>
      <c r="DG11" s="46"/>
      <c r="DH11" s="46"/>
      <c r="DI11" s="46"/>
      <c r="DJ11" s="46"/>
      <c r="DK11" s="46"/>
      <c r="DL11" s="46"/>
      <c r="DM11" s="46"/>
      <c r="DN11" s="46"/>
      <c r="DO11" s="46"/>
      <c r="DP11" s="46"/>
      <c r="DQ11" s="46"/>
      <c r="DR11" s="46"/>
      <c r="DS11" s="46"/>
      <c r="DT11" s="46"/>
      <c r="DU11" s="46"/>
      <c r="DV11" s="46"/>
      <c r="DW11" s="46"/>
      <c r="DX11" s="46"/>
      <c r="DY11" s="46"/>
      <c r="DZ11" s="46"/>
      <c r="EA11" s="46"/>
      <c r="EB11" s="46"/>
      <c r="EC11" s="46"/>
      <c r="ED11" s="46"/>
      <c r="EE11" s="46"/>
      <c r="EF11" s="46"/>
      <c r="EG11" s="46"/>
      <c r="EH11" s="46"/>
      <c r="EI11" s="46"/>
      <c r="EJ11" s="46"/>
      <c r="EK11" s="46"/>
      <c r="EL11" s="46"/>
      <c r="EM11" s="46"/>
    </row>
    <row r="12" spans="1:144" ht="18" customHeight="1">
      <c r="A12" s="59" t="str" cm="1">
        <f t="array" ref="A12">_xlfn.LET(_xlpm.v,IFERROR(INDEX($A$61:$A$70,ROWS($A$4:$A12)),""),IF(_xlpm.v=0,"",_xlpm.v))</f>
        <v/>
      </c>
      <c r="B12" s="259" t="str">
        <f>IF($A12="","",IFERROR(INDEX($B$61:$B$70,ROWS($A$4:$A12)),""))</f>
        <v/>
      </c>
      <c r="C12" s="260"/>
      <c r="D12" s="59" t="str">
        <f>IF($A12="","",IFERROR(INDEX($C$61:$C$70,ROWS($A$4:$A12)),""))</f>
        <v/>
      </c>
      <c r="E12" s="59" t="str">
        <f>IF($A12="","",IFERROR(INDEX($D$61:$D$70,ROWS($A$4:$A12)),""))</f>
        <v/>
      </c>
      <c r="F12" s="69" t="str">
        <f>IF($A12="","",IFERROR(INDEX($E$61:$E$70,ROWS($A$4:$A12)),""))</f>
        <v/>
      </c>
      <c r="G12" s="69" t="str">
        <f>IF($A12="","",IFERROR(INDEX($F$61:$F$70,ROWS($A$4:$A12)),""))</f>
        <v/>
      </c>
      <c r="H12" s="70" t="str">
        <f t="shared" si="0"/>
        <v/>
      </c>
      <c r="I12" s="261" t="str" cm="1">
        <f t="array" ref="I12">IF($A12="","",_xlfn.LET(_xlpm.pid,$A12,_xlpm.nIP,COUNTIFS($A$75:$A$159,_xlpm.pid,$F$75:$F$159,"In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IF(_xlpm.s="","",IFERROR(_xlfn.XLOOKUP(1,($A$75:$A$159=_xlpm.pid)*($C$75:$C$159=_xlpm.s),$E$75:$E$159,""),""))))</f>
        <v/>
      </c>
      <c r="J12" s="262"/>
      <c r="K12" s="259" t="str" cm="1">
        <f t="array" ref="K12">IF($A12="","",_xlfn.LET(_xlpm.pid,$A12,_xlpm.nIP,COUNTIFS($A$75:$A$159,_xlpm.pid,$F$75:$F$159,"In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_xlpm.nx,IF(_xlpm.s="",0,IFERROR(_xlfn.MINIFS($C$75:$C$159,$A$75:$A$159,_xlpm.pid,$C$75:$C$159,"&gt;"&amp;_xlpm.s,$F$75:$F$159,"&lt;&gt;Completed",$F$75:$F$159,"&lt;&gt;Cancelled"),0)),IF(_xlpm.nx=0,"",IFERROR(_xlfn.XLOOKUP(1,($A$75:$A$159=_xlpm.pid)*($C$75:$C$159=_xlpm.nx),$E$75:$E$159,""),""))))</f>
        <v/>
      </c>
      <c r="L12" s="260"/>
      <c r="M12" s="59" t="str">
        <f t="shared" ca="1" si="1"/>
        <v/>
      </c>
      <c r="N12" s="71" t="str">
        <f t="shared" ca="1" si="2"/>
        <v/>
      </c>
      <c r="O12" s="284"/>
      <c r="P12" s="285"/>
      <c r="Q12" s="285"/>
      <c r="R12" s="285"/>
      <c r="S12" s="285"/>
      <c r="T12" s="285"/>
      <c r="U12" s="285"/>
      <c r="V12" s="285"/>
      <c r="W12" s="46"/>
      <c r="X12" s="46"/>
      <c r="Y12" s="46"/>
      <c r="Z12" s="46"/>
      <c r="AA12" s="46"/>
      <c r="AB12" s="46"/>
      <c r="AC12" s="46"/>
      <c r="AD12" s="46"/>
      <c r="AE12" s="46"/>
      <c r="AF12" s="46"/>
      <c r="AG12" s="46"/>
      <c r="AH12" s="46"/>
      <c r="AI12" s="46"/>
      <c r="AJ12" s="46"/>
      <c r="AK12" s="46"/>
      <c r="AL12" s="46"/>
      <c r="AM12" s="46"/>
      <c r="AN12" s="46"/>
      <c r="AO12" s="46"/>
      <c r="AP12" s="46"/>
      <c r="AQ12" s="46"/>
      <c r="AR12" s="46"/>
      <c r="AS12" s="46"/>
      <c r="AT12" s="46"/>
      <c r="AU12" s="46"/>
      <c r="AV12" s="46"/>
      <c r="AW12" s="46"/>
      <c r="AX12" s="46"/>
      <c r="AY12" s="46"/>
      <c r="AZ12" s="46"/>
      <c r="BA12" s="46"/>
      <c r="BB12" s="46"/>
      <c r="BC12" s="46"/>
      <c r="BD12" s="46"/>
      <c r="BE12" s="46"/>
      <c r="BF12" s="46"/>
      <c r="BG12" s="46"/>
      <c r="BH12" s="46"/>
      <c r="BI12" s="46"/>
      <c r="BJ12" s="46"/>
      <c r="BK12" s="46"/>
      <c r="BL12" s="46"/>
      <c r="BM12" s="46"/>
      <c r="BN12" s="46"/>
      <c r="BO12" s="46"/>
      <c r="BP12" s="46"/>
      <c r="BQ12" s="46"/>
      <c r="BR12" s="46"/>
      <c r="BS12" s="46"/>
      <c r="BT12" s="46"/>
      <c r="BU12" s="46"/>
      <c r="BV12" s="46"/>
      <c r="BW12" s="46"/>
      <c r="BX12" s="46"/>
      <c r="BY12" s="46"/>
      <c r="BZ12" s="46"/>
      <c r="CA12" s="46"/>
      <c r="CB12" s="46"/>
      <c r="CC12" s="46"/>
      <c r="CD12" s="46"/>
      <c r="CE12" s="46"/>
      <c r="CF12" s="46"/>
      <c r="CG12" s="46"/>
      <c r="CH12" s="46"/>
      <c r="CI12" s="46"/>
      <c r="CJ12" s="46"/>
      <c r="CK12" s="46"/>
      <c r="CL12" s="46"/>
      <c r="CM12" s="46"/>
      <c r="CN12" s="46"/>
      <c r="CO12" s="46"/>
      <c r="CP12" s="46"/>
      <c r="CQ12" s="46"/>
      <c r="CR12" s="46"/>
      <c r="CS12" s="46"/>
      <c r="CT12" s="46"/>
      <c r="CU12" s="46"/>
      <c r="CV12" s="46"/>
      <c r="CW12" s="46"/>
      <c r="CX12" s="46"/>
      <c r="CY12" s="46"/>
      <c r="CZ12" s="46"/>
      <c r="DA12" s="46"/>
      <c r="DB12" s="46"/>
      <c r="DC12" s="46"/>
      <c r="DD12" s="46"/>
      <c r="DE12" s="46"/>
      <c r="DF12" s="46"/>
      <c r="DG12" s="46"/>
      <c r="DH12" s="46"/>
      <c r="DI12" s="46"/>
      <c r="DJ12" s="46"/>
      <c r="DK12" s="46"/>
      <c r="DL12" s="46"/>
      <c r="DM12" s="46"/>
      <c r="DN12" s="46"/>
      <c r="DO12" s="46"/>
      <c r="DP12" s="46"/>
      <c r="DQ12" s="46"/>
      <c r="DR12" s="46"/>
      <c r="DS12" s="46"/>
      <c r="DT12" s="46"/>
      <c r="DU12" s="46"/>
      <c r="DV12" s="46"/>
      <c r="DW12" s="46"/>
      <c r="DX12" s="46"/>
      <c r="DY12" s="46"/>
      <c r="DZ12" s="46"/>
      <c r="EA12" s="46"/>
      <c r="EB12" s="46"/>
      <c r="EC12" s="46"/>
      <c r="ED12" s="46"/>
      <c r="EE12" s="46"/>
      <c r="EF12" s="46"/>
      <c r="EG12" s="46"/>
      <c r="EH12" s="46"/>
      <c r="EI12" s="46"/>
      <c r="EJ12" s="46"/>
      <c r="EK12" s="46"/>
      <c r="EL12" s="46"/>
      <c r="EM12" s="46"/>
    </row>
    <row r="13" spans="1:144" ht="18" customHeight="1">
      <c r="A13" s="59" t="str" cm="1">
        <f t="array" ref="A13">_xlfn.LET(_xlpm.v,IFERROR(INDEX($A$61:$A$70,ROWS($A$4:$A13)),""),IF(_xlpm.v=0,"",_xlpm.v))</f>
        <v/>
      </c>
      <c r="B13" s="259" t="str">
        <f>IF($A13="","",IFERROR(INDEX($B$61:$B$70,ROWS($A$4:$A13)),""))</f>
        <v/>
      </c>
      <c r="C13" s="260"/>
      <c r="D13" s="59" t="str">
        <f>IF($A13="","",IFERROR(INDEX($C$61:$C$70,ROWS($A$4:$A13)),""))</f>
        <v/>
      </c>
      <c r="E13" s="59" t="str">
        <f>IF($A13="","",IFERROR(INDEX($D$61:$D$70,ROWS($A$4:$A13)),""))</f>
        <v/>
      </c>
      <c r="F13" s="69" t="str">
        <f>IF($A13="","",IFERROR(INDEX($E$61:$E$70,ROWS($A$4:$A13)),""))</f>
        <v/>
      </c>
      <c r="G13" s="69" t="str">
        <f>IF($A13="","",IFERROR(INDEX($F$61:$F$70,ROWS($A$4:$A13)),""))</f>
        <v/>
      </c>
      <c r="H13" s="70" t="str">
        <f t="shared" si="0"/>
        <v/>
      </c>
      <c r="I13" s="261" t="str" cm="1">
        <f t="array" ref="I13">IF($A13="","",_xlfn.LET(_xlpm.pid,$A13,_xlpm.nIP,COUNTIFS($A$75:$A$159,_xlpm.pid,$F$75:$F$159,"In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IF(_xlpm.s="","",IFERROR(_xlfn.XLOOKUP(1,($A$75:$A$159=_xlpm.pid)*($C$75:$C$159=_xlpm.s),$E$75:$E$159,""),""))))</f>
        <v/>
      </c>
      <c r="J13" s="262"/>
      <c r="K13" s="259" t="str" cm="1">
        <f t="array" ref="K13">IF($A13="","",_xlfn.LET(_xlpm.pid,$A13,_xlpm.nIP,COUNTIFS($A$75:$A$159,_xlpm.pid,$F$75:$F$159,"In Progress"),_xlpm.nW,COUNTIFS($A$75:$A$159,_xlpm.pid,$F$75:$F$159,"Waiting"),_xlpm.nB,COUNTIFS($A$75:$A$159,_xlpm.pid,$F$75:$F$159,"Blocked"),_xlpm.nU,COUNTIFS($A$75:$A$159,_xlpm.pid,$F$75:$F$159,"&lt;&gt;Completed",$F$75:$F$159,"&lt;&gt;Cancelled"),_xlpm.s,IF(_xlpm.nU=0,"",IF(_xlpm.nIP&gt;0,_xlfn.MINIFS($C$75:$C$159,$A$75:$A$159,_xlpm.pid,$F$75:$F$159,"In Progress"),IF(_xlpm.nW+_xlpm.nB&gt;0,MIN(IF(_xlpm.nW&gt;0,_xlfn.MINIFS($C$75:$C$159,$A$75:$A$159,_xlpm.pid,$F$75:$F$159,"Waiting"),1E+99),IF(_xlpm.nB&gt;0,_xlfn.MINIFS($C$75:$C$159,$A$75:$A$159,_xlpm.pid,$F$75:$F$159,"Blocked"),1E+99)),_xlfn.MINIFS($C$75:$C$159,$A$75:$A$159,_xlpm.pid,$F$75:$F$159,"&lt;&gt;Completed",$F$75:$F$159,"&lt;&gt;Cancelled")))),_xlpm.nx,IF(_xlpm.s="",0,IFERROR(_xlfn.MINIFS($C$75:$C$159,$A$75:$A$159,_xlpm.pid,$C$75:$C$159,"&gt;"&amp;_xlpm.s,$F$75:$F$159,"&lt;&gt;Completed",$F$75:$F$159,"&lt;&gt;Cancelled"),0)),IF(_xlpm.nx=0,"",IFERROR(_xlfn.XLOOKUP(1,($A$75:$A$159=_xlpm.pid)*($C$75:$C$159=_xlpm.nx),$E$75:$E$159,""),""))))</f>
        <v/>
      </c>
      <c r="L13" s="260"/>
      <c r="M13" s="59" t="str">
        <f t="shared" ca="1" si="1"/>
        <v/>
      </c>
      <c r="N13" s="71" t="str">
        <f t="shared" ca="1" si="2"/>
        <v/>
      </c>
      <c r="O13" s="284">
        <v>6</v>
      </c>
      <c r="P13" s="286" t="s">
        <v>166</v>
      </c>
      <c r="Q13" s="286"/>
      <c r="R13" s="286"/>
      <c r="S13" s="286"/>
      <c r="T13" s="286"/>
      <c r="U13" s="286"/>
      <c r="V13" s="286"/>
      <c r="W13" s="46"/>
      <c r="X13" s="46"/>
      <c r="Y13" s="46"/>
      <c r="Z13" s="46"/>
      <c r="AA13" s="46"/>
      <c r="AB13" s="46"/>
      <c r="AC13" s="46"/>
      <c r="AD13" s="46"/>
      <c r="AE13" s="46"/>
      <c r="AF13" s="46"/>
      <c r="AG13" s="46"/>
      <c r="AH13" s="46"/>
      <c r="AI13" s="46"/>
      <c r="AJ13" s="46"/>
      <c r="AK13" s="46"/>
      <c r="AL13" s="46"/>
      <c r="AM13" s="46"/>
      <c r="AN13" s="46"/>
      <c r="AO13" s="46"/>
      <c r="AP13" s="46"/>
      <c r="AQ13" s="46"/>
      <c r="AR13" s="46"/>
      <c r="AS13" s="46"/>
      <c r="AT13" s="46"/>
      <c r="AU13" s="46"/>
      <c r="AV13" s="46"/>
      <c r="AW13" s="46"/>
      <c r="AX13" s="46"/>
      <c r="AY13" s="46"/>
      <c r="AZ13" s="46"/>
      <c r="BA13" s="46"/>
      <c r="BB13" s="46"/>
      <c r="BC13" s="46"/>
      <c r="BD13" s="46"/>
      <c r="BE13" s="46"/>
      <c r="BF13" s="46"/>
      <c r="BG13" s="46"/>
      <c r="BH13" s="46"/>
      <c r="BI13" s="46"/>
      <c r="BJ13" s="46"/>
      <c r="BK13" s="46"/>
      <c r="BL13" s="46"/>
      <c r="BM13" s="46"/>
      <c r="BN13" s="46"/>
      <c r="BO13" s="46"/>
      <c r="BP13" s="46"/>
      <c r="BQ13" s="46"/>
      <c r="BR13" s="46"/>
      <c r="BS13" s="46"/>
      <c r="BT13" s="46"/>
      <c r="BU13" s="46"/>
      <c r="BV13" s="46"/>
      <c r="BW13" s="46"/>
      <c r="BX13" s="46"/>
      <c r="BY13" s="46"/>
      <c r="BZ13" s="46"/>
      <c r="CA13" s="46"/>
      <c r="CB13" s="46"/>
      <c r="CC13" s="46"/>
      <c r="CD13" s="46"/>
      <c r="CE13" s="46"/>
      <c r="CF13" s="46"/>
      <c r="CG13" s="46"/>
      <c r="CH13" s="46"/>
      <c r="CI13" s="46"/>
      <c r="CJ13" s="46"/>
      <c r="CK13" s="46"/>
      <c r="CL13" s="46"/>
      <c r="CM13" s="46"/>
      <c r="CN13" s="46"/>
      <c r="CO13" s="46"/>
      <c r="CP13" s="46"/>
      <c r="CQ13" s="46"/>
      <c r="CR13" s="46"/>
      <c r="CS13" s="46"/>
      <c r="CT13" s="46"/>
      <c r="CU13" s="46"/>
      <c r="CV13" s="46"/>
      <c r="CW13" s="46"/>
      <c r="CX13" s="46"/>
      <c r="CY13" s="46"/>
      <c r="CZ13" s="46"/>
      <c r="DA13" s="46"/>
      <c r="DB13" s="46"/>
      <c r="DC13" s="46"/>
      <c r="DD13" s="46"/>
      <c r="DE13" s="46"/>
      <c r="DF13" s="46"/>
      <c r="DG13" s="46"/>
      <c r="DH13" s="46"/>
      <c r="DI13" s="46"/>
      <c r="DJ13" s="46"/>
      <c r="DK13" s="46"/>
      <c r="DL13" s="46"/>
      <c r="DM13" s="46"/>
      <c r="DN13" s="46"/>
      <c r="DO13" s="46"/>
      <c r="DP13" s="46"/>
      <c r="DQ13" s="46"/>
      <c r="DR13" s="46"/>
      <c r="DS13" s="46"/>
      <c r="DT13" s="46"/>
      <c r="DU13" s="46"/>
      <c r="DV13" s="46"/>
      <c r="DW13" s="46"/>
      <c r="DX13" s="46"/>
      <c r="DY13" s="46"/>
      <c r="DZ13" s="46"/>
      <c r="EA13" s="46"/>
      <c r="EB13" s="46"/>
      <c r="EC13" s="46"/>
      <c r="ED13" s="46"/>
      <c r="EE13" s="46"/>
      <c r="EF13" s="46"/>
      <c r="EG13" s="46"/>
      <c r="EH13" s="46"/>
      <c r="EI13" s="46"/>
      <c r="EJ13" s="46"/>
      <c r="EK13" s="46"/>
      <c r="EL13" s="46"/>
      <c r="EM13" s="46"/>
    </row>
    <row r="14" spans="1:144" ht="18" customHeight="1">
      <c r="A14" s="56"/>
      <c r="B14" s="56"/>
      <c r="C14" s="56"/>
      <c r="D14" s="56"/>
      <c r="E14" s="56"/>
      <c r="F14" s="56"/>
      <c r="G14" s="56"/>
      <c r="H14" s="56"/>
      <c r="I14" s="56"/>
      <c r="J14" s="56"/>
      <c r="K14" s="56"/>
      <c r="L14" s="56"/>
      <c r="M14" s="56"/>
      <c r="N14" s="56"/>
      <c r="O14" s="284"/>
      <c r="P14" s="286"/>
      <c r="Q14" s="286"/>
      <c r="R14" s="286"/>
      <c r="S14" s="286"/>
      <c r="T14" s="286"/>
      <c r="U14" s="286"/>
      <c r="V14" s="286"/>
      <c r="W14" s="46"/>
      <c r="X14" s="46"/>
      <c r="Y14" s="46"/>
      <c r="Z14" s="46"/>
      <c r="AA14" s="46"/>
      <c r="AB14" s="46"/>
      <c r="AC14" s="46"/>
      <c r="AD14" s="46"/>
      <c r="AE14" s="46"/>
      <c r="AF14" s="46"/>
      <c r="AG14" s="46"/>
      <c r="AH14" s="46"/>
      <c r="AI14" s="46"/>
      <c r="AJ14" s="46"/>
      <c r="AK14" s="46"/>
      <c r="AL14" s="46"/>
      <c r="AM14" s="46"/>
      <c r="AN14" s="46"/>
      <c r="AO14" s="46"/>
      <c r="AP14" s="46"/>
      <c r="AQ14" s="46"/>
      <c r="AR14" s="46"/>
      <c r="AS14" s="46"/>
      <c r="AT14" s="46"/>
      <c r="AU14" s="46"/>
      <c r="AV14" s="46"/>
      <c r="AW14" s="46"/>
      <c r="AX14" s="46"/>
      <c r="AY14" s="46"/>
      <c r="AZ14" s="46"/>
      <c r="BA14" s="46"/>
      <c r="BB14" s="46"/>
      <c r="BC14" s="46"/>
      <c r="BD14" s="46"/>
      <c r="BE14" s="46"/>
      <c r="BF14" s="46"/>
      <c r="BG14" s="46"/>
      <c r="BH14" s="46"/>
      <c r="BI14" s="46"/>
      <c r="BJ14" s="46"/>
      <c r="BK14" s="46"/>
      <c r="BL14" s="46"/>
      <c r="BM14" s="46"/>
      <c r="BN14" s="46"/>
      <c r="BO14" s="46"/>
      <c r="BP14" s="46"/>
      <c r="BQ14" s="46"/>
      <c r="BR14" s="46"/>
      <c r="BS14" s="46"/>
      <c r="BT14" s="46"/>
      <c r="BU14" s="46"/>
      <c r="BV14" s="46"/>
      <c r="BW14" s="46"/>
      <c r="BX14" s="46"/>
      <c r="BY14" s="46"/>
      <c r="BZ14" s="46"/>
      <c r="CA14" s="46"/>
      <c r="CB14" s="46"/>
      <c r="CC14" s="46"/>
      <c r="CD14" s="46"/>
      <c r="CE14" s="46"/>
      <c r="CF14" s="46"/>
      <c r="CG14" s="46"/>
      <c r="CH14" s="46"/>
      <c r="CI14" s="46"/>
      <c r="CJ14" s="46"/>
      <c r="CK14" s="46"/>
      <c r="CL14" s="46"/>
      <c r="CM14" s="46"/>
      <c r="CN14" s="46"/>
      <c r="CO14" s="46"/>
      <c r="CP14" s="46"/>
      <c r="CQ14" s="46"/>
      <c r="CR14" s="46"/>
      <c r="CS14" s="46"/>
      <c r="CT14" s="46"/>
      <c r="CU14" s="46"/>
      <c r="CV14" s="46"/>
      <c r="CW14" s="46"/>
      <c r="CX14" s="46"/>
      <c r="CY14" s="46"/>
      <c r="CZ14" s="46"/>
      <c r="DA14" s="46"/>
      <c r="DB14" s="46"/>
      <c r="DC14" s="46"/>
      <c r="DD14" s="46"/>
      <c r="DE14" s="46"/>
      <c r="DF14" s="46"/>
      <c r="DG14" s="46"/>
      <c r="DH14" s="46"/>
      <c r="DI14" s="46"/>
      <c r="DJ14" s="46"/>
      <c r="DK14" s="46"/>
      <c r="DL14" s="46"/>
      <c r="DM14" s="46"/>
      <c r="DN14" s="46"/>
      <c r="DO14" s="46"/>
      <c r="DP14" s="46"/>
      <c r="DQ14" s="46"/>
      <c r="DR14" s="46"/>
      <c r="DS14" s="46"/>
      <c r="DT14" s="46"/>
      <c r="DU14" s="46"/>
      <c r="DV14" s="46"/>
      <c r="DW14" s="46"/>
      <c r="DX14" s="46"/>
      <c r="DY14" s="46"/>
      <c r="DZ14" s="46"/>
      <c r="EA14" s="46"/>
      <c r="EB14" s="46"/>
      <c r="EC14" s="46"/>
      <c r="ED14" s="46"/>
      <c r="EE14" s="46"/>
      <c r="EF14" s="46"/>
      <c r="EG14" s="46"/>
      <c r="EH14" s="46"/>
      <c r="EI14" s="46"/>
      <c r="EJ14" s="46"/>
      <c r="EK14" s="46"/>
      <c r="EL14" s="46"/>
      <c r="EM14" s="46"/>
    </row>
    <row r="15" spans="1:144" ht="18" customHeight="1">
      <c r="A15" s="56"/>
      <c r="B15" s="56"/>
      <c r="C15" s="56"/>
      <c r="D15" s="56"/>
      <c r="E15" s="56"/>
      <c r="F15" s="56"/>
      <c r="G15" s="56"/>
      <c r="H15" s="56"/>
      <c r="I15" s="56"/>
      <c r="J15" s="56"/>
      <c r="K15" s="56"/>
      <c r="L15" s="56"/>
      <c r="M15" s="56"/>
      <c r="N15" s="56"/>
      <c r="O15" s="284"/>
      <c r="P15" s="286"/>
      <c r="Q15" s="286"/>
      <c r="R15" s="286"/>
      <c r="S15" s="286"/>
      <c r="T15" s="286"/>
      <c r="U15" s="286"/>
      <c r="V15" s="286"/>
      <c r="W15" s="46"/>
      <c r="X15" s="46"/>
      <c r="Y15" s="46"/>
      <c r="Z15" s="46"/>
      <c r="AA15" s="46"/>
      <c r="AB15" s="46"/>
      <c r="AC15" s="46"/>
      <c r="AD15" s="46"/>
      <c r="AE15" s="46"/>
      <c r="AF15" s="46"/>
      <c r="AG15" s="46"/>
      <c r="AH15" s="46"/>
      <c r="AI15" s="46"/>
      <c r="AJ15" s="46"/>
      <c r="AK15" s="46"/>
      <c r="AL15" s="46"/>
      <c r="AM15" s="46"/>
      <c r="AN15" s="46"/>
      <c r="AO15" s="46"/>
      <c r="AP15" s="46"/>
      <c r="AQ15" s="46"/>
      <c r="AR15" s="46"/>
      <c r="AS15" s="46"/>
      <c r="AT15" s="46"/>
      <c r="AU15" s="46"/>
      <c r="AV15" s="46"/>
      <c r="AW15" s="46"/>
      <c r="AX15" s="46"/>
      <c r="AY15" s="46"/>
      <c r="AZ15" s="46"/>
      <c r="BA15" s="46"/>
      <c r="BB15" s="46"/>
      <c r="BC15" s="46"/>
      <c r="BD15" s="46"/>
      <c r="BE15" s="46"/>
      <c r="BF15" s="46"/>
      <c r="BG15" s="46"/>
      <c r="BH15" s="46"/>
      <c r="BI15" s="46"/>
      <c r="BJ15" s="46"/>
      <c r="BK15" s="46"/>
      <c r="BL15" s="46"/>
      <c r="BM15" s="46"/>
      <c r="BN15" s="46"/>
      <c r="BO15" s="46"/>
      <c r="BP15" s="46"/>
      <c r="BQ15" s="46"/>
      <c r="BR15" s="46"/>
      <c r="BS15" s="46"/>
      <c r="BT15" s="46"/>
      <c r="BU15" s="46"/>
      <c r="BV15" s="46"/>
      <c r="BW15" s="46"/>
      <c r="BX15" s="46"/>
      <c r="BY15" s="46"/>
      <c r="BZ15" s="46"/>
      <c r="CA15" s="46"/>
      <c r="CB15" s="46"/>
      <c r="CC15" s="46"/>
      <c r="CD15" s="46"/>
      <c r="CE15" s="46"/>
      <c r="CF15" s="46"/>
      <c r="CG15" s="46"/>
      <c r="CH15" s="46"/>
      <c r="CI15" s="46"/>
      <c r="CJ15" s="46"/>
      <c r="CK15" s="46"/>
      <c r="CL15" s="46"/>
      <c r="CM15" s="46"/>
      <c r="CN15" s="46"/>
      <c r="CO15" s="46"/>
      <c r="CP15" s="46"/>
      <c r="CQ15" s="46"/>
      <c r="CR15" s="46"/>
      <c r="CS15" s="46"/>
      <c r="CT15" s="46"/>
      <c r="CU15" s="46"/>
      <c r="CV15" s="46"/>
      <c r="CW15" s="46"/>
      <c r="CX15" s="46"/>
      <c r="CY15" s="46"/>
      <c r="CZ15" s="46"/>
      <c r="DA15" s="46"/>
      <c r="DB15" s="46"/>
      <c r="DC15" s="46"/>
      <c r="DD15" s="46"/>
      <c r="DE15" s="46"/>
      <c r="DF15" s="46"/>
      <c r="DG15" s="46"/>
      <c r="DH15" s="46"/>
      <c r="DI15" s="46"/>
      <c r="DJ15" s="46"/>
      <c r="DK15" s="46"/>
      <c r="DL15" s="46"/>
      <c r="DM15" s="46"/>
      <c r="DN15" s="46"/>
      <c r="DO15" s="46"/>
      <c r="DP15" s="46"/>
      <c r="DQ15" s="46"/>
      <c r="DR15" s="46"/>
      <c r="DS15" s="46"/>
      <c r="DT15" s="46"/>
      <c r="DU15" s="46"/>
      <c r="DV15" s="46"/>
      <c r="DW15" s="46"/>
      <c r="DX15" s="46"/>
      <c r="DY15" s="46"/>
      <c r="DZ15" s="46"/>
      <c r="EA15" s="46"/>
      <c r="EB15" s="46"/>
      <c r="EC15" s="46"/>
      <c r="ED15" s="46"/>
      <c r="EE15" s="46"/>
      <c r="EF15" s="46"/>
      <c r="EG15" s="46"/>
      <c r="EH15" s="46"/>
      <c r="EI15" s="46"/>
      <c r="EJ15" s="46"/>
      <c r="EK15" s="46"/>
      <c r="EL15" s="46"/>
      <c r="EM15" s="46"/>
    </row>
    <row r="16" spans="1:144" ht="18" customHeight="1">
      <c r="A16" s="257" t="s">
        <v>173</v>
      </c>
      <c r="B16" s="257"/>
      <c r="C16" s="257"/>
      <c r="D16" s="257"/>
      <c r="E16" s="257"/>
      <c r="F16" s="257"/>
      <c r="G16" s="257"/>
      <c r="H16" s="257"/>
      <c r="I16" s="257"/>
      <c r="J16" s="257"/>
      <c r="K16" s="257"/>
      <c r="L16" s="257"/>
      <c r="M16" s="257"/>
      <c r="N16" s="257"/>
      <c r="O16" s="284"/>
      <c r="P16" s="286"/>
      <c r="Q16" s="286"/>
      <c r="R16" s="286"/>
      <c r="S16" s="286"/>
      <c r="T16" s="286"/>
      <c r="U16" s="286"/>
      <c r="V16" s="286"/>
      <c r="W16" s="46"/>
      <c r="X16" s="46"/>
      <c r="Y16" s="46"/>
      <c r="Z16" s="46"/>
      <c r="AA16" s="46"/>
      <c r="AB16" s="46"/>
      <c r="AC16" s="46"/>
      <c r="AD16" s="46"/>
      <c r="AE16" s="46"/>
      <c r="AF16" s="46"/>
      <c r="AG16" s="46"/>
      <c r="AH16" s="46"/>
      <c r="AI16" s="46"/>
      <c r="AJ16" s="46"/>
      <c r="AK16" s="46"/>
      <c r="AL16" s="46"/>
      <c r="AM16" s="46"/>
      <c r="AN16" s="46"/>
      <c r="AO16" s="46"/>
      <c r="AP16" s="46"/>
      <c r="AQ16" s="46"/>
      <c r="AR16" s="46"/>
      <c r="AS16" s="46"/>
      <c r="AT16" s="46"/>
      <c r="AU16" s="46"/>
      <c r="AV16" s="46"/>
      <c r="AW16" s="46"/>
      <c r="AX16" s="46"/>
      <c r="AY16" s="46"/>
      <c r="AZ16" s="46"/>
      <c r="BA16" s="46"/>
      <c r="BB16" s="46"/>
      <c r="BC16" s="46"/>
      <c r="BD16" s="46"/>
      <c r="BE16" s="46"/>
      <c r="BF16" s="46"/>
      <c r="BG16" s="46"/>
      <c r="BH16" s="46"/>
      <c r="BI16" s="46"/>
      <c r="BJ16" s="46"/>
      <c r="BK16" s="46"/>
      <c r="BL16" s="46"/>
      <c r="BM16" s="46"/>
      <c r="BN16" s="46"/>
      <c r="BO16" s="46"/>
      <c r="BP16" s="46"/>
      <c r="BQ16" s="46"/>
      <c r="BR16" s="46"/>
      <c r="BS16" s="46"/>
      <c r="BT16" s="46"/>
      <c r="BU16" s="46"/>
      <c r="BV16" s="46"/>
      <c r="BW16" s="46"/>
      <c r="BX16" s="46"/>
      <c r="BY16" s="46"/>
      <c r="BZ16" s="46"/>
      <c r="CA16" s="46"/>
      <c r="CB16" s="46"/>
      <c r="CC16" s="46"/>
      <c r="CD16" s="46"/>
      <c r="CE16" s="46"/>
      <c r="CF16" s="46"/>
      <c r="CG16" s="46"/>
      <c r="CH16" s="46"/>
      <c r="CI16" s="46"/>
      <c r="CJ16" s="46"/>
      <c r="CK16" s="46"/>
      <c r="CL16" s="46"/>
      <c r="CM16" s="46"/>
      <c r="CN16" s="46"/>
      <c r="CO16" s="46"/>
      <c r="CP16" s="46"/>
      <c r="CQ16" s="46"/>
      <c r="CR16" s="46"/>
      <c r="CS16" s="46"/>
      <c r="CT16" s="46"/>
      <c r="CU16" s="46"/>
      <c r="CV16" s="46"/>
      <c r="CW16" s="46"/>
      <c r="CX16" s="46"/>
      <c r="CY16" s="46"/>
      <c r="CZ16" s="46"/>
      <c r="DA16" s="46"/>
      <c r="DB16" s="46"/>
      <c r="DC16" s="46"/>
      <c r="DD16" s="46"/>
      <c r="DE16" s="46"/>
      <c r="DF16" s="46"/>
      <c r="DG16" s="46"/>
      <c r="DH16" s="46"/>
      <c r="DI16" s="46"/>
      <c r="DJ16" s="46"/>
      <c r="DK16" s="46"/>
      <c r="DL16" s="46"/>
      <c r="DM16" s="46"/>
      <c r="DN16" s="46"/>
      <c r="DO16" s="46"/>
      <c r="DP16" s="46"/>
      <c r="DQ16" s="46"/>
      <c r="DR16" s="46"/>
      <c r="DS16" s="46"/>
      <c r="DT16" s="46"/>
      <c r="DU16" s="46"/>
      <c r="DV16" s="46"/>
      <c r="DW16" s="46"/>
      <c r="DX16" s="46"/>
      <c r="DY16" s="46"/>
      <c r="DZ16" s="46"/>
      <c r="EA16" s="46"/>
      <c r="EB16" s="46"/>
      <c r="EC16" s="46"/>
      <c r="ED16" s="46"/>
      <c r="EE16" s="46"/>
      <c r="EF16" s="46"/>
      <c r="EG16" s="46"/>
      <c r="EH16" s="46"/>
      <c r="EI16" s="46"/>
      <c r="EJ16" s="46"/>
      <c r="EK16" s="46"/>
      <c r="EL16" s="46"/>
      <c r="EM16" s="46"/>
    </row>
    <row r="17" spans="1:143" ht="30" customHeight="1">
      <c r="A17" s="73" t="s">
        <v>136</v>
      </c>
      <c r="B17" s="270"/>
      <c r="C17" s="270"/>
      <c r="D17" s="270"/>
      <c r="E17" s="270"/>
      <c r="F17" s="44" t="s">
        <v>129</v>
      </c>
      <c r="G17" s="271" t="str">
        <f>_xlfn.LET(_xlpm.v,IFERROR(_xlfn.XLOOKUP($B$17,tblProjectInput[Project Name],tblProjectInput[Start Date],""),""),IF(_xlpm.v=0,"",_xlpm.v))</f>
        <v/>
      </c>
      <c r="H17" s="271"/>
      <c r="I17" s="74" t="s">
        <v>130</v>
      </c>
      <c r="J17" s="272" t="str">
        <f>_xlfn.LET(_xlpm.v,IFERROR(_xlfn.XLOOKUP($B$17,tblProjectInput[Project Name],tblProjectInput[Deadline],""),""),IF(_xlpm.v=0,"",_xlpm.v))</f>
        <v/>
      </c>
      <c r="K17" s="272"/>
      <c r="L17" s="75" t="s">
        <v>134</v>
      </c>
      <c r="M17" s="280" t="str">
        <f ca="1">_xlfn.LET(_xlpm.v,IFERROR(_xlfn.XLOOKUP($EG$1,$A$4:$A$13,$M$4:$M$13,""),""),IF(_xlpm.v=0,"",_xlpm.v))</f>
        <v/>
      </c>
      <c r="N17" s="280"/>
      <c r="O17" s="284">
        <v>7</v>
      </c>
      <c r="P17" s="285" t="s">
        <v>170</v>
      </c>
      <c r="Q17" s="285"/>
      <c r="R17" s="285"/>
      <c r="S17" s="285"/>
      <c r="T17" s="285"/>
      <c r="U17" s="285"/>
      <c r="V17" s="285"/>
      <c r="W17" s="46"/>
      <c r="X17" s="46"/>
      <c r="Y17" s="46"/>
      <c r="Z17" s="46"/>
      <c r="AA17" s="46"/>
      <c r="AB17" s="46"/>
      <c r="AC17" s="46"/>
      <c r="AD17" s="46"/>
      <c r="AE17" s="46"/>
      <c r="AF17" s="46"/>
      <c r="AG17" s="46"/>
      <c r="AH17" s="46"/>
      <c r="AI17" s="46"/>
      <c r="AJ17" s="46"/>
      <c r="AK17" s="46"/>
      <c r="AL17" s="46"/>
      <c r="AM17" s="46"/>
      <c r="AN17" s="46"/>
      <c r="AO17" s="46"/>
      <c r="AP17" s="46"/>
      <c r="AQ17" s="46"/>
      <c r="AR17" s="46"/>
      <c r="AS17" s="46"/>
      <c r="AT17" s="46"/>
      <c r="AU17" s="46"/>
      <c r="AV17" s="46"/>
      <c r="AW17" s="46"/>
      <c r="AX17" s="46"/>
      <c r="AY17" s="46"/>
      <c r="AZ17" s="46"/>
      <c r="BA17" s="46"/>
      <c r="BB17" s="46"/>
      <c r="BC17" s="46"/>
      <c r="BD17" s="46"/>
      <c r="BE17" s="46"/>
      <c r="BF17" s="46"/>
      <c r="BG17" s="46"/>
      <c r="BH17" s="46"/>
      <c r="BI17" s="46"/>
      <c r="BJ17" s="46"/>
      <c r="BK17" s="46"/>
      <c r="BL17" s="46"/>
      <c r="BM17" s="46"/>
      <c r="BN17" s="46"/>
      <c r="BO17" s="46"/>
      <c r="BP17" s="46"/>
      <c r="BQ17" s="46"/>
      <c r="BR17" s="46"/>
      <c r="BS17" s="46"/>
      <c r="BT17" s="46"/>
      <c r="BU17" s="46"/>
      <c r="BV17" s="46"/>
      <c r="BW17" s="46"/>
      <c r="BX17" s="46"/>
      <c r="BY17" s="46"/>
      <c r="BZ17" s="46"/>
      <c r="CA17" s="46"/>
      <c r="CB17" s="46"/>
      <c r="CC17" s="46"/>
      <c r="CD17" s="46"/>
      <c r="CE17" s="46"/>
      <c r="CF17" s="46"/>
      <c r="CG17" s="46"/>
      <c r="CH17" s="46"/>
      <c r="CI17" s="46"/>
      <c r="CJ17" s="46"/>
      <c r="CK17" s="46"/>
      <c r="CL17" s="46"/>
      <c r="CM17" s="46"/>
      <c r="CN17" s="46"/>
      <c r="CO17" s="46"/>
      <c r="CP17" s="46"/>
      <c r="CQ17" s="46"/>
      <c r="CR17" s="46"/>
      <c r="CS17" s="46"/>
      <c r="CT17" s="46"/>
      <c r="CU17" s="46"/>
      <c r="CV17" s="46"/>
      <c r="CW17" s="46"/>
      <c r="CX17" s="46"/>
      <c r="CY17" s="46"/>
      <c r="CZ17" s="46"/>
      <c r="DA17" s="46"/>
      <c r="DB17" s="46"/>
      <c r="DC17" s="46"/>
      <c r="DD17" s="46"/>
      <c r="DE17" s="46"/>
      <c r="DF17" s="46"/>
      <c r="DG17" s="46"/>
      <c r="DH17" s="46"/>
      <c r="DI17" s="46"/>
      <c r="DJ17" s="46"/>
      <c r="DK17" s="46"/>
      <c r="DL17" s="46"/>
      <c r="DM17" s="46"/>
      <c r="DN17" s="46"/>
      <c r="DO17" s="46"/>
      <c r="DP17" s="46"/>
      <c r="DQ17" s="46"/>
      <c r="DR17" s="46"/>
      <c r="DS17" s="46"/>
      <c r="DT17" s="46"/>
      <c r="DU17" s="46"/>
      <c r="DV17" s="46"/>
      <c r="DW17" s="46"/>
      <c r="DX17" s="46"/>
      <c r="DY17" s="46"/>
      <c r="DZ17" s="46"/>
      <c r="EA17" s="46"/>
      <c r="EB17" s="46"/>
      <c r="EC17" s="46"/>
      <c r="ED17" s="46"/>
      <c r="EE17" s="46"/>
      <c r="EF17" s="46"/>
      <c r="EG17" s="46"/>
      <c r="EH17" s="46"/>
      <c r="EI17" s="46"/>
      <c r="EJ17" s="46"/>
      <c r="EK17" s="46"/>
      <c r="EL17" s="46"/>
      <c r="EM17" s="46"/>
    </row>
    <row r="18" spans="1:143" ht="24" customHeight="1">
      <c r="A18" s="44" t="s">
        <v>128</v>
      </c>
      <c r="B18" s="72" t="str">
        <f>_xlfn.LET(_xlpm.v,IFERROR(_xlfn.XLOOKUP($B$17,tblProjectInput[Project Name],tblProjectInput[Priority],""),""),IF(_xlpm.v=0,"",_xlpm.v))</f>
        <v/>
      </c>
      <c r="C18" s="44" t="s">
        <v>69</v>
      </c>
      <c r="D18" s="273" t="str">
        <f>_xlfn.LET(_xlpm.v,IFERROR(_xlfn.XLOOKUP($B$17,tblProjectInput[Project Name],tblProjectInput[Status],""),""),IF(_xlpm.v=0,"",_xlpm.v))</f>
        <v/>
      </c>
      <c r="E18" s="273"/>
      <c r="F18" s="274" t="s">
        <v>131</v>
      </c>
      <c r="G18" s="274"/>
      <c r="H18" s="76" t="str">
        <f>IFERROR(_xlfn.XLOOKUP($EG$1,$A$4:$A$13,$H$4:$H$13,""),"")</f>
        <v/>
      </c>
      <c r="I18" s="60" t="s">
        <v>135</v>
      </c>
      <c r="J18" s="246" t="str">
        <f ca="1">IFERROR(_xlfn.XLOOKUP($EG$1,$A$4:$A$13,$N$4:$N$13,""),"")</f>
        <v/>
      </c>
      <c r="K18" s="247"/>
      <c r="L18" s="247"/>
      <c r="M18" s="247"/>
      <c r="N18" s="248"/>
      <c r="O18" s="287"/>
      <c r="P18" s="285"/>
      <c r="Q18" s="285"/>
      <c r="R18" s="285"/>
      <c r="S18" s="285"/>
      <c r="T18" s="285"/>
      <c r="U18" s="285"/>
      <c r="V18" s="285"/>
      <c r="W18" s="46"/>
      <c r="X18" s="46"/>
      <c r="Y18" s="46"/>
      <c r="Z18" s="46"/>
      <c r="AA18" s="46"/>
      <c r="AB18" s="46"/>
      <c r="AC18" s="46"/>
      <c r="AD18" s="46"/>
      <c r="AE18" s="46"/>
      <c r="AF18" s="46"/>
      <c r="AG18" s="46"/>
      <c r="AH18" s="46"/>
      <c r="AI18" s="46"/>
      <c r="AJ18" s="46"/>
      <c r="AK18" s="46"/>
      <c r="AL18" s="46"/>
      <c r="AM18" s="46"/>
      <c r="AN18" s="46"/>
      <c r="AO18" s="46"/>
      <c r="AP18" s="46"/>
      <c r="AQ18" s="46"/>
      <c r="AR18" s="46"/>
      <c r="AS18" s="46"/>
      <c r="AT18" s="46"/>
      <c r="AU18" s="46"/>
      <c r="AV18" s="46"/>
      <c r="AW18" s="46"/>
      <c r="AX18" s="46"/>
      <c r="AY18" s="46"/>
      <c r="AZ18" s="46"/>
      <c r="BA18" s="46"/>
      <c r="BB18" s="46"/>
      <c r="BC18" s="46"/>
      <c r="BD18" s="46"/>
      <c r="BE18" s="46"/>
      <c r="BF18" s="46"/>
      <c r="BG18" s="46"/>
      <c r="BH18" s="46"/>
      <c r="BI18" s="46"/>
      <c r="BJ18" s="46"/>
      <c r="BK18" s="46"/>
      <c r="BL18" s="46"/>
      <c r="BM18" s="46"/>
      <c r="BN18" s="46"/>
      <c r="BO18" s="46"/>
      <c r="BP18" s="46"/>
      <c r="BQ18" s="46"/>
      <c r="BR18" s="46"/>
      <c r="BS18" s="46"/>
      <c r="BT18" s="46"/>
      <c r="BU18" s="46"/>
      <c r="BV18" s="46"/>
      <c r="BW18" s="46"/>
      <c r="BX18" s="46"/>
      <c r="BY18" s="46"/>
      <c r="BZ18" s="46"/>
      <c r="CA18" s="46"/>
      <c r="CB18" s="46"/>
      <c r="CC18" s="46"/>
      <c r="CD18" s="46"/>
      <c r="CE18" s="46"/>
      <c r="CF18" s="46"/>
      <c r="CG18" s="46"/>
      <c r="CH18" s="46"/>
      <c r="CI18" s="46"/>
      <c r="CJ18" s="46"/>
      <c r="CK18" s="46"/>
      <c r="CL18" s="46"/>
      <c r="CM18" s="46"/>
      <c r="CN18" s="46"/>
      <c r="CO18" s="46"/>
      <c r="CP18" s="46"/>
      <c r="CQ18" s="46"/>
      <c r="CR18" s="46"/>
      <c r="CS18" s="46"/>
      <c r="CT18" s="46"/>
      <c r="CU18" s="46"/>
      <c r="CV18" s="46"/>
      <c r="CW18" s="46"/>
      <c r="CX18" s="46"/>
      <c r="CY18" s="46"/>
      <c r="CZ18" s="46"/>
      <c r="DA18" s="46"/>
      <c r="DB18" s="46"/>
      <c r="DC18" s="46"/>
      <c r="DD18" s="46"/>
      <c r="DE18" s="46"/>
      <c r="DF18" s="46"/>
      <c r="DG18" s="46"/>
      <c r="DH18" s="46"/>
      <c r="DI18" s="46"/>
      <c r="DJ18" s="46"/>
      <c r="DK18" s="46"/>
      <c r="DL18" s="46"/>
      <c r="DM18" s="46"/>
      <c r="DN18" s="46"/>
      <c r="DO18" s="46"/>
      <c r="DP18" s="46"/>
      <c r="DQ18" s="46"/>
      <c r="DR18" s="46"/>
      <c r="DS18" s="46"/>
      <c r="DT18" s="46"/>
      <c r="DU18" s="46"/>
      <c r="DV18" s="46"/>
      <c r="DW18" s="46"/>
      <c r="DX18" s="46"/>
      <c r="DY18" s="46"/>
      <c r="DZ18" s="46"/>
      <c r="EA18" s="46"/>
      <c r="EB18" s="46"/>
      <c r="EC18" s="46"/>
      <c r="ED18" s="46"/>
      <c r="EE18" s="46"/>
      <c r="EF18" s="46"/>
      <c r="EG18" s="46"/>
      <c r="EH18" s="46"/>
      <c r="EI18" s="46"/>
      <c r="EJ18" s="46"/>
      <c r="EK18" s="46"/>
      <c r="EL18" s="46"/>
      <c r="EM18" s="46"/>
    </row>
    <row r="19" spans="1:143" ht="18" customHeight="1">
      <c r="A19" s="256" t="s">
        <v>175</v>
      </c>
      <c r="B19" s="256"/>
      <c r="C19" s="256"/>
      <c r="D19" s="256"/>
      <c r="E19" s="256"/>
      <c r="F19" s="256"/>
      <c r="G19" s="256"/>
      <c r="H19" s="256"/>
      <c r="I19" s="257" t="s">
        <v>176</v>
      </c>
      <c r="J19" s="258"/>
      <c r="K19" s="258"/>
      <c r="L19" s="258"/>
      <c r="M19" s="258"/>
      <c r="N19" s="258"/>
      <c r="O19" s="46"/>
      <c r="P19" s="46"/>
      <c r="Q19" s="46"/>
      <c r="R19" s="46"/>
      <c r="S19" s="46"/>
      <c r="T19" s="46"/>
      <c r="U19" s="46"/>
      <c r="V19" s="46"/>
      <c r="W19" s="46"/>
      <c r="X19" s="46"/>
      <c r="Y19" s="46"/>
      <c r="Z19" s="46"/>
      <c r="AA19" s="46"/>
      <c r="AB19" s="46"/>
      <c r="AC19" s="46"/>
      <c r="AD19" s="46"/>
      <c r="AE19" s="46"/>
      <c r="AF19" s="46"/>
      <c r="AG19" s="46"/>
      <c r="AH19" s="46"/>
      <c r="AI19" s="46"/>
      <c r="AJ19" s="46"/>
      <c r="AK19" s="46"/>
      <c r="AL19" s="46"/>
      <c r="AM19" s="46"/>
      <c r="AN19" s="46"/>
      <c r="AO19" s="46"/>
      <c r="AP19" s="46"/>
      <c r="AQ19" s="46"/>
      <c r="AR19" s="46"/>
      <c r="AS19" s="46"/>
      <c r="AT19" s="46"/>
      <c r="AU19" s="46"/>
      <c r="AV19" s="46"/>
      <c r="AW19" s="46"/>
      <c r="AX19" s="46"/>
      <c r="AY19" s="46"/>
      <c r="AZ19" s="46"/>
      <c r="BA19" s="46"/>
      <c r="BB19" s="46"/>
      <c r="BC19" s="46"/>
      <c r="BD19" s="46"/>
      <c r="BE19" s="46"/>
      <c r="BF19" s="46"/>
      <c r="BG19" s="46"/>
      <c r="BH19" s="46"/>
      <c r="BI19" s="46"/>
      <c r="BJ19" s="46"/>
      <c r="BK19" s="46"/>
      <c r="BL19" s="46"/>
      <c r="BM19" s="46"/>
      <c r="BN19" s="46"/>
      <c r="BO19" s="46"/>
      <c r="BP19" s="46"/>
      <c r="BQ19" s="46"/>
      <c r="BR19" s="46"/>
      <c r="BS19" s="46"/>
      <c r="BT19" s="46"/>
      <c r="BU19" s="46"/>
      <c r="BV19" s="46"/>
      <c r="BW19" s="46"/>
      <c r="BX19" s="46"/>
      <c r="BY19" s="46"/>
      <c r="BZ19" s="46"/>
      <c r="CA19" s="46"/>
      <c r="CB19" s="46"/>
      <c r="CC19" s="46"/>
      <c r="CD19" s="46"/>
      <c r="CE19" s="46"/>
      <c r="CF19" s="46"/>
      <c r="CG19" s="46"/>
      <c r="CH19" s="46"/>
      <c r="CI19" s="46"/>
      <c r="CJ19" s="46"/>
      <c r="CK19" s="46"/>
      <c r="CL19" s="46"/>
      <c r="CM19" s="46"/>
      <c r="CN19" s="46"/>
      <c r="CO19" s="46"/>
      <c r="CP19" s="46"/>
      <c r="CQ19" s="46"/>
      <c r="CR19" s="46"/>
      <c r="CS19" s="46"/>
      <c r="CT19" s="46"/>
      <c r="CU19" s="46"/>
      <c r="CV19" s="46"/>
      <c r="CW19" s="46"/>
      <c r="CX19" s="46"/>
      <c r="CY19" s="46"/>
      <c r="CZ19" s="46"/>
      <c r="DA19" s="46"/>
      <c r="DB19" s="46"/>
      <c r="DC19" s="46"/>
      <c r="DD19" s="46"/>
      <c r="DE19" s="46"/>
      <c r="DF19" s="46"/>
      <c r="DG19" s="46"/>
      <c r="DH19" s="46"/>
      <c r="DI19" s="46"/>
      <c r="DJ19" s="46"/>
      <c r="DK19" s="46"/>
      <c r="DL19" s="46"/>
      <c r="DM19" s="46"/>
      <c r="DN19" s="46"/>
      <c r="DO19" s="46"/>
      <c r="DP19" s="46"/>
      <c r="DQ19" s="46"/>
      <c r="DR19" s="46"/>
      <c r="DS19" s="46"/>
      <c r="DT19" s="46"/>
      <c r="DU19" s="46"/>
      <c r="DV19" s="46"/>
      <c r="DW19" s="46"/>
      <c r="DX19" s="46"/>
      <c r="DY19" s="46"/>
      <c r="DZ19" s="46"/>
      <c r="EA19" s="46"/>
      <c r="EB19" s="46"/>
      <c r="EC19" s="46"/>
      <c r="ED19" s="46"/>
      <c r="EE19" s="46"/>
      <c r="EF19" s="46"/>
      <c r="EG19" s="46"/>
      <c r="EH19" s="46"/>
      <c r="EI19" s="46"/>
      <c r="EJ19" s="46"/>
      <c r="EK19" s="46"/>
      <c r="EL19" s="46"/>
      <c r="EM19" s="46"/>
    </row>
    <row r="20" spans="1:143" ht="24" customHeight="1">
      <c r="A20" s="60" t="s">
        <v>137</v>
      </c>
      <c r="B20" s="249" t="str">
        <f>$EG$2</f>
        <v/>
      </c>
      <c r="C20" s="250"/>
      <c r="D20" s="251" t="s">
        <v>142</v>
      </c>
      <c r="E20" s="252"/>
      <c r="F20" s="253" t="str" cm="1">
        <f t="array" ref="F20">IF(OR($EG$1="",$EG$2=""),"",_xlfn.LET(_xlpm.v,IFERROR(_xlfn.XLOOKUP(1,(tblProjectSteps[Project ID]=$EG$1)*(tblProjectSteps[Step '#]=$EG$2),tblProjectSteps[Progress %],""),""),IF(_xlpm.v=0,"",_xlpm.v)))</f>
        <v/>
      </c>
      <c r="G20" s="254"/>
      <c r="H20" s="255"/>
      <c r="I20" s="73" t="s">
        <v>145</v>
      </c>
      <c r="J20" s="249" t="str">
        <f>$EM$1</f>
        <v/>
      </c>
      <c r="K20" s="250"/>
      <c r="L20" s="250"/>
      <c r="M20" s="250"/>
      <c r="N20" s="265"/>
      <c r="O20" s="46"/>
      <c r="P20" s="46"/>
      <c r="Q20" s="46"/>
      <c r="R20" s="46"/>
      <c r="S20" s="46"/>
      <c r="T20" s="46"/>
      <c r="U20" s="46"/>
      <c r="V20" s="46"/>
      <c r="W20" s="46"/>
      <c r="X20" s="46"/>
      <c r="Y20" s="46"/>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c r="BV20" s="46"/>
      <c r="BW20" s="46"/>
      <c r="BX20" s="46"/>
      <c r="BY20" s="46"/>
      <c r="BZ20" s="46"/>
      <c r="CA20" s="46"/>
      <c r="CB20" s="46"/>
      <c r="CC20" s="46"/>
      <c r="CD20" s="46"/>
      <c r="CE20" s="46"/>
      <c r="CF20" s="46"/>
      <c r="CG20" s="46"/>
      <c r="CH20" s="46"/>
      <c r="CI20" s="46"/>
      <c r="CJ20" s="46"/>
      <c r="CK20" s="46"/>
      <c r="CL20" s="46"/>
      <c r="CM20" s="46"/>
      <c r="CN20" s="46"/>
      <c r="CO20" s="46"/>
      <c r="CP20" s="46"/>
      <c r="CQ20" s="46"/>
      <c r="CR20" s="46"/>
      <c r="CS20" s="46"/>
      <c r="CT20" s="46"/>
      <c r="CU20" s="46"/>
      <c r="CV20" s="46"/>
      <c r="CW20" s="46"/>
      <c r="CX20" s="46"/>
      <c r="CY20" s="46"/>
      <c r="CZ20" s="46"/>
      <c r="DA20" s="46"/>
      <c r="DB20" s="46"/>
      <c r="DC20" s="46"/>
      <c r="DD20" s="46"/>
      <c r="DE20" s="46"/>
      <c r="DF20" s="46"/>
      <c r="DG20" s="46"/>
      <c r="DH20" s="46"/>
      <c r="DI20" s="46"/>
      <c r="DJ20" s="46"/>
      <c r="DK20" s="46"/>
      <c r="DL20" s="46"/>
      <c r="DM20" s="46"/>
      <c r="DN20" s="46"/>
      <c r="DO20" s="46"/>
      <c r="DP20" s="46"/>
      <c r="DQ20" s="46"/>
      <c r="DR20" s="46"/>
      <c r="DS20" s="46"/>
      <c r="DT20" s="46"/>
      <c r="DU20" s="46"/>
      <c r="DV20" s="46"/>
      <c r="DW20" s="46"/>
      <c r="DX20" s="46"/>
      <c r="DY20" s="46"/>
      <c r="DZ20" s="46"/>
      <c r="EA20" s="46"/>
      <c r="EB20" s="46"/>
      <c r="EC20" s="46"/>
      <c r="ED20" s="46"/>
      <c r="EE20" s="46"/>
      <c r="EF20" s="46"/>
      <c r="EG20" s="46"/>
      <c r="EH20" s="46"/>
      <c r="EI20" s="46"/>
      <c r="EJ20" s="46"/>
      <c r="EK20" s="46"/>
      <c r="EL20" s="46"/>
      <c r="EM20" s="46"/>
    </row>
    <row r="21" spans="1:143" ht="24" customHeight="1">
      <c r="A21" s="77" t="s">
        <v>139</v>
      </c>
      <c r="B21" s="264" t="str" cm="1">
        <f t="array" ref="B21">IF(OR($EG$1="",$EG$2=""),"",_xlfn.LET(_xlpm.v,IFERROR(_xlfn.XLOOKUP(1,(tblProjectSteps[Project ID]=$EG$1)*(tblProjectSteps[Step '#]=$EG$2),tblProjectSteps[Step / Action],""),""),IF(_xlpm.v=0,"",_xlpm.v)))</f>
        <v/>
      </c>
      <c r="C21" s="264"/>
      <c r="D21" s="264"/>
      <c r="E21" s="264"/>
      <c r="F21" s="264"/>
      <c r="G21" s="264"/>
      <c r="H21" s="264"/>
      <c r="I21" s="78" t="s">
        <v>146</v>
      </c>
      <c r="J21" s="249" t="str">
        <f>$EM$2</f>
        <v/>
      </c>
      <c r="K21" s="250"/>
      <c r="L21" s="250"/>
      <c r="M21" s="250"/>
      <c r="N21" s="265"/>
      <c r="O21" s="46"/>
      <c r="P21" s="46"/>
      <c r="Q21" s="46"/>
      <c r="R21" s="46"/>
      <c r="S21" s="46"/>
      <c r="T21" s="46"/>
      <c r="U21" s="46"/>
      <c r="V21" s="46"/>
      <c r="W21" s="46"/>
      <c r="X21" s="46"/>
      <c r="Y21" s="46"/>
      <c r="Z21" s="46"/>
      <c r="AA21" s="46"/>
      <c r="AB21" s="46"/>
      <c r="AC21" s="46"/>
      <c r="AD21" s="46"/>
      <c r="AE21" s="46"/>
      <c r="AF21" s="46"/>
      <c r="AG21" s="46"/>
      <c r="AH21" s="46"/>
      <c r="AI21" s="46"/>
      <c r="AJ21" s="46"/>
      <c r="AK21" s="46"/>
      <c r="AL21" s="46"/>
      <c r="AM21" s="46"/>
      <c r="AN21" s="46"/>
      <c r="AO21" s="46"/>
      <c r="AP21" s="46"/>
      <c r="AQ21" s="46"/>
      <c r="AR21" s="46"/>
      <c r="AS21" s="46"/>
      <c r="AT21" s="46"/>
      <c r="AU21" s="46"/>
      <c r="AV21" s="46"/>
      <c r="AW21" s="46"/>
      <c r="AX21" s="46"/>
      <c r="AY21" s="46"/>
      <c r="AZ21" s="46"/>
      <c r="BA21" s="46"/>
      <c r="BB21" s="46"/>
      <c r="BC21" s="46"/>
      <c r="BD21" s="46"/>
      <c r="BE21" s="46"/>
      <c r="BF21" s="46"/>
      <c r="BG21" s="46"/>
      <c r="BH21" s="46"/>
      <c r="BI21" s="46"/>
      <c r="BJ21" s="46"/>
      <c r="BK21" s="46"/>
      <c r="BL21" s="46"/>
      <c r="BM21" s="46"/>
      <c r="BN21" s="46"/>
      <c r="BO21" s="46"/>
      <c r="BP21" s="46"/>
      <c r="BQ21" s="46"/>
      <c r="BR21" s="46"/>
      <c r="BS21" s="46"/>
      <c r="BT21" s="46"/>
      <c r="BU21" s="46"/>
      <c r="BV21" s="46"/>
      <c r="BW21" s="46"/>
      <c r="BX21" s="46"/>
      <c r="BY21" s="46"/>
      <c r="BZ21" s="46"/>
      <c r="CA21" s="46"/>
      <c r="CB21" s="46"/>
      <c r="CC21" s="46"/>
      <c r="CD21" s="46"/>
      <c r="CE21" s="46"/>
      <c r="CF21" s="46"/>
      <c r="CG21" s="46"/>
      <c r="CH21" s="46"/>
      <c r="CI21" s="46"/>
      <c r="CJ21" s="46"/>
      <c r="CK21" s="46"/>
      <c r="CL21" s="46"/>
      <c r="CM21" s="46"/>
      <c r="CN21" s="46"/>
      <c r="CO21" s="46"/>
      <c r="CP21" s="46"/>
      <c r="CQ21" s="46"/>
      <c r="CR21" s="46"/>
      <c r="CS21" s="46"/>
      <c r="CT21" s="46"/>
      <c r="CU21" s="46"/>
      <c r="CV21" s="46"/>
      <c r="CW21" s="46"/>
      <c r="CX21" s="46"/>
      <c r="CY21" s="46"/>
      <c r="CZ21" s="46"/>
      <c r="DA21" s="46"/>
      <c r="DB21" s="46"/>
      <c r="DC21" s="46"/>
      <c r="DD21" s="46"/>
      <c r="DE21" s="46"/>
      <c r="DF21" s="46"/>
      <c r="DG21" s="46"/>
      <c r="DH21" s="46"/>
      <c r="DI21" s="46"/>
      <c r="DJ21" s="46"/>
      <c r="DK21" s="46"/>
      <c r="DL21" s="46"/>
      <c r="DM21" s="46"/>
      <c r="DN21" s="46"/>
      <c r="DO21" s="46"/>
      <c r="DP21" s="46"/>
      <c r="DQ21" s="46"/>
      <c r="DR21" s="46"/>
      <c r="DS21" s="46"/>
      <c r="DT21" s="46"/>
      <c r="DU21" s="46"/>
      <c r="DV21" s="46"/>
      <c r="DW21" s="46"/>
      <c r="DX21" s="46"/>
      <c r="DY21" s="46"/>
      <c r="DZ21" s="46"/>
      <c r="EA21" s="46"/>
      <c r="EB21" s="46"/>
      <c r="EC21" s="46"/>
      <c r="ED21" s="46"/>
      <c r="EE21" s="46"/>
      <c r="EF21" s="46"/>
      <c r="EG21" s="46"/>
      <c r="EH21" s="46"/>
      <c r="EI21" s="46"/>
      <c r="EJ21" s="46"/>
      <c r="EK21" s="46"/>
      <c r="EL21" s="46"/>
      <c r="EM21" s="46"/>
    </row>
    <row r="22" spans="1:143" ht="24" customHeight="1">
      <c r="A22" s="79" t="s">
        <v>144</v>
      </c>
      <c r="B22" s="275" t="str" cm="1">
        <f t="array" ref="B22">IF(OR($EG$1="",$EG$2=""),"",_xlfn.LET(_xlpm.v,IFERROR(_xlfn.XLOOKUP(1,(tblProjectSteps[Project ID]=$EG$1)*(tblProjectSteps[Step '#]=$EG$2),tblProjectSteps[Notes],""),""),IF(_xlpm.v=0,"",_xlpm.v)))</f>
        <v/>
      </c>
      <c r="C22" s="275"/>
      <c r="D22" s="75" t="s">
        <v>140</v>
      </c>
      <c r="E22" s="80" t="str" cm="1">
        <f t="array" ref="E22">IF(OR($EG$1="",$EG$2=""),"",_xlfn.LET(_xlpm.v,IFERROR(_xlfn.XLOOKUP(1,(tblProjectSteps[Project ID]=$EG$1)*(tblProjectSteps[Step '#]=$EG$2),tblProjectSteps[Planned Start],""),""),IF(_xlpm.v=0,"",_xlpm.v)))</f>
        <v/>
      </c>
      <c r="F22" s="81" t="s">
        <v>141</v>
      </c>
      <c r="G22" s="276" t="str" cm="1">
        <f t="array" ref="G22">IF(OR($EG$1="",$EG$2=""),"",_xlfn.LET(_xlpm.v,IFERROR(_xlfn.XLOOKUP(1,(tblProjectSteps[Project ID]=$EG$1)*(tblProjectSteps[Step '#]=$EG$2),tblProjectSteps[Planned End],""),""),IF(_xlpm.v=0,"",_xlpm.v)))</f>
        <v/>
      </c>
      <c r="H22" s="276"/>
      <c r="I22" s="82" t="s">
        <v>147</v>
      </c>
      <c r="J22" s="277" t="str">
        <f>$EM$4</f>
        <v/>
      </c>
      <c r="K22" s="278"/>
      <c r="L22" s="278"/>
      <c r="M22" s="278"/>
      <c r="N22" s="279"/>
      <c r="O22" s="46"/>
      <c r="P22" s="46"/>
      <c r="Q22" s="46"/>
      <c r="R22" s="46"/>
      <c r="S22" s="46"/>
      <c r="T22" s="46"/>
      <c r="U22" s="46"/>
      <c r="V22" s="46"/>
      <c r="W22" s="46"/>
      <c r="X22" s="46"/>
      <c r="Y22" s="46"/>
      <c r="Z22" s="46"/>
      <c r="AA22" s="46"/>
      <c r="AB22" s="46"/>
      <c r="AC22" s="46"/>
      <c r="AD22" s="46"/>
      <c r="AE22" s="46"/>
      <c r="AF22" s="46"/>
      <c r="AG22" s="46"/>
      <c r="AH22" s="46"/>
      <c r="AI22" s="46"/>
      <c r="AJ22" s="46"/>
      <c r="AK22" s="46"/>
      <c r="AL22" s="46"/>
      <c r="AM22" s="46"/>
      <c r="AN22" s="46"/>
      <c r="AO22" s="46"/>
      <c r="AP22" s="46"/>
      <c r="AQ22" s="46"/>
      <c r="AR22" s="46"/>
      <c r="AS22" s="46"/>
      <c r="AT22" s="46"/>
      <c r="AU22" s="46"/>
      <c r="AV22" s="46"/>
      <c r="AW22" s="46"/>
      <c r="AX22" s="46"/>
      <c r="AY22" s="46"/>
      <c r="AZ22" s="46"/>
      <c r="BA22" s="46"/>
      <c r="BB22" s="46"/>
      <c r="BC22" s="46"/>
      <c r="BD22" s="46"/>
      <c r="BE22" s="46"/>
      <c r="BF22" s="46"/>
      <c r="BG22" s="46"/>
      <c r="BH22" s="46"/>
      <c r="BI22" s="46"/>
      <c r="BJ22" s="46"/>
      <c r="BK22" s="46"/>
      <c r="BL22" s="46"/>
      <c r="BM22" s="46"/>
      <c r="BN22" s="46"/>
      <c r="BO22" s="46"/>
      <c r="BP22" s="46"/>
      <c r="BQ22" s="46"/>
      <c r="BR22" s="46"/>
      <c r="BS22" s="46"/>
      <c r="BT22" s="46"/>
      <c r="BU22" s="46"/>
      <c r="BV22" s="46"/>
      <c r="BW22" s="46"/>
      <c r="BX22" s="46"/>
      <c r="BY22" s="46"/>
      <c r="BZ22" s="46"/>
      <c r="CA22" s="46"/>
      <c r="CB22" s="46"/>
      <c r="CC22" s="46"/>
      <c r="CD22" s="46"/>
      <c r="CE22" s="46"/>
      <c r="CF22" s="46"/>
      <c r="CG22" s="46"/>
      <c r="CH22" s="46"/>
      <c r="CI22" s="46"/>
      <c r="CJ22" s="46"/>
      <c r="CK22" s="46"/>
      <c r="CL22" s="46"/>
      <c r="CM22" s="46"/>
      <c r="CN22" s="46"/>
      <c r="CO22" s="46"/>
      <c r="CP22" s="46"/>
      <c r="CQ22" s="46"/>
      <c r="CR22" s="46"/>
      <c r="CS22" s="46"/>
      <c r="CT22" s="46"/>
      <c r="CU22" s="46"/>
      <c r="CV22" s="46"/>
      <c r="CW22" s="46"/>
      <c r="CX22" s="46"/>
      <c r="CY22" s="46"/>
      <c r="CZ22" s="46"/>
      <c r="DA22" s="46"/>
      <c r="DB22" s="46"/>
      <c r="DC22" s="46"/>
      <c r="DD22" s="46"/>
      <c r="DE22" s="46"/>
      <c r="DF22" s="46"/>
      <c r="DG22" s="46"/>
      <c r="DH22" s="46"/>
      <c r="DI22" s="46"/>
      <c r="DJ22" s="46"/>
      <c r="DK22" s="46"/>
      <c r="DL22" s="46"/>
      <c r="DM22" s="46"/>
      <c r="DN22" s="46"/>
      <c r="DO22" s="46"/>
      <c r="DP22" s="46"/>
      <c r="DQ22" s="46"/>
      <c r="DR22" s="46"/>
      <c r="DS22" s="46"/>
      <c r="DT22" s="46"/>
      <c r="DU22" s="46"/>
      <c r="DV22" s="46"/>
      <c r="DW22" s="46"/>
      <c r="DX22" s="46"/>
      <c r="DY22" s="46"/>
      <c r="DZ22" s="46"/>
      <c r="EA22" s="46"/>
      <c r="EB22" s="46"/>
      <c r="EC22" s="46"/>
      <c r="ED22" s="46"/>
      <c r="EE22" s="46"/>
      <c r="EF22" s="46"/>
      <c r="EG22" s="46"/>
      <c r="EH22" s="46"/>
      <c r="EI22" s="46"/>
      <c r="EJ22" s="46"/>
      <c r="EK22" s="46"/>
      <c r="EL22" s="46"/>
      <c r="EM22" s="46"/>
    </row>
    <row r="23" spans="1:143" ht="18" customHeight="1">
      <c r="A23" s="56"/>
      <c r="B23" s="56"/>
      <c r="C23" s="56"/>
      <c r="D23" s="56"/>
      <c r="E23" s="56"/>
      <c r="F23" s="56"/>
      <c r="G23" s="56"/>
      <c r="H23" s="56"/>
      <c r="I23" s="56"/>
      <c r="J23" s="56"/>
      <c r="K23" s="56"/>
      <c r="L23" s="56"/>
      <c r="M23" s="56"/>
      <c r="N23" s="56"/>
      <c r="O23" s="46"/>
      <c r="P23" s="46"/>
      <c r="Q23" s="46"/>
      <c r="R23" s="46"/>
      <c r="S23" s="46"/>
      <c r="T23" s="46"/>
      <c r="U23" s="46"/>
      <c r="V23" s="46"/>
      <c r="W23" s="46"/>
      <c r="X23" s="46"/>
      <c r="Y23" s="46"/>
      <c r="Z23" s="46"/>
      <c r="AA23" s="46"/>
      <c r="AB23" s="46"/>
      <c r="AC23" s="46"/>
      <c r="AD23" s="46"/>
      <c r="AE23" s="46"/>
      <c r="AF23" s="46"/>
      <c r="AG23" s="46"/>
      <c r="AH23" s="46"/>
      <c r="AI23" s="46"/>
      <c r="AJ23" s="46"/>
      <c r="AK23" s="46"/>
      <c r="AL23" s="46"/>
      <c r="AM23" s="46"/>
      <c r="AN23" s="46"/>
      <c r="AO23" s="46"/>
      <c r="AP23" s="46"/>
      <c r="AQ23" s="46"/>
      <c r="AR23" s="46"/>
      <c r="AS23" s="46"/>
      <c r="AT23" s="46"/>
      <c r="AU23" s="46"/>
      <c r="AV23" s="46"/>
      <c r="AW23" s="46"/>
      <c r="AX23" s="46"/>
      <c r="AY23" s="46"/>
      <c r="AZ23" s="46"/>
      <c r="BA23" s="46"/>
      <c r="BB23" s="46"/>
      <c r="BC23" s="46"/>
      <c r="BD23" s="46"/>
      <c r="BE23" s="46"/>
      <c r="BF23" s="46"/>
      <c r="BG23" s="46"/>
      <c r="BH23" s="46"/>
      <c r="BI23" s="46"/>
      <c r="BJ23" s="46"/>
      <c r="BK23" s="46"/>
      <c r="BL23" s="46"/>
      <c r="BM23" s="46"/>
      <c r="BN23" s="46"/>
      <c r="BO23" s="46"/>
      <c r="BP23" s="46"/>
      <c r="BQ23" s="46"/>
      <c r="BR23" s="46"/>
      <c r="BS23" s="46"/>
      <c r="BT23" s="46"/>
      <c r="BU23" s="46"/>
      <c r="BV23" s="46"/>
      <c r="BW23" s="46"/>
      <c r="BX23" s="46"/>
      <c r="BY23" s="46"/>
      <c r="BZ23" s="46"/>
      <c r="CA23" s="46"/>
      <c r="CB23" s="46"/>
      <c r="CC23" s="46"/>
      <c r="CD23" s="46"/>
      <c r="CE23" s="46"/>
      <c r="CF23" s="46"/>
      <c r="CG23" s="46"/>
      <c r="CH23" s="46"/>
      <c r="CI23" s="46"/>
      <c r="CJ23" s="46"/>
      <c r="CK23" s="46"/>
      <c r="CL23" s="46"/>
      <c r="CM23" s="46"/>
      <c r="CN23" s="46"/>
      <c r="CO23" s="46"/>
      <c r="CP23" s="46"/>
      <c r="CQ23" s="46"/>
      <c r="CR23" s="46"/>
      <c r="CS23" s="46"/>
      <c r="CT23" s="46"/>
      <c r="CU23" s="46"/>
      <c r="CV23" s="46"/>
      <c r="CW23" s="46"/>
      <c r="CX23" s="46"/>
      <c r="CY23" s="46"/>
      <c r="CZ23" s="46"/>
      <c r="DA23" s="46"/>
      <c r="DB23" s="46"/>
      <c r="DC23" s="46"/>
      <c r="DD23" s="46"/>
      <c r="DE23" s="46"/>
      <c r="DF23" s="46"/>
      <c r="DG23" s="46"/>
      <c r="DH23" s="46"/>
      <c r="DI23" s="46"/>
      <c r="DJ23" s="46"/>
      <c r="DK23" s="46"/>
      <c r="DL23" s="46"/>
      <c r="DM23" s="46"/>
      <c r="DN23" s="46"/>
      <c r="DO23" s="46"/>
      <c r="DP23" s="46"/>
      <c r="DQ23" s="46"/>
      <c r="DR23" s="46"/>
      <c r="DS23" s="46"/>
      <c r="DT23" s="46"/>
      <c r="DU23" s="46"/>
      <c r="DV23" s="46"/>
      <c r="DW23" s="46"/>
      <c r="DX23" s="46"/>
      <c r="DY23" s="46"/>
      <c r="DZ23" s="46"/>
      <c r="EA23" s="46"/>
      <c r="EB23" s="46"/>
      <c r="EC23" s="46"/>
      <c r="ED23" s="46"/>
      <c r="EE23" s="46"/>
      <c r="EF23" s="46"/>
      <c r="EG23" s="46"/>
      <c r="EH23" s="46"/>
      <c r="EI23" s="46"/>
      <c r="EJ23" s="46"/>
      <c r="EK23" s="46"/>
      <c r="EL23" s="46"/>
      <c r="EM23" s="46"/>
    </row>
    <row r="24" spans="1:143" ht="18" customHeight="1">
      <c r="A24" s="56"/>
      <c r="B24" s="56"/>
      <c r="C24" s="56"/>
      <c r="D24" s="56"/>
      <c r="E24" s="56"/>
      <c r="F24" s="56"/>
      <c r="G24" s="56"/>
      <c r="H24" s="56"/>
      <c r="I24" s="56"/>
      <c r="J24" s="56"/>
      <c r="K24" s="56"/>
      <c r="L24" s="56"/>
      <c r="M24" s="56"/>
      <c r="N24" s="56"/>
      <c r="O24" s="46"/>
      <c r="P24" s="46"/>
      <c r="Q24" s="46"/>
      <c r="R24" s="46"/>
      <c r="S24" s="46"/>
      <c r="T24" s="46"/>
      <c r="U24" s="46"/>
      <c r="V24" s="46"/>
      <c r="W24" s="46"/>
      <c r="X24" s="46"/>
      <c r="Y24" s="46"/>
      <c r="Z24" s="46"/>
      <c r="AA24" s="46"/>
      <c r="AB24" s="46"/>
      <c r="AC24" s="46"/>
      <c r="AD24" s="46"/>
      <c r="AE24" s="46"/>
      <c r="AF24" s="46"/>
      <c r="AG24" s="46"/>
      <c r="AH24" s="46"/>
      <c r="AI24" s="46"/>
      <c r="AJ24" s="46"/>
      <c r="AK24" s="46"/>
      <c r="AL24" s="46"/>
      <c r="AM24" s="46"/>
      <c r="AN24" s="46"/>
      <c r="AO24" s="46"/>
      <c r="AP24" s="46"/>
      <c r="AQ24" s="46"/>
      <c r="AR24" s="46"/>
      <c r="AS24" s="46"/>
      <c r="AT24" s="46"/>
      <c r="AU24" s="46"/>
      <c r="AV24" s="46"/>
      <c r="AW24" s="46"/>
      <c r="AX24" s="46"/>
      <c r="AY24" s="46"/>
      <c r="AZ24" s="46"/>
      <c r="BA24" s="46"/>
      <c r="BB24" s="46"/>
      <c r="BC24" s="46"/>
      <c r="BD24" s="46"/>
      <c r="BE24" s="46"/>
      <c r="BF24" s="46"/>
      <c r="BG24" s="46"/>
      <c r="BH24" s="46"/>
      <c r="BI24" s="46"/>
      <c r="BJ24" s="46"/>
      <c r="BK24" s="46"/>
      <c r="BL24" s="46"/>
      <c r="BM24" s="46"/>
      <c r="BN24" s="46"/>
      <c r="BO24" s="46"/>
      <c r="BP24" s="46"/>
      <c r="BQ24" s="46"/>
      <c r="BR24" s="46"/>
      <c r="BS24" s="46"/>
      <c r="BT24" s="46"/>
      <c r="BU24" s="46"/>
      <c r="BV24" s="46"/>
      <c r="BW24" s="46"/>
      <c r="BX24" s="46"/>
      <c r="BY24" s="46"/>
      <c r="BZ24" s="46"/>
      <c r="CA24" s="46"/>
      <c r="CB24" s="46"/>
      <c r="CC24" s="46"/>
      <c r="CD24" s="46"/>
      <c r="CE24" s="46"/>
      <c r="CF24" s="46"/>
      <c r="CG24" s="46"/>
      <c r="CH24" s="46"/>
      <c r="CI24" s="46"/>
      <c r="CJ24" s="46"/>
      <c r="CK24" s="46"/>
      <c r="CL24" s="46"/>
      <c r="CM24" s="46"/>
      <c r="CN24" s="46"/>
      <c r="CO24" s="46"/>
      <c r="CP24" s="46"/>
      <c r="CQ24" s="46"/>
      <c r="CR24" s="46"/>
      <c r="CS24" s="46"/>
      <c r="CT24" s="46"/>
      <c r="CU24" s="46"/>
      <c r="CV24" s="46"/>
      <c r="CW24" s="46"/>
      <c r="CX24" s="46"/>
      <c r="CY24" s="46"/>
      <c r="CZ24" s="46"/>
      <c r="DA24" s="46"/>
      <c r="DB24" s="46"/>
      <c r="DC24" s="46"/>
      <c r="DD24" s="46"/>
      <c r="DE24" s="46"/>
      <c r="DF24" s="46"/>
      <c r="DG24" s="46"/>
      <c r="DH24" s="46"/>
      <c r="DI24" s="46"/>
      <c r="DJ24" s="46"/>
      <c r="DK24" s="46"/>
      <c r="DL24" s="46"/>
      <c r="DM24" s="46"/>
      <c r="DN24" s="46"/>
      <c r="DO24" s="46"/>
      <c r="DP24" s="46"/>
      <c r="DQ24" s="46"/>
      <c r="DR24" s="46"/>
      <c r="DS24" s="46"/>
      <c r="DT24" s="46"/>
      <c r="DU24" s="46"/>
      <c r="DV24" s="46"/>
      <c r="DW24" s="46"/>
      <c r="DX24" s="46"/>
      <c r="DY24" s="46"/>
      <c r="DZ24" s="46"/>
      <c r="EA24" s="46"/>
      <c r="EB24" s="46"/>
      <c r="EC24" s="46"/>
      <c r="ED24" s="46"/>
      <c r="EE24" s="46"/>
      <c r="EF24" s="46"/>
      <c r="EG24" s="46"/>
      <c r="EH24" s="46"/>
      <c r="EI24" s="46"/>
      <c r="EJ24" s="46"/>
      <c r="EK24" s="46"/>
      <c r="EL24" s="46"/>
      <c r="EM24" s="46"/>
    </row>
    <row r="25" spans="1:143" ht="18" customHeight="1">
      <c r="A25" s="257" t="s">
        <v>177</v>
      </c>
      <c r="B25" s="257"/>
      <c r="C25" s="257"/>
      <c r="D25" s="257"/>
      <c r="E25" s="257"/>
      <c r="F25" s="257"/>
      <c r="G25" s="257"/>
      <c r="H25" s="257"/>
      <c r="I25" s="257"/>
      <c r="J25" s="257"/>
      <c r="K25" s="57"/>
      <c r="L25" s="56"/>
      <c r="M25" s="56"/>
      <c r="N25" s="56"/>
      <c r="O25" s="46"/>
      <c r="P25" s="46"/>
      <c r="Q25" s="46"/>
      <c r="R25" s="46"/>
      <c r="S25" s="46"/>
      <c r="T25" s="46"/>
      <c r="U25" s="46"/>
      <c r="V25" s="46"/>
      <c r="W25" s="46"/>
      <c r="X25" s="46"/>
      <c r="Y25" s="46"/>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6"/>
      <c r="BC25" s="46"/>
      <c r="BD25" s="46"/>
      <c r="BE25" s="46"/>
      <c r="BF25" s="46"/>
      <c r="BG25" s="46"/>
      <c r="BH25" s="46"/>
      <c r="BI25" s="46"/>
      <c r="BJ25" s="46"/>
      <c r="BK25" s="46"/>
      <c r="BL25" s="46"/>
      <c r="BM25" s="46"/>
      <c r="BN25" s="46"/>
      <c r="BO25" s="46"/>
      <c r="BP25" s="46"/>
      <c r="BQ25" s="46"/>
      <c r="BR25" s="46"/>
      <c r="BS25" s="46"/>
      <c r="BT25" s="46"/>
      <c r="BU25" s="46"/>
      <c r="BV25" s="46"/>
      <c r="BW25" s="46"/>
      <c r="BX25" s="46"/>
      <c r="BY25" s="46"/>
      <c r="BZ25" s="46"/>
      <c r="CA25" s="46"/>
      <c r="CB25" s="46"/>
      <c r="CC25" s="46"/>
      <c r="CD25" s="46"/>
      <c r="CE25" s="46"/>
      <c r="CF25" s="46"/>
      <c r="CG25" s="46"/>
      <c r="CH25" s="46"/>
      <c r="CI25" s="46"/>
      <c r="CJ25" s="46"/>
      <c r="CK25" s="46"/>
      <c r="CL25" s="46"/>
      <c r="CM25" s="46"/>
      <c r="CN25" s="46"/>
      <c r="CO25" s="46"/>
      <c r="CP25" s="46"/>
      <c r="CQ25" s="46"/>
      <c r="CR25" s="46"/>
      <c r="CS25" s="46"/>
      <c r="CT25" s="46"/>
      <c r="CU25" s="46"/>
      <c r="CV25" s="46"/>
      <c r="CW25" s="46"/>
      <c r="CX25" s="46"/>
      <c r="CY25" s="46"/>
      <c r="CZ25" s="46"/>
      <c r="DA25" s="46"/>
      <c r="DB25" s="46"/>
      <c r="DC25" s="46"/>
      <c r="DD25" s="46"/>
      <c r="DE25" s="46"/>
      <c r="DF25" s="46"/>
      <c r="DG25" s="46"/>
      <c r="DH25" s="46"/>
      <c r="DI25" s="46"/>
      <c r="DJ25" s="46"/>
      <c r="DK25" s="46"/>
      <c r="DL25" s="46"/>
      <c r="DM25" s="46"/>
      <c r="DN25" s="46"/>
      <c r="DO25" s="46"/>
      <c r="DP25" s="46"/>
      <c r="DQ25" s="46"/>
      <c r="DR25" s="46"/>
      <c r="DS25" s="46"/>
      <c r="DT25" s="46"/>
      <c r="DU25" s="46"/>
      <c r="DV25" s="46"/>
      <c r="DW25" s="46"/>
      <c r="DX25" s="46"/>
      <c r="DY25" s="46"/>
      <c r="DZ25" s="46"/>
      <c r="EA25" s="46"/>
      <c r="EB25" s="46"/>
      <c r="EC25" s="46"/>
      <c r="ED25" s="46"/>
      <c r="EE25" s="46"/>
      <c r="EF25" s="46"/>
      <c r="EG25" s="46"/>
      <c r="EH25" s="46"/>
      <c r="EI25" s="46"/>
      <c r="EJ25" s="46"/>
      <c r="EK25" s="46"/>
      <c r="EL25" s="46"/>
      <c r="EM25" s="46"/>
    </row>
    <row r="26" spans="1:143" ht="18" customHeight="1">
      <c r="A26" s="49" t="s">
        <v>137</v>
      </c>
      <c r="B26" s="49" t="s">
        <v>139</v>
      </c>
      <c r="C26" s="49" t="s">
        <v>69</v>
      </c>
      <c r="D26" s="49" t="s">
        <v>142</v>
      </c>
      <c r="E26" s="49" t="s">
        <v>140</v>
      </c>
      <c r="F26" s="49" t="s">
        <v>141</v>
      </c>
      <c r="G26" s="49" t="s">
        <v>148</v>
      </c>
      <c r="H26" s="49" t="s">
        <v>143</v>
      </c>
      <c r="I26" s="49" t="s">
        <v>149</v>
      </c>
      <c r="J26" s="49" t="s">
        <v>144</v>
      </c>
      <c r="K26" s="57"/>
      <c r="L26" s="56"/>
      <c r="M26" s="56"/>
      <c r="N26" s="56"/>
      <c r="O26" s="46"/>
      <c r="P26" s="46"/>
      <c r="Q26" s="46"/>
      <c r="R26" s="46"/>
      <c r="S26" s="46"/>
      <c r="T26" s="46"/>
      <c r="U26" s="46"/>
      <c r="V26" s="46"/>
      <c r="W26" s="46"/>
      <c r="X26" s="46"/>
      <c r="Y26" s="46"/>
      <c r="Z26" s="46"/>
      <c r="AA26" s="46"/>
      <c r="AB26" s="46"/>
      <c r="AC26" s="46"/>
      <c r="AD26" s="46"/>
      <c r="AE26" s="46"/>
      <c r="AF26" s="46"/>
      <c r="AG26" s="46"/>
      <c r="AH26" s="46"/>
      <c r="AI26" s="46"/>
      <c r="AJ26" s="46"/>
      <c r="AK26" s="46"/>
      <c r="AL26" s="46"/>
      <c r="AM26" s="46"/>
      <c r="AN26" s="46"/>
      <c r="AO26" s="46"/>
      <c r="AP26" s="46"/>
      <c r="AQ26" s="46"/>
      <c r="AR26" s="46"/>
      <c r="AS26" s="46"/>
      <c r="AT26" s="46"/>
      <c r="AU26" s="46"/>
      <c r="AV26" s="46"/>
      <c r="AW26" s="46"/>
      <c r="AX26" s="46"/>
      <c r="AY26" s="46"/>
      <c r="AZ26" s="46"/>
      <c r="BA26" s="46"/>
      <c r="BB26" s="46"/>
      <c r="BC26" s="46"/>
      <c r="BD26" s="46"/>
      <c r="BE26" s="46"/>
      <c r="BF26" s="46"/>
      <c r="BG26" s="46"/>
      <c r="BH26" s="46"/>
      <c r="BI26" s="46"/>
      <c r="BJ26" s="46"/>
      <c r="BK26" s="46"/>
      <c r="BL26" s="46"/>
      <c r="BM26" s="46"/>
      <c r="BN26" s="46"/>
      <c r="BO26" s="46"/>
      <c r="BP26" s="46"/>
      <c r="BQ26" s="46"/>
      <c r="BR26" s="46"/>
      <c r="BS26" s="46"/>
      <c r="BT26" s="46"/>
      <c r="BU26" s="46"/>
      <c r="BV26" s="46"/>
      <c r="BW26" s="46"/>
      <c r="BX26" s="46"/>
      <c r="BY26" s="46"/>
      <c r="BZ26" s="46"/>
      <c r="CA26" s="46"/>
      <c r="CB26" s="46"/>
      <c r="CC26" s="46"/>
      <c r="CD26" s="46"/>
      <c r="CE26" s="46"/>
      <c r="CF26" s="46"/>
      <c r="CG26" s="46"/>
      <c r="CH26" s="46"/>
      <c r="CI26" s="46"/>
      <c r="CJ26" s="46"/>
      <c r="CK26" s="46"/>
      <c r="CL26" s="46"/>
      <c r="CM26" s="46"/>
      <c r="CN26" s="46"/>
      <c r="CO26" s="46"/>
      <c r="CP26" s="46"/>
      <c r="CQ26" s="46"/>
      <c r="CR26" s="46"/>
      <c r="CS26" s="46"/>
      <c r="CT26" s="46"/>
      <c r="CU26" s="46"/>
      <c r="CV26" s="46"/>
      <c r="CW26" s="46"/>
      <c r="CX26" s="46"/>
      <c r="CY26" s="46"/>
      <c r="CZ26" s="46"/>
      <c r="DA26" s="46"/>
      <c r="DB26" s="46"/>
      <c r="DC26" s="46"/>
      <c r="DD26" s="46"/>
      <c r="DE26" s="46"/>
      <c r="DF26" s="46"/>
      <c r="DG26" s="46"/>
      <c r="DH26" s="46"/>
      <c r="DI26" s="46"/>
      <c r="DJ26" s="46"/>
      <c r="DK26" s="46"/>
      <c r="DL26" s="46"/>
      <c r="DM26" s="46"/>
      <c r="DN26" s="46"/>
      <c r="DO26" s="46"/>
      <c r="DP26" s="46"/>
      <c r="DQ26" s="46"/>
      <c r="DR26" s="46"/>
      <c r="DS26" s="46"/>
      <c r="DT26" s="46"/>
      <c r="DU26" s="46"/>
      <c r="DV26" s="46"/>
      <c r="DW26" s="46"/>
      <c r="DX26" s="46"/>
      <c r="DY26" s="46"/>
      <c r="DZ26" s="46"/>
      <c r="EA26" s="46"/>
      <c r="EB26" s="46"/>
      <c r="EC26" s="46"/>
      <c r="ED26" s="46"/>
      <c r="EE26" s="46"/>
      <c r="EF26" s="46"/>
      <c r="EG26" s="46"/>
      <c r="EH26" s="46"/>
      <c r="EI26" s="46"/>
      <c r="EJ26" s="46"/>
      <c r="EK26" s="46"/>
      <c r="EL26" s="46"/>
      <c r="EM26" s="46"/>
    </row>
    <row r="27" spans="1:143" ht="18" customHeight="1">
      <c r="A27" s="52" t="str" cm="1">
        <f t="array" ref="A27">IF($EG$1="","",_xlfn.LET(_xlpm.d,_xlfn._xlws.FILTER($C$75:$L$159,$A$75:$A$159=$EG$1,""),IFERROR(_xlfn.SORTBY(_xlfn.HSTACK(_xlfn.CHOOSECOLS(_xlpm.d,1,3,4,5,6,7),IF((_xlfn.CHOOSECOLS(_xlpm.d,6)="")+(_xlfn.CHOOSECOLS(_xlpm.d,7)=""),"",_xlfn.CHOOSECOLS(_xlpm.d,7)-_xlfn.CHOOSECOLS(_xlpm.d,6)+1),IF(_xlfn.CHOOSECOLS(_xlpm.d,8)="","",_xlfn.CHOOSECOLS(_xlpm.d,8)),IF(_xlfn.CHOOSECOLS(_xlpm.d,9)="","",_xlfn.CHOOSECOLS(_xlpm.d,9)),IF(_xlfn.CHOOSECOLS(_xlpm.d,10)="","",_xlfn.CHOOSECOLS(_xlpm.d,10))),_xlfn.CHOOSECOLS(_xlpm.d,1),1),"")))</f>
        <v/>
      </c>
      <c r="B27" s="52"/>
      <c r="C27" s="52"/>
      <c r="D27" s="53"/>
      <c r="E27" s="54"/>
      <c r="F27" s="54"/>
      <c r="G27" s="55"/>
      <c r="H27" s="55"/>
      <c r="I27" s="54"/>
      <c r="J27" s="54"/>
      <c r="K27" s="57"/>
      <c r="L27" s="56"/>
      <c r="M27" s="56"/>
      <c r="N27" s="56"/>
      <c r="O27" s="46"/>
      <c r="P27" s="46"/>
      <c r="Q27" s="46"/>
      <c r="R27" s="46"/>
      <c r="S27" s="46"/>
      <c r="T27" s="46"/>
      <c r="U27" s="46"/>
      <c r="V27" s="46"/>
      <c r="W27" s="46"/>
      <c r="X27" s="46"/>
      <c r="Y27" s="46"/>
      <c r="Z27" s="46"/>
      <c r="AA27" s="46"/>
      <c r="AB27" s="46"/>
      <c r="AC27" s="46"/>
      <c r="AD27" s="46"/>
      <c r="AE27" s="46"/>
      <c r="AF27" s="46"/>
      <c r="AG27" s="46"/>
      <c r="AH27" s="46"/>
      <c r="AI27" s="46"/>
      <c r="AJ27" s="46"/>
      <c r="AK27" s="46"/>
      <c r="AL27" s="46"/>
      <c r="AM27" s="46"/>
      <c r="AN27" s="46"/>
      <c r="AO27" s="46"/>
      <c r="AP27" s="46"/>
      <c r="AQ27" s="46"/>
      <c r="AR27" s="46"/>
      <c r="AS27" s="46"/>
      <c r="AT27" s="46"/>
      <c r="AU27" s="46"/>
      <c r="AV27" s="46"/>
      <c r="AW27" s="46"/>
      <c r="AX27" s="46"/>
      <c r="AY27" s="46"/>
      <c r="AZ27" s="46"/>
      <c r="BA27" s="46"/>
      <c r="BB27" s="46"/>
      <c r="BC27" s="46"/>
      <c r="BD27" s="46"/>
      <c r="BE27" s="46"/>
      <c r="BF27" s="46"/>
      <c r="BG27" s="46"/>
      <c r="BH27" s="46"/>
      <c r="BI27" s="46"/>
      <c r="BJ27" s="46"/>
      <c r="BK27" s="46"/>
      <c r="BL27" s="46"/>
      <c r="BM27" s="46"/>
      <c r="BN27" s="46"/>
      <c r="BO27" s="46"/>
      <c r="BP27" s="46"/>
      <c r="BQ27" s="46"/>
      <c r="BR27" s="46"/>
      <c r="BS27" s="46"/>
      <c r="BT27" s="46"/>
      <c r="BU27" s="46"/>
      <c r="BV27" s="46"/>
      <c r="BW27" s="46"/>
      <c r="BX27" s="46"/>
      <c r="BY27" s="46"/>
      <c r="BZ27" s="46"/>
      <c r="CA27" s="46"/>
      <c r="CB27" s="46"/>
      <c r="CC27" s="46"/>
      <c r="CD27" s="46"/>
      <c r="CE27" s="46"/>
      <c r="CF27" s="46"/>
      <c r="CG27" s="46"/>
      <c r="CH27" s="46"/>
      <c r="CI27" s="46"/>
      <c r="CJ27" s="46"/>
      <c r="CK27" s="46"/>
      <c r="CL27" s="46"/>
      <c r="CM27" s="46"/>
      <c r="CN27" s="46"/>
      <c r="CO27" s="46"/>
      <c r="CP27" s="46"/>
      <c r="CQ27" s="46"/>
      <c r="CR27" s="46"/>
      <c r="CS27" s="46"/>
      <c r="CT27" s="46"/>
      <c r="CU27" s="46"/>
      <c r="CV27" s="46"/>
      <c r="CW27" s="46"/>
      <c r="CX27" s="46"/>
      <c r="CY27" s="46"/>
      <c r="CZ27" s="46"/>
      <c r="DA27" s="46"/>
      <c r="DB27" s="46"/>
      <c r="DC27" s="46"/>
      <c r="DD27" s="46"/>
      <c r="DE27" s="46"/>
      <c r="DF27" s="46"/>
      <c r="DG27" s="46"/>
      <c r="DH27" s="46"/>
      <c r="DI27" s="46"/>
      <c r="DJ27" s="46"/>
      <c r="DK27" s="46"/>
      <c r="DL27" s="46"/>
      <c r="DM27" s="46"/>
      <c r="DN27" s="46"/>
      <c r="DO27" s="46"/>
      <c r="DP27" s="46"/>
      <c r="DQ27" s="46"/>
      <c r="DR27" s="46"/>
      <c r="DS27" s="46"/>
      <c r="DT27" s="46"/>
      <c r="DU27" s="46"/>
      <c r="DV27" s="46"/>
      <c r="DW27" s="46"/>
      <c r="DX27" s="46"/>
      <c r="DY27" s="46"/>
      <c r="DZ27" s="46"/>
      <c r="EA27" s="46"/>
      <c r="EB27" s="46"/>
      <c r="EC27" s="46"/>
      <c r="ED27" s="46"/>
      <c r="EE27" s="46"/>
      <c r="EF27" s="46"/>
      <c r="EG27" s="46"/>
      <c r="EH27" s="46"/>
      <c r="EI27" s="46"/>
      <c r="EJ27" s="46"/>
      <c r="EK27" s="46"/>
      <c r="EL27" s="46"/>
      <c r="EM27" s="46"/>
    </row>
    <row r="28" spans="1:143" ht="18" customHeight="1">
      <c r="A28" s="52"/>
      <c r="B28" s="52"/>
      <c r="C28" s="52"/>
      <c r="D28" s="53"/>
      <c r="E28" s="54"/>
      <c r="F28" s="54"/>
      <c r="G28" s="55"/>
      <c r="H28" s="55"/>
      <c r="I28" s="54"/>
      <c r="J28" s="54"/>
      <c r="K28" s="57"/>
      <c r="L28" s="56"/>
      <c r="M28" s="56"/>
      <c r="N28" s="56"/>
      <c r="O28" s="46"/>
      <c r="P28" s="46"/>
      <c r="Q28" s="46"/>
      <c r="R28" s="46"/>
      <c r="S28" s="46"/>
      <c r="T28" s="46"/>
      <c r="U28" s="46"/>
      <c r="V28" s="46"/>
      <c r="W28" s="46"/>
      <c r="X28" s="46"/>
      <c r="Y28" s="46"/>
      <c r="Z28" s="46"/>
      <c r="AA28" s="46"/>
      <c r="AB28" s="46"/>
      <c r="AC28" s="46"/>
      <c r="AD28" s="46"/>
      <c r="AE28" s="46"/>
      <c r="AF28" s="46"/>
      <c r="AG28" s="46"/>
      <c r="AH28" s="46"/>
      <c r="AI28" s="46"/>
      <c r="AJ28" s="46"/>
      <c r="AK28" s="46"/>
      <c r="AL28" s="46"/>
      <c r="AM28" s="46"/>
      <c r="AN28" s="46"/>
      <c r="AO28" s="46"/>
      <c r="AP28" s="46"/>
      <c r="AQ28" s="46"/>
      <c r="AR28" s="46"/>
      <c r="AS28" s="46"/>
      <c r="AT28" s="46"/>
      <c r="AU28" s="46"/>
      <c r="AV28" s="46"/>
      <c r="AW28" s="46"/>
      <c r="AX28" s="46"/>
      <c r="AY28" s="46"/>
      <c r="AZ28" s="46"/>
      <c r="BA28" s="46"/>
      <c r="BB28" s="46"/>
      <c r="BC28" s="46"/>
      <c r="BD28" s="46"/>
      <c r="BE28" s="46"/>
      <c r="BF28" s="46"/>
      <c r="BG28" s="46"/>
      <c r="BH28" s="46"/>
      <c r="BI28" s="46"/>
      <c r="BJ28" s="46"/>
      <c r="BK28" s="46"/>
      <c r="BL28" s="46"/>
      <c r="BM28" s="46"/>
      <c r="BN28" s="46"/>
      <c r="BO28" s="46"/>
      <c r="BP28" s="46"/>
      <c r="BQ28" s="46"/>
      <c r="BR28" s="46"/>
      <c r="BS28" s="46"/>
      <c r="BT28" s="46"/>
      <c r="BU28" s="46"/>
      <c r="BV28" s="46"/>
      <c r="BW28" s="46"/>
      <c r="BX28" s="46"/>
      <c r="BY28" s="46"/>
      <c r="BZ28" s="46"/>
      <c r="CA28" s="46"/>
      <c r="CB28" s="46"/>
      <c r="CC28" s="46"/>
      <c r="CD28" s="46"/>
      <c r="CE28" s="46"/>
      <c r="CF28" s="46"/>
      <c r="CG28" s="46"/>
      <c r="CH28" s="46"/>
      <c r="CI28" s="46"/>
      <c r="CJ28" s="46"/>
      <c r="CK28" s="46"/>
      <c r="CL28" s="46"/>
      <c r="CM28" s="46"/>
      <c r="CN28" s="46"/>
      <c r="CO28" s="46"/>
      <c r="CP28" s="46"/>
      <c r="CQ28" s="46"/>
      <c r="CR28" s="46"/>
      <c r="CS28" s="46"/>
      <c r="CT28" s="46"/>
      <c r="CU28" s="46"/>
      <c r="CV28" s="46"/>
      <c r="CW28" s="46"/>
      <c r="CX28" s="46"/>
      <c r="CY28" s="46"/>
      <c r="CZ28" s="46"/>
      <c r="DA28" s="46"/>
      <c r="DB28" s="46"/>
      <c r="DC28" s="46"/>
      <c r="DD28" s="46"/>
      <c r="DE28" s="46"/>
      <c r="DF28" s="46"/>
      <c r="DG28" s="46"/>
      <c r="DH28" s="46"/>
      <c r="DI28" s="46"/>
      <c r="DJ28" s="46"/>
      <c r="DK28" s="46"/>
      <c r="DL28" s="46"/>
      <c r="DM28" s="46"/>
      <c r="DN28" s="46"/>
      <c r="DO28" s="46"/>
      <c r="DP28" s="46"/>
      <c r="DQ28" s="46"/>
      <c r="DR28" s="46"/>
      <c r="DS28" s="46"/>
      <c r="DT28" s="46"/>
      <c r="DU28" s="46"/>
      <c r="DV28" s="46"/>
      <c r="DW28" s="46"/>
      <c r="DX28" s="46"/>
      <c r="DY28" s="46"/>
      <c r="DZ28" s="46"/>
      <c r="EA28" s="46"/>
      <c r="EB28" s="46"/>
      <c r="EC28" s="46"/>
      <c r="ED28" s="46"/>
      <c r="EE28" s="46"/>
      <c r="EF28" s="46"/>
      <c r="EG28" s="46"/>
      <c r="EH28" s="46"/>
      <c r="EI28" s="46"/>
      <c r="EJ28" s="46"/>
      <c r="EK28" s="46"/>
      <c r="EL28" s="46"/>
      <c r="EM28" s="46"/>
    </row>
    <row r="29" spans="1:143" ht="18" customHeight="1">
      <c r="A29" s="52"/>
      <c r="B29" s="52"/>
      <c r="C29" s="52"/>
      <c r="D29" s="53"/>
      <c r="E29" s="54"/>
      <c r="F29" s="54"/>
      <c r="G29" s="55"/>
      <c r="H29" s="55"/>
      <c r="I29" s="54"/>
      <c r="J29" s="54"/>
      <c r="K29" s="57"/>
      <c r="L29" s="56"/>
      <c r="M29" s="56"/>
      <c r="N29" s="56"/>
      <c r="O29" s="46"/>
      <c r="P29" s="46"/>
      <c r="Q29" s="46"/>
      <c r="R29" s="46"/>
      <c r="S29" s="46"/>
      <c r="T29" s="46"/>
      <c r="U29" s="46"/>
      <c r="V29" s="46"/>
      <c r="W29" s="46"/>
      <c r="X29" s="46"/>
      <c r="Y29" s="46"/>
      <c r="Z29" s="46"/>
      <c r="AA29" s="46"/>
      <c r="AB29" s="46"/>
      <c r="AC29" s="46"/>
      <c r="AD29" s="46"/>
      <c r="AE29" s="46"/>
      <c r="AF29" s="46"/>
      <c r="AG29" s="46"/>
      <c r="AH29" s="46"/>
      <c r="AI29" s="46"/>
      <c r="AJ29" s="46"/>
      <c r="AK29" s="46"/>
      <c r="AL29" s="46"/>
      <c r="AM29" s="46"/>
      <c r="AN29" s="46"/>
      <c r="AO29" s="46"/>
      <c r="AP29" s="46"/>
      <c r="AQ29" s="46"/>
      <c r="AR29" s="46"/>
      <c r="AS29" s="46"/>
      <c r="AT29" s="46"/>
      <c r="AU29" s="46"/>
      <c r="AV29" s="46"/>
      <c r="AW29" s="46"/>
      <c r="AX29" s="46"/>
      <c r="AY29" s="46"/>
      <c r="AZ29" s="46"/>
      <c r="BA29" s="46"/>
      <c r="BB29" s="46"/>
      <c r="BC29" s="46"/>
      <c r="BD29" s="46"/>
      <c r="BE29" s="46"/>
      <c r="BF29" s="46"/>
      <c r="BG29" s="46"/>
      <c r="BH29" s="46"/>
      <c r="BI29" s="46"/>
      <c r="BJ29" s="46"/>
      <c r="BK29" s="46"/>
      <c r="BL29" s="46"/>
      <c r="BM29" s="46"/>
      <c r="BN29" s="46"/>
      <c r="BO29" s="46"/>
      <c r="BP29" s="46"/>
      <c r="BQ29" s="46"/>
      <c r="BR29" s="46"/>
      <c r="BS29" s="46"/>
      <c r="BT29" s="46"/>
      <c r="BU29" s="46"/>
      <c r="BV29" s="46"/>
      <c r="BW29" s="46"/>
      <c r="BX29" s="46"/>
      <c r="BY29" s="46"/>
      <c r="BZ29" s="46"/>
      <c r="CA29" s="46"/>
      <c r="CB29" s="46"/>
      <c r="CC29" s="46"/>
      <c r="CD29" s="46"/>
      <c r="CE29" s="46"/>
      <c r="CF29" s="46"/>
      <c r="CG29" s="46"/>
      <c r="CH29" s="46"/>
      <c r="CI29" s="46"/>
      <c r="CJ29" s="46"/>
      <c r="CK29" s="46"/>
      <c r="CL29" s="46"/>
      <c r="CM29" s="46"/>
      <c r="CN29" s="46"/>
      <c r="CO29" s="46"/>
      <c r="CP29" s="46"/>
      <c r="CQ29" s="46"/>
      <c r="CR29" s="46"/>
      <c r="CS29" s="46"/>
      <c r="CT29" s="46"/>
      <c r="CU29" s="46"/>
      <c r="CV29" s="46"/>
      <c r="CW29" s="46"/>
      <c r="CX29" s="46"/>
      <c r="CY29" s="46"/>
      <c r="CZ29" s="46"/>
      <c r="DA29" s="46"/>
      <c r="DB29" s="46"/>
      <c r="DC29" s="46"/>
      <c r="DD29" s="46"/>
      <c r="DE29" s="46"/>
      <c r="DF29" s="46"/>
      <c r="DG29" s="46"/>
      <c r="DH29" s="46"/>
      <c r="DI29" s="46"/>
      <c r="DJ29" s="46"/>
      <c r="DK29" s="46"/>
      <c r="DL29" s="46"/>
      <c r="DM29" s="46"/>
      <c r="DN29" s="46"/>
      <c r="DO29" s="46"/>
      <c r="DP29" s="46"/>
      <c r="DQ29" s="46"/>
      <c r="DR29" s="46"/>
      <c r="DS29" s="46"/>
      <c r="DT29" s="46"/>
      <c r="DU29" s="46"/>
      <c r="DV29" s="46"/>
      <c r="DW29" s="46"/>
      <c r="DX29" s="46"/>
      <c r="DY29" s="46"/>
      <c r="DZ29" s="46"/>
      <c r="EA29" s="46"/>
      <c r="EB29" s="46"/>
      <c r="EC29" s="46"/>
      <c r="ED29" s="46"/>
      <c r="EE29" s="46"/>
      <c r="EF29" s="46"/>
      <c r="EG29" s="46"/>
      <c r="EH29" s="46"/>
      <c r="EI29" s="46"/>
      <c r="EJ29" s="46"/>
      <c r="EK29" s="46"/>
      <c r="EL29" s="46"/>
      <c r="EM29" s="46"/>
    </row>
    <row r="30" spans="1:143" ht="18" customHeight="1">
      <c r="A30" s="52"/>
      <c r="B30" s="52"/>
      <c r="C30" s="52"/>
      <c r="D30" s="53"/>
      <c r="E30" s="54"/>
      <c r="F30" s="54"/>
      <c r="G30" s="55"/>
      <c r="H30" s="55"/>
      <c r="I30" s="54"/>
      <c r="J30" s="54"/>
      <c r="K30" s="57"/>
      <c r="L30" s="56"/>
      <c r="M30" s="56"/>
      <c r="N30" s="5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46"/>
      <c r="CX30" s="46"/>
      <c r="CY30" s="46"/>
      <c r="CZ30" s="46"/>
      <c r="DA30" s="46"/>
      <c r="DB30" s="46"/>
      <c r="DC30" s="46"/>
      <c r="DD30" s="46"/>
      <c r="DE30" s="46"/>
      <c r="DF30" s="46"/>
      <c r="DG30" s="46"/>
      <c r="DH30" s="46"/>
      <c r="DI30" s="46"/>
      <c r="DJ30" s="46"/>
      <c r="DK30" s="46"/>
      <c r="DL30" s="46"/>
      <c r="DM30" s="46"/>
      <c r="DN30" s="46"/>
      <c r="DO30" s="46"/>
      <c r="DP30" s="46"/>
      <c r="DQ30" s="46"/>
      <c r="DR30" s="46"/>
      <c r="DS30" s="46"/>
      <c r="DT30" s="46"/>
      <c r="DU30" s="46"/>
      <c r="DV30" s="46"/>
      <c r="DW30" s="46"/>
      <c r="DX30" s="46"/>
      <c r="DY30" s="46"/>
      <c r="DZ30" s="46"/>
      <c r="EA30" s="46"/>
      <c r="EB30" s="46"/>
      <c r="EC30" s="46"/>
      <c r="ED30" s="46"/>
      <c r="EE30" s="46"/>
      <c r="EF30" s="46"/>
      <c r="EG30" s="46"/>
      <c r="EH30" s="46"/>
      <c r="EI30" s="46"/>
      <c r="EJ30" s="46"/>
      <c r="EK30" s="46"/>
      <c r="EL30" s="46"/>
      <c r="EM30" s="46"/>
    </row>
    <row r="31" spans="1:143" ht="18" customHeight="1">
      <c r="A31" s="52"/>
      <c r="B31" s="52"/>
      <c r="C31" s="52"/>
      <c r="D31" s="53"/>
      <c r="E31" s="54"/>
      <c r="F31" s="54"/>
      <c r="G31" s="55"/>
      <c r="H31" s="55"/>
      <c r="I31" s="54"/>
      <c r="J31" s="54"/>
      <c r="K31" s="57"/>
      <c r="L31" s="56"/>
      <c r="M31" s="56"/>
      <c r="N31" s="5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6"/>
      <c r="DT31" s="46"/>
      <c r="DU31" s="46"/>
      <c r="DV31" s="46"/>
      <c r="DW31" s="46"/>
      <c r="DX31" s="46"/>
      <c r="DY31" s="46"/>
      <c r="DZ31" s="46"/>
      <c r="EA31" s="46"/>
      <c r="EB31" s="46"/>
      <c r="EC31" s="46"/>
      <c r="ED31" s="46"/>
      <c r="EE31" s="46"/>
      <c r="EF31" s="46"/>
      <c r="EG31" s="46"/>
      <c r="EH31" s="46"/>
      <c r="EI31" s="46"/>
      <c r="EJ31" s="46"/>
      <c r="EK31" s="46"/>
      <c r="EL31" s="46"/>
      <c r="EM31" s="46"/>
    </row>
    <row r="32" spans="1:143" ht="18" customHeight="1">
      <c r="A32" s="52"/>
      <c r="B32" s="52"/>
      <c r="C32" s="52"/>
      <c r="D32" s="53"/>
      <c r="E32" s="54"/>
      <c r="F32" s="54"/>
      <c r="G32" s="55"/>
      <c r="H32" s="55"/>
      <c r="I32" s="54"/>
      <c r="J32" s="54"/>
      <c r="K32" s="57"/>
      <c r="L32" s="56"/>
      <c r="M32" s="56"/>
      <c r="N32" s="56"/>
      <c r="O32" s="46"/>
      <c r="P32" s="46"/>
      <c r="Q32" s="46"/>
      <c r="R32" s="46"/>
      <c r="S32" s="46"/>
      <c r="T32" s="46"/>
      <c r="U32" s="46"/>
      <c r="V32" s="46"/>
      <c r="W32" s="46"/>
      <c r="X32" s="46"/>
      <c r="Y32" s="46"/>
      <c r="Z32" s="46"/>
      <c r="AA32" s="46"/>
      <c r="AB32" s="46"/>
      <c r="AC32" s="46"/>
      <c r="AD32" s="46"/>
      <c r="AE32" s="46"/>
      <c r="AF32" s="46"/>
      <c r="AG32" s="46"/>
      <c r="AH32" s="46"/>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46"/>
      <c r="BL32" s="46"/>
      <c r="BM32" s="46"/>
      <c r="BN32" s="46"/>
      <c r="BO32" s="46"/>
      <c r="BP32" s="46"/>
      <c r="BQ32" s="46"/>
      <c r="BR32" s="46"/>
      <c r="BS32" s="46"/>
      <c r="BT32" s="46"/>
      <c r="BU32" s="46"/>
      <c r="BV32" s="46"/>
      <c r="BW32" s="46"/>
      <c r="BX32" s="46"/>
      <c r="BY32" s="46"/>
      <c r="BZ32" s="46"/>
      <c r="CA32" s="46"/>
      <c r="CB32" s="46"/>
      <c r="CC32" s="46"/>
      <c r="CD32" s="46"/>
      <c r="CE32" s="46"/>
      <c r="CF32" s="46"/>
      <c r="CG32" s="46"/>
      <c r="CH32" s="46"/>
      <c r="CI32" s="46"/>
      <c r="CJ32" s="46"/>
      <c r="CK32" s="46"/>
      <c r="CL32" s="46"/>
      <c r="CM32" s="46"/>
      <c r="CN32" s="46"/>
      <c r="CO32" s="46"/>
      <c r="CP32" s="46"/>
      <c r="CQ32" s="46"/>
      <c r="CR32" s="46"/>
      <c r="CS32" s="46"/>
      <c r="CT32" s="46"/>
      <c r="CU32" s="46"/>
      <c r="CV32" s="46"/>
      <c r="CW32" s="46"/>
      <c r="CX32" s="46"/>
      <c r="CY32" s="46"/>
      <c r="CZ32" s="46"/>
      <c r="DA32" s="46"/>
      <c r="DB32" s="46"/>
      <c r="DC32" s="46"/>
      <c r="DD32" s="46"/>
      <c r="DE32" s="46"/>
      <c r="DF32" s="46"/>
      <c r="DG32" s="46"/>
      <c r="DH32" s="46"/>
      <c r="DI32" s="46"/>
      <c r="DJ32" s="46"/>
      <c r="DK32" s="46"/>
      <c r="DL32" s="46"/>
      <c r="DM32" s="46"/>
      <c r="DN32" s="46"/>
      <c r="DO32" s="46"/>
      <c r="DP32" s="46"/>
      <c r="DQ32" s="46"/>
      <c r="DR32" s="46"/>
      <c r="DS32" s="46"/>
      <c r="DT32" s="46"/>
      <c r="DU32" s="46"/>
      <c r="DV32" s="46"/>
      <c r="DW32" s="46"/>
      <c r="DX32" s="46"/>
      <c r="DY32" s="46"/>
      <c r="DZ32" s="46"/>
      <c r="EA32" s="46"/>
      <c r="EB32" s="46"/>
      <c r="EC32" s="46"/>
      <c r="ED32" s="46"/>
      <c r="EE32" s="46"/>
      <c r="EF32" s="46"/>
      <c r="EG32" s="46"/>
      <c r="EH32" s="46"/>
      <c r="EI32" s="46"/>
      <c r="EJ32" s="46"/>
      <c r="EK32" s="46"/>
      <c r="EL32" s="46"/>
      <c r="EM32" s="46"/>
    </row>
    <row r="33" spans="1:143" ht="18" customHeight="1">
      <c r="A33" s="52"/>
      <c r="B33" s="52"/>
      <c r="C33" s="52"/>
      <c r="D33" s="53"/>
      <c r="E33" s="54"/>
      <c r="F33" s="54"/>
      <c r="G33" s="55"/>
      <c r="H33" s="55"/>
      <c r="I33" s="54"/>
      <c r="J33" s="54"/>
      <c r="K33" s="57"/>
      <c r="L33" s="56"/>
      <c r="M33" s="56"/>
      <c r="N33" s="56"/>
      <c r="O33" s="46"/>
      <c r="P33" s="46"/>
      <c r="Q33" s="46"/>
      <c r="R33" s="46"/>
      <c r="S33" s="46"/>
      <c r="T33" s="46"/>
      <c r="U33" s="46"/>
      <c r="V33" s="46"/>
      <c r="W33" s="46"/>
      <c r="X33" s="46"/>
      <c r="Y33" s="46"/>
      <c r="Z33" s="46"/>
      <c r="AA33" s="46"/>
      <c r="AB33" s="46"/>
      <c r="AC33" s="46"/>
      <c r="AD33" s="46"/>
      <c r="AE33" s="46"/>
      <c r="AF33" s="46"/>
      <c r="AG33" s="46"/>
      <c r="AH33" s="46"/>
      <c r="AI33" s="46"/>
      <c r="AJ33" s="46"/>
      <c r="AK33" s="46"/>
      <c r="AL33" s="46"/>
      <c r="AM33" s="46"/>
      <c r="AN33" s="46"/>
      <c r="AO33" s="46"/>
      <c r="AP33" s="46"/>
      <c r="AQ33" s="46"/>
      <c r="AR33" s="46"/>
      <c r="AS33" s="46"/>
      <c r="AT33" s="46"/>
      <c r="AU33" s="46"/>
      <c r="AV33" s="46"/>
      <c r="AW33" s="46"/>
      <c r="AX33" s="46"/>
      <c r="AY33" s="46"/>
      <c r="AZ33" s="46"/>
      <c r="BA33" s="46"/>
      <c r="BB33" s="46"/>
      <c r="BC33" s="46"/>
      <c r="BD33" s="46"/>
      <c r="BE33" s="46"/>
      <c r="BF33" s="46"/>
      <c r="BG33" s="46"/>
      <c r="BH33" s="46"/>
      <c r="BI33" s="46"/>
      <c r="BJ33" s="46"/>
      <c r="BK33" s="46"/>
      <c r="BL33" s="46"/>
      <c r="BM33" s="46"/>
      <c r="BN33" s="46"/>
      <c r="BO33" s="46"/>
      <c r="BP33" s="46"/>
      <c r="BQ33" s="46"/>
      <c r="BR33" s="46"/>
      <c r="BS33" s="46"/>
      <c r="BT33" s="46"/>
      <c r="BU33" s="46"/>
      <c r="BV33" s="46"/>
      <c r="BW33" s="46"/>
      <c r="BX33" s="46"/>
      <c r="BY33" s="46"/>
      <c r="BZ33" s="46"/>
      <c r="CA33" s="46"/>
      <c r="CB33" s="46"/>
      <c r="CC33" s="46"/>
      <c r="CD33" s="46"/>
      <c r="CE33" s="46"/>
      <c r="CF33" s="46"/>
      <c r="CG33" s="46"/>
      <c r="CH33" s="46"/>
      <c r="CI33" s="46"/>
      <c r="CJ33" s="46"/>
      <c r="CK33" s="46"/>
      <c r="CL33" s="46"/>
      <c r="CM33" s="46"/>
      <c r="CN33" s="46"/>
      <c r="CO33" s="46"/>
      <c r="CP33" s="46"/>
      <c r="CQ33" s="46"/>
      <c r="CR33" s="46"/>
      <c r="CS33" s="46"/>
      <c r="CT33" s="46"/>
      <c r="CU33" s="46"/>
      <c r="CV33" s="46"/>
      <c r="CW33" s="46"/>
      <c r="CX33" s="46"/>
      <c r="CY33" s="46"/>
      <c r="CZ33" s="46"/>
      <c r="DA33" s="46"/>
      <c r="DB33" s="46"/>
      <c r="DC33" s="46"/>
      <c r="DD33" s="46"/>
      <c r="DE33" s="46"/>
      <c r="DF33" s="46"/>
      <c r="DG33" s="46"/>
      <c r="DH33" s="46"/>
      <c r="DI33" s="46"/>
      <c r="DJ33" s="46"/>
      <c r="DK33" s="46"/>
      <c r="DL33" s="46"/>
      <c r="DM33" s="46"/>
      <c r="DN33" s="46"/>
      <c r="DO33" s="46"/>
      <c r="DP33" s="46"/>
      <c r="DQ33" s="46"/>
      <c r="DR33" s="46"/>
      <c r="DS33" s="46"/>
      <c r="DT33" s="46"/>
      <c r="DU33" s="46"/>
      <c r="DV33" s="46"/>
      <c r="DW33" s="46"/>
      <c r="DX33" s="46"/>
      <c r="DY33" s="46"/>
      <c r="DZ33" s="46"/>
      <c r="EA33" s="46"/>
      <c r="EB33" s="46"/>
      <c r="EC33" s="46"/>
      <c r="ED33" s="46"/>
      <c r="EE33" s="46"/>
      <c r="EF33" s="46"/>
      <c r="EG33" s="46"/>
      <c r="EH33" s="46"/>
      <c r="EI33" s="46"/>
      <c r="EJ33" s="46"/>
      <c r="EK33" s="46"/>
      <c r="EL33" s="46"/>
      <c r="EM33" s="46"/>
    </row>
    <row r="34" spans="1:143" ht="18" customHeight="1">
      <c r="A34" s="52"/>
      <c r="B34" s="52"/>
      <c r="C34" s="52"/>
      <c r="D34" s="53"/>
      <c r="E34" s="54"/>
      <c r="F34" s="54"/>
      <c r="G34" s="55"/>
      <c r="H34" s="55"/>
      <c r="I34" s="54"/>
      <c r="J34" s="54"/>
      <c r="K34" s="57"/>
      <c r="L34" s="56"/>
      <c r="M34" s="56"/>
      <c r="N34" s="56"/>
      <c r="O34" s="46"/>
      <c r="P34" s="46"/>
      <c r="Q34" s="46"/>
      <c r="R34" s="46"/>
      <c r="S34" s="46"/>
      <c r="T34" s="46"/>
      <c r="U34" s="46"/>
      <c r="V34" s="46"/>
      <c r="W34" s="46"/>
      <c r="X34" s="46"/>
      <c r="Y34" s="46"/>
      <c r="Z34" s="46"/>
      <c r="AA34" s="46"/>
      <c r="AB34" s="46"/>
      <c r="AC34" s="46"/>
      <c r="AD34" s="46"/>
      <c r="AE34" s="46"/>
      <c r="AF34" s="46"/>
      <c r="AG34" s="46"/>
      <c r="AH34" s="46"/>
      <c r="AI34" s="46"/>
      <c r="AJ34" s="46"/>
      <c r="AK34" s="46"/>
      <c r="AL34" s="46"/>
      <c r="AM34" s="46"/>
      <c r="AN34" s="46"/>
      <c r="AO34" s="46"/>
      <c r="AP34" s="46"/>
      <c r="AQ34" s="46"/>
      <c r="AR34" s="46"/>
      <c r="AS34" s="46"/>
      <c r="AT34" s="46"/>
      <c r="AU34" s="46"/>
      <c r="AV34" s="46"/>
      <c r="AW34" s="46"/>
      <c r="AX34" s="46"/>
      <c r="AY34" s="46"/>
      <c r="AZ34" s="46"/>
      <c r="BA34" s="46"/>
      <c r="BB34" s="46"/>
      <c r="BC34" s="46"/>
      <c r="BD34" s="46"/>
      <c r="BE34" s="46"/>
      <c r="BF34" s="46"/>
      <c r="BG34" s="46"/>
      <c r="BH34" s="46"/>
      <c r="BI34" s="46"/>
      <c r="BJ34" s="46"/>
      <c r="BK34" s="46"/>
      <c r="BL34" s="46"/>
      <c r="BM34" s="46"/>
      <c r="BN34" s="46"/>
      <c r="BO34" s="46"/>
      <c r="BP34" s="46"/>
      <c r="BQ34" s="46"/>
      <c r="BR34" s="46"/>
      <c r="BS34" s="46"/>
      <c r="BT34" s="46"/>
      <c r="BU34" s="46"/>
      <c r="BV34" s="46"/>
      <c r="BW34" s="46"/>
      <c r="BX34" s="46"/>
      <c r="BY34" s="46"/>
      <c r="BZ34" s="46"/>
      <c r="CA34" s="46"/>
      <c r="CB34" s="46"/>
      <c r="CC34" s="46"/>
      <c r="CD34" s="46"/>
      <c r="CE34" s="46"/>
      <c r="CF34" s="46"/>
      <c r="CG34" s="46"/>
      <c r="CH34" s="46"/>
      <c r="CI34" s="46"/>
      <c r="CJ34" s="46"/>
      <c r="CK34" s="46"/>
      <c r="CL34" s="46"/>
      <c r="CM34" s="46"/>
      <c r="CN34" s="46"/>
      <c r="CO34" s="46"/>
      <c r="CP34" s="46"/>
      <c r="CQ34" s="46"/>
      <c r="CR34" s="46"/>
      <c r="CS34" s="46"/>
      <c r="CT34" s="46"/>
      <c r="CU34" s="46"/>
      <c r="CV34" s="46"/>
      <c r="CW34" s="46"/>
      <c r="CX34" s="46"/>
      <c r="CY34" s="46"/>
      <c r="CZ34" s="46"/>
      <c r="DA34" s="46"/>
      <c r="DB34" s="46"/>
      <c r="DC34" s="46"/>
      <c r="DD34" s="46"/>
      <c r="DE34" s="46"/>
      <c r="DF34" s="46"/>
      <c r="DG34" s="46"/>
      <c r="DH34" s="46"/>
      <c r="DI34" s="46"/>
      <c r="DJ34" s="46"/>
      <c r="DK34" s="46"/>
      <c r="DL34" s="46"/>
      <c r="DM34" s="46"/>
      <c r="DN34" s="46"/>
      <c r="DO34" s="46"/>
      <c r="DP34" s="46"/>
      <c r="DQ34" s="46"/>
      <c r="DR34" s="46"/>
      <c r="DS34" s="46"/>
      <c r="DT34" s="46"/>
      <c r="DU34" s="46"/>
      <c r="DV34" s="46"/>
      <c r="DW34" s="46"/>
      <c r="DX34" s="46"/>
      <c r="DY34" s="46"/>
      <c r="DZ34" s="46"/>
      <c r="EA34" s="46"/>
      <c r="EB34" s="46"/>
      <c r="EC34" s="46"/>
      <c r="ED34" s="46"/>
      <c r="EE34" s="46"/>
      <c r="EF34" s="46"/>
      <c r="EG34" s="46"/>
      <c r="EH34" s="46"/>
      <c r="EI34" s="46"/>
      <c r="EJ34" s="46"/>
      <c r="EK34" s="46"/>
      <c r="EL34" s="46"/>
      <c r="EM34" s="46"/>
    </row>
    <row r="35" spans="1:143" ht="18" customHeight="1">
      <c r="A35" s="52"/>
      <c r="B35" s="52"/>
      <c r="C35" s="52"/>
      <c r="D35" s="53"/>
      <c r="E35" s="54"/>
      <c r="F35" s="54"/>
      <c r="G35" s="55"/>
      <c r="H35" s="55"/>
      <c r="I35" s="54"/>
      <c r="J35" s="54"/>
      <c r="K35" s="57"/>
      <c r="L35" s="56"/>
      <c r="M35" s="56"/>
      <c r="N35" s="5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46"/>
      <c r="BH35" s="46"/>
      <c r="BI35" s="46"/>
      <c r="BJ35" s="46"/>
      <c r="BK35" s="46"/>
      <c r="BL35" s="46"/>
      <c r="BM35" s="46"/>
      <c r="BN35" s="46"/>
      <c r="BO35" s="46"/>
      <c r="BP35" s="46"/>
      <c r="BQ35" s="46"/>
      <c r="BR35" s="46"/>
      <c r="BS35" s="46"/>
      <c r="BT35" s="46"/>
      <c r="BU35" s="46"/>
      <c r="BV35" s="46"/>
      <c r="BW35" s="46"/>
      <c r="BX35" s="46"/>
      <c r="BY35" s="46"/>
      <c r="BZ35" s="46"/>
      <c r="CA35" s="46"/>
      <c r="CB35" s="46"/>
      <c r="CC35" s="46"/>
      <c r="CD35" s="46"/>
      <c r="CE35" s="46"/>
      <c r="CF35" s="46"/>
      <c r="CG35" s="46"/>
      <c r="CH35" s="46"/>
      <c r="CI35" s="46"/>
      <c r="CJ35" s="46"/>
      <c r="CK35" s="46"/>
      <c r="CL35" s="46"/>
      <c r="CM35" s="46"/>
      <c r="CN35" s="46"/>
      <c r="CO35" s="46"/>
      <c r="CP35" s="46"/>
      <c r="CQ35" s="46"/>
      <c r="CR35" s="46"/>
      <c r="CS35" s="46"/>
      <c r="CT35" s="46"/>
      <c r="CU35" s="46"/>
      <c r="CV35" s="46"/>
      <c r="CW35" s="46"/>
      <c r="CX35" s="46"/>
      <c r="CY35" s="46"/>
      <c r="CZ35" s="46"/>
      <c r="DA35" s="46"/>
      <c r="DB35" s="46"/>
      <c r="DC35" s="46"/>
      <c r="DD35" s="46"/>
      <c r="DE35" s="46"/>
      <c r="DF35" s="46"/>
      <c r="DG35" s="46"/>
      <c r="DH35" s="46"/>
      <c r="DI35" s="46"/>
      <c r="DJ35" s="46"/>
      <c r="DK35" s="46"/>
      <c r="DL35" s="46"/>
      <c r="DM35" s="46"/>
      <c r="DN35" s="46"/>
      <c r="DO35" s="46"/>
      <c r="DP35" s="46"/>
      <c r="DQ35" s="46"/>
      <c r="DR35" s="46"/>
      <c r="DS35" s="46"/>
      <c r="DT35" s="46"/>
      <c r="DU35" s="46"/>
      <c r="DV35" s="46"/>
      <c r="DW35" s="46"/>
      <c r="DX35" s="46"/>
      <c r="DY35" s="46"/>
      <c r="DZ35" s="46"/>
      <c r="EA35" s="46"/>
      <c r="EB35" s="46"/>
      <c r="EC35" s="46"/>
      <c r="ED35" s="46"/>
      <c r="EE35" s="46"/>
      <c r="EF35" s="46"/>
      <c r="EG35" s="46"/>
      <c r="EH35" s="46"/>
      <c r="EI35" s="46"/>
      <c r="EJ35" s="46"/>
      <c r="EK35" s="46"/>
      <c r="EL35" s="46"/>
      <c r="EM35" s="46"/>
    </row>
    <row r="36" spans="1:143" ht="18" customHeight="1">
      <c r="A36" s="52"/>
      <c r="B36" s="52"/>
      <c r="C36" s="52"/>
      <c r="D36" s="53"/>
      <c r="E36" s="54"/>
      <c r="F36" s="54"/>
      <c r="G36" s="55"/>
      <c r="H36" s="55"/>
      <c r="I36" s="54"/>
      <c r="J36" s="54"/>
      <c r="K36" s="57"/>
      <c r="L36" s="56"/>
      <c r="M36" s="56"/>
      <c r="N36" s="56"/>
      <c r="O36" s="46"/>
      <c r="P36" s="46"/>
      <c r="Q36" s="46"/>
      <c r="R36" s="46"/>
      <c r="S36" s="46"/>
      <c r="T36" s="46"/>
      <c r="U36" s="46"/>
      <c r="V36" s="46"/>
      <c r="W36" s="46"/>
      <c r="X36" s="46"/>
      <c r="Y36" s="46"/>
      <c r="Z36" s="46"/>
      <c r="AA36" s="46"/>
      <c r="AB36" s="46"/>
      <c r="AC36" s="46"/>
      <c r="AD36" s="46"/>
      <c r="AE36" s="46"/>
      <c r="AF36" s="46"/>
      <c r="AG36" s="46"/>
      <c r="AH36" s="46"/>
      <c r="AI36" s="46"/>
      <c r="AJ36" s="46"/>
      <c r="AK36" s="46"/>
      <c r="AL36" s="46"/>
      <c r="AM36" s="46"/>
      <c r="AN36" s="46"/>
      <c r="AO36" s="46"/>
      <c r="AP36" s="46"/>
      <c r="AQ36" s="46"/>
      <c r="AR36" s="46"/>
      <c r="AS36" s="46"/>
      <c r="AT36" s="46"/>
      <c r="AU36" s="46"/>
      <c r="AV36" s="46"/>
      <c r="AW36" s="46"/>
      <c r="AX36" s="46"/>
      <c r="AY36" s="46"/>
      <c r="AZ36" s="46"/>
      <c r="BA36" s="46"/>
      <c r="BB36" s="46"/>
      <c r="BC36" s="46"/>
      <c r="BD36" s="46"/>
      <c r="BE36" s="46"/>
      <c r="BF36" s="46"/>
      <c r="BG36" s="46"/>
      <c r="BH36" s="46"/>
      <c r="BI36" s="46"/>
      <c r="BJ36" s="46"/>
      <c r="BK36" s="46"/>
      <c r="BL36" s="46"/>
      <c r="BM36" s="46"/>
      <c r="BN36" s="46"/>
      <c r="BO36" s="46"/>
      <c r="BP36" s="46"/>
      <c r="BQ36" s="46"/>
      <c r="BR36" s="46"/>
      <c r="BS36" s="46"/>
      <c r="BT36" s="46"/>
      <c r="BU36" s="46"/>
      <c r="BV36" s="46"/>
      <c r="BW36" s="46"/>
      <c r="BX36" s="46"/>
      <c r="BY36" s="46"/>
      <c r="BZ36" s="46"/>
      <c r="CA36" s="46"/>
      <c r="CB36" s="46"/>
      <c r="CC36" s="46"/>
      <c r="CD36" s="46"/>
      <c r="CE36" s="46"/>
      <c r="CF36" s="46"/>
      <c r="CG36" s="46"/>
      <c r="CH36" s="46"/>
      <c r="CI36" s="46"/>
      <c r="CJ36" s="46"/>
      <c r="CK36" s="46"/>
      <c r="CL36" s="46"/>
      <c r="CM36" s="46"/>
      <c r="CN36" s="46"/>
      <c r="CO36" s="46"/>
      <c r="CP36" s="46"/>
      <c r="CQ36" s="46"/>
      <c r="CR36" s="46"/>
      <c r="CS36" s="46"/>
      <c r="CT36" s="46"/>
      <c r="CU36" s="46"/>
      <c r="CV36" s="46"/>
      <c r="CW36" s="46"/>
      <c r="CX36" s="46"/>
      <c r="CY36" s="46"/>
      <c r="CZ36" s="46"/>
      <c r="DA36" s="46"/>
      <c r="DB36" s="46"/>
      <c r="DC36" s="46"/>
      <c r="DD36" s="46"/>
      <c r="DE36" s="46"/>
      <c r="DF36" s="46"/>
      <c r="DG36" s="46"/>
      <c r="DH36" s="46"/>
      <c r="DI36" s="46"/>
      <c r="DJ36" s="46"/>
      <c r="DK36" s="46"/>
      <c r="DL36" s="46"/>
      <c r="DM36" s="46"/>
      <c r="DN36" s="46"/>
      <c r="DO36" s="46"/>
      <c r="DP36" s="46"/>
      <c r="DQ36" s="46"/>
      <c r="DR36" s="46"/>
      <c r="DS36" s="46"/>
      <c r="DT36" s="46"/>
      <c r="DU36" s="46"/>
      <c r="DV36" s="46"/>
      <c r="DW36" s="46"/>
      <c r="DX36" s="46"/>
      <c r="DY36" s="46"/>
      <c r="DZ36" s="46"/>
      <c r="EA36" s="46"/>
      <c r="EB36" s="46"/>
      <c r="EC36" s="46"/>
      <c r="ED36" s="46"/>
      <c r="EE36" s="46"/>
      <c r="EF36" s="46"/>
      <c r="EG36" s="46"/>
      <c r="EH36" s="46"/>
      <c r="EI36" s="46"/>
      <c r="EJ36" s="46"/>
      <c r="EK36" s="46"/>
      <c r="EL36" s="46"/>
      <c r="EM36" s="46"/>
    </row>
    <row r="37" spans="1:143" ht="18" customHeight="1">
      <c r="A37" s="52"/>
      <c r="B37" s="52"/>
      <c r="C37" s="52"/>
      <c r="D37" s="53"/>
      <c r="E37" s="54"/>
      <c r="F37" s="54"/>
      <c r="G37" s="55"/>
      <c r="H37" s="55"/>
      <c r="I37" s="54"/>
      <c r="J37" s="54"/>
      <c r="K37" s="57"/>
      <c r="L37" s="56"/>
      <c r="M37" s="56"/>
      <c r="N37" s="56"/>
      <c r="O37" s="46"/>
      <c r="P37" s="46"/>
      <c r="Q37" s="46"/>
      <c r="R37" s="46"/>
      <c r="S37" s="46"/>
      <c r="T37" s="46"/>
      <c r="U37" s="46"/>
      <c r="V37" s="46"/>
      <c r="W37" s="46"/>
      <c r="X37" s="46"/>
      <c r="Y37" s="46"/>
      <c r="Z37" s="46"/>
      <c r="AA37" s="46"/>
      <c r="AB37" s="46"/>
      <c r="AC37" s="46"/>
      <c r="AD37" s="46"/>
      <c r="AE37" s="46"/>
      <c r="AF37" s="46"/>
      <c r="AG37" s="46"/>
      <c r="AH37" s="46"/>
      <c r="AI37" s="46"/>
      <c r="AJ37" s="46"/>
      <c r="AK37" s="46"/>
      <c r="AL37" s="46"/>
      <c r="AM37" s="46"/>
      <c r="AN37" s="46"/>
      <c r="AO37" s="46"/>
      <c r="AP37" s="46"/>
      <c r="AQ37" s="46"/>
      <c r="AR37" s="46"/>
      <c r="AS37" s="46"/>
      <c r="AT37" s="46"/>
      <c r="AU37" s="46"/>
      <c r="AV37" s="46"/>
      <c r="AW37" s="46"/>
      <c r="AX37" s="46"/>
      <c r="AY37" s="46"/>
      <c r="AZ37" s="46"/>
      <c r="BA37" s="46"/>
      <c r="BB37" s="46"/>
      <c r="BC37" s="46"/>
      <c r="BD37" s="46"/>
      <c r="BE37" s="46"/>
      <c r="BF37" s="46"/>
      <c r="BG37" s="46"/>
      <c r="BH37" s="46"/>
      <c r="BI37" s="46"/>
      <c r="BJ37" s="46"/>
      <c r="BK37" s="46"/>
      <c r="BL37" s="46"/>
      <c r="BM37" s="46"/>
      <c r="BN37" s="46"/>
      <c r="BO37" s="46"/>
      <c r="BP37" s="46"/>
      <c r="BQ37" s="46"/>
      <c r="BR37" s="46"/>
      <c r="BS37" s="46"/>
      <c r="BT37" s="46"/>
      <c r="BU37" s="46"/>
      <c r="BV37" s="46"/>
      <c r="BW37" s="46"/>
      <c r="BX37" s="46"/>
      <c r="BY37" s="46"/>
      <c r="BZ37" s="46"/>
      <c r="CA37" s="46"/>
      <c r="CB37" s="46"/>
      <c r="CC37" s="46"/>
      <c r="CD37" s="46"/>
      <c r="CE37" s="46"/>
      <c r="CF37" s="46"/>
      <c r="CG37" s="46"/>
      <c r="CH37" s="46"/>
      <c r="CI37" s="46"/>
      <c r="CJ37" s="46"/>
      <c r="CK37" s="46"/>
      <c r="CL37" s="46"/>
      <c r="CM37" s="46"/>
      <c r="CN37" s="46"/>
      <c r="CO37" s="46"/>
      <c r="CP37" s="46"/>
      <c r="CQ37" s="46"/>
      <c r="CR37" s="46"/>
      <c r="CS37" s="46"/>
      <c r="CT37" s="46"/>
      <c r="CU37" s="46"/>
      <c r="CV37" s="46"/>
      <c r="CW37" s="46"/>
      <c r="CX37" s="46"/>
      <c r="CY37" s="46"/>
      <c r="CZ37" s="46"/>
      <c r="DA37" s="46"/>
      <c r="DB37" s="46"/>
      <c r="DC37" s="46"/>
      <c r="DD37" s="46"/>
      <c r="DE37" s="46"/>
      <c r="DF37" s="46"/>
      <c r="DG37" s="46"/>
      <c r="DH37" s="46"/>
      <c r="DI37" s="46"/>
      <c r="DJ37" s="46"/>
      <c r="DK37" s="46"/>
      <c r="DL37" s="46"/>
      <c r="DM37" s="46"/>
      <c r="DN37" s="46"/>
      <c r="DO37" s="46"/>
      <c r="DP37" s="46"/>
      <c r="DQ37" s="46"/>
      <c r="DR37" s="46"/>
      <c r="DS37" s="46"/>
      <c r="DT37" s="46"/>
      <c r="DU37" s="46"/>
      <c r="DV37" s="46"/>
      <c r="DW37" s="46"/>
      <c r="DX37" s="46"/>
      <c r="DY37" s="46"/>
      <c r="DZ37" s="46"/>
      <c r="EA37" s="46"/>
      <c r="EB37" s="46"/>
      <c r="EC37" s="46"/>
      <c r="ED37" s="46"/>
      <c r="EE37" s="46"/>
      <c r="EF37" s="46"/>
      <c r="EG37" s="46"/>
      <c r="EH37" s="46"/>
      <c r="EI37" s="46"/>
      <c r="EJ37" s="46"/>
      <c r="EK37" s="46"/>
      <c r="EL37" s="46"/>
      <c r="EM37" s="46"/>
    </row>
    <row r="38" spans="1:143" ht="18" customHeight="1">
      <c r="A38" s="52"/>
      <c r="B38" s="52"/>
      <c r="C38" s="52"/>
      <c r="D38" s="53"/>
      <c r="E38" s="54"/>
      <c r="F38" s="54"/>
      <c r="G38" s="55"/>
      <c r="H38" s="55"/>
      <c r="I38" s="54"/>
      <c r="J38" s="54"/>
      <c r="K38" s="57"/>
      <c r="L38" s="56"/>
      <c r="M38" s="56"/>
      <c r="N38" s="5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c r="BI38" s="46"/>
      <c r="BJ38" s="46"/>
      <c r="BK38" s="46"/>
      <c r="BL38" s="46"/>
      <c r="BM38" s="46"/>
      <c r="BN38" s="46"/>
      <c r="BO38" s="46"/>
      <c r="BP38" s="46"/>
      <c r="BQ38" s="46"/>
      <c r="BR38" s="46"/>
      <c r="BS38" s="46"/>
      <c r="BT38" s="46"/>
      <c r="BU38" s="46"/>
      <c r="BV38" s="46"/>
      <c r="BW38" s="46"/>
      <c r="BX38" s="46"/>
      <c r="BY38" s="46"/>
      <c r="BZ38" s="46"/>
      <c r="CA38" s="46"/>
      <c r="CB38" s="46"/>
      <c r="CC38" s="46"/>
      <c r="CD38" s="46"/>
      <c r="CE38" s="46"/>
      <c r="CF38" s="46"/>
      <c r="CG38" s="46"/>
      <c r="CH38" s="46"/>
      <c r="CI38" s="46"/>
      <c r="CJ38" s="46"/>
      <c r="CK38" s="46"/>
      <c r="CL38" s="46"/>
      <c r="CM38" s="46"/>
      <c r="CN38" s="46"/>
      <c r="CO38" s="46"/>
      <c r="CP38" s="46"/>
      <c r="CQ38" s="46"/>
      <c r="CR38" s="46"/>
      <c r="CS38" s="46"/>
      <c r="CT38" s="46"/>
      <c r="CU38" s="46"/>
      <c r="CV38" s="46"/>
      <c r="CW38" s="46"/>
      <c r="CX38" s="46"/>
      <c r="CY38" s="46"/>
      <c r="CZ38" s="46"/>
      <c r="DA38" s="46"/>
      <c r="DB38" s="46"/>
      <c r="DC38" s="46"/>
      <c r="DD38" s="46"/>
      <c r="DE38" s="46"/>
      <c r="DF38" s="46"/>
      <c r="DG38" s="46"/>
      <c r="DH38" s="46"/>
      <c r="DI38" s="46"/>
      <c r="DJ38" s="46"/>
      <c r="DK38" s="46"/>
      <c r="DL38" s="46"/>
      <c r="DM38" s="46"/>
      <c r="DN38" s="46"/>
      <c r="DO38" s="46"/>
      <c r="DP38" s="46"/>
      <c r="DQ38" s="46"/>
      <c r="DR38" s="46"/>
      <c r="DS38" s="46"/>
      <c r="DT38" s="46"/>
      <c r="DU38" s="46"/>
      <c r="DV38" s="46"/>
      <c r="DW38" s="46"/>
      <c r="DX38" s="46"/>
      <c r="DY38" s="46"/>
      <c r="DZ38" s="46"/>
      <c r="EA38" s="46"/>
      <c r="EB38" s="46"/>
      <c r="EC38" s="46"/>
      <c r="ED38" s="46"/>
      <c r="EE38" s="46"/>
      <c r="EF38" s="46"/>
      <c r="EG38" s="46"/>
      <c r="EH38" s="46"/>
      <c r="EI38" s="46"/>
      <c r="EJ38" s="46"/>
      <c r="EK38" s="46"/>
      <c r="EL38" s="46"/>
      <c r="EM38" s="46"/>
    </row>
    <row r="39" spans="1:143" ht="18" customHeight="1">
      <c r="A39" s="52"/>
      <c r="B39" s="52"/>
      <c r="C39" s="52"/>
      <c r="D39" s="53"/>
      <c r="E39" s="54"/>
      <c r="F39" s="54"/>
      <c r="G39" s="55"/>
      <c r="H39" s="55"/>
      <c r="I39" s="54"/>
      <c r="J39" s="54"/>
      <c r="K39" s="57"/>
      <c r="L39" s="56"/>
      <c r="M39" s="56"/>
      <c r="N39" s="56"/>
      <c r="O39" s="46"/>
      <c r="P39" s="46"/>
      <c r="Q39" s="46"/>
      <c r="R39" s="46"/>
      <c r="S39" s="46"/>
      <c r="T39" s="46"/>
      <c r="U39" s="46"/>
      <c r="V39" s="46"/>
      <c r="W39" s="46"/>
      <c r="X39" s="46"/>
      <c r="Y39" s="46"/>
      <c r="Z39" s="46"/>
      <c r="AA39" s="46"/>
      <c r="AB39" s="46"/>
      <c r="AC39" s="46"/>
      <c r="AD39" s="46"/>
      <c r="AE39" s="46"/>
      <c r="AF39" s="46"/>
      <c r="AG39" s="46"/>
      <c r="AH39" s="46"/>
      <c r="AI39" s="46"/>
      <c r="AJ39" s="46"/>
      <c r="AK39" s="46"/>
      <c r="AL39" s="46"/>
      <c r="AM39" s="46"/>
      <c r="AN39" s="46"/>
      <c r="AO39" s="46"/>
      <c r="AP39" s="46"/>
      <c r="AQ39" s="46"/>
      <c r="AR39" s="46"/>
      <c r="AS39" s="46"/>
      <c r="AT39" s="46"/>
      <c r="AU39" s="46"/>
      <c r="AV39" s="46"/>
      <c r="AW39" s="46"/>
      <c r="AX39" s="46"/>
      <c r="AY39" s="46"/>
      <c r="AZ39" s="46"/>
      <c r="BA39" s="46"/>
      <c r="BB39" s="46"/>
      <c r="BC39" s="46"/>
      <c r="BD39" s="46"/>
      <c r="BE39" s="46"/>
      <c r="BF39" s="46"/>
      <c r="BG39" s="46"/>
      <c r="BH39" s="46"/>
      <c r="BI39" s="46"/>
      <c r="BJ39" s="46"/>
      <c r="BK39" s="46"/>
      <c r="BL39" s="46"/>
      <c r="BM39" s="46"/>
      <c r="BN39" s="46"/>
      <c r="BO39" s="46"/>
      <c r="BP39" s="46"/>
      <c r="BQ39" s="46"/>
      <c r="BR39" s="46"/>
      <c r="BS39" s="46"/>
      <c r="BT39" s="46"/>
      <c r="BU39" s="46"/>
      <c r="BV39" s="46"/>
      <c r="BW39" s="46"/>
      <c r="BX39" s="46"/>
      <c r="BY39" s="46"/>
      <c r="BZ39" s="46"/>
      <c r="CA39" s="46"/>
      <c r="CB39" s="46"/>
      <c r="CC39" s="46"/>
      <c r="CD39" s="46"/>
      <c r="CE39" s="46"/>
      <c r="CF39" s="46"/>
      <c r="CG39" s="46"/>
      <c r="CH39" s="46"/>
      <c r="CI39" s="46"/>
      <c r="CJ39" s="46"/>
      <c r="CK39" s="46"/>
      <c r="CL39" s="46"/>
      <c r="CM39" s="46"/>
      <c r="CN39" s="46"/>
      <c r="CO39" s="46"/>
      <c r="CP39" s="46"/>
      <c r="CQ39" s="46"/>
      <c r="CR39" s="46"/>
      <c r="CS39" s="46"/>
      <c r="CT39" s="46"/>
      <c r="CU39" s="46"/>
      <c r="CV39" s="46"/>
      <c r="CW39" s="46"/>
      <c r="CX39" s="46"/>
      <c r="CY39" s="46"/>
      <c r="CZ39" s="46"/>
      <c r="DA39" s="46"/>
      <c r="DB39" s="46"/>
      <c r="DC39" s="46"/>
      <c r="DD39" s="46"/>
      <c r="DE39" s="46"/>
      <c r="DF39" s="46"/>
      <c r="DG39" s="46"/>
      <c r="DH39" s="46"/>
      <c r="DI39" s="46"/>
      <c r="DJ39" s="46"/>
      <c r="DK39" s="46"/>
      <c r="DL39" s="46"/>
      <c r="DM39" s="46"/>
      <c r="DN39" s="46"/>
      <c r="DO39" s="46"/>
      <c r="DP39" s="46"/>
      <c r="DQ39" s="46"/>
      <c r="DR39" s="46"/>
      <c r="DS39" s="46"/>
      <c r="DT39" s="46"/>
      <c r="DU39" s="46"/>
      <c r="DV39" s="46"/>
      <c r="DW39" s="46"/>
      <c r="DX39" s="46"/>
      <c r="DY39" s="46"/>
      <c r="DZ39" s="46"/>
      <c r="EA39" s="46"/>
      <c r="EB39" s="46"/>
      <c r="EC39" s="46"/>
      <c r="ED39" s="46"/>
      <c r="EE39" s="46"/>
      <c r="EF39" s="46"/>
      <c r="EG39" s="46"/>
      <c r="EH39" s="46"/>
      <c r="EI39" s="46"/>
      <c r="EJ39" s="46"/>
      <c r="EK39" s="46"/>
      <c r="EL39" s="46"/>
      <c r="EM39" s="46"/>
    </row>
    <row r="40" spans="1:143" ht="18" customHeight="1">
      <c r="A40" s="52"/>
      <c r="B40" s="52"/>
      <c r="C40" s="52"/>
      <c r="D40" s="53"/>
      <c r="E40" s="54"/>
      <c r="F40" s="54"/>
      <c r="G40" s="55"/>
      <c r="H40" s="55"/>
      <c r="I40" s="54"/>
      <c r="J40" s="54"/>
      <c r="K40" s="57"/>
      <c r="L40" s="56"/>
      <c r="M40" s="56"/>
      <c r="N40" s="56"/>
      <c r="O40" s="46"/>
      <c r="P40" s="46"/>
      <c r="Q40" s="46"/>
      <c r="R40" s="46"/>
      <c r="S40" s="46"/>
      <c r="T40" s="46"/>
      <c r="U40" s="46"/>
      <c r="V40" s="46"/>
      <c r="W40" s="46"/>
      <c r="X40" s="46"/>
      <c r="Y40" s="46"/>
      <c r="Z40" s="46"/>
      <c r="AA40" s="46"/>
      <c r="AB40" s="46"/>
      <c r="AC40" s="46"/>
      <c r="AD40" s="46"/>
      <c r="AE40" s="46"/>
      <c r="AF40" s="46"/>
      <c r="AG40" s="46"/>
      <c r="AH40" s="46"/>
      <c r="AI40" s="46"/>
      <c r="AJ40" s="46"/>
      <c r="AK40" s="46"/>
      <c r="AL40" s="46"/>
      <c r="AM40" s="46"/>
      <c r="AN40" s="46"/>
      <c r="AO40" s="46"/>
      <c r="AP40" s="46"/>
      <c r="AQ40" s="46"/>
      <c r="AR40" s="46"/>
      <c r="AS40" s="46"/>
      <c r="AT40" s="46"/>
      <c r="AU40" s="46"/>
      <c r="AV40" s="46"/>
      <c r="AW40" s="46"/>
      <c r="AX40" s="46"/>
      <c r="AY40" s="46"/>
      <c r="AZ40" s="46"/>
      <c r="BA40" s="46"/>
      <c r="BB40" s="46"/>
      <c r="BC40" s="46"/>
      <c r="BD40" s="46"/>
      <c r="BE40" s="46"/>
      <c r="BF40" s="46"/>
      <c r="BG40" s="46"/>
      <c r="BH40" s="46"/>
      <c r="BI40" s="46"/>
      <c r="BJ40" s="46"/>
      <c r="BK40" s="46"/>
      <c r="BL40" s="46"/>
      <c r="BM40" s="46"/>
      <c r="BN40" s="46"/>
      <c r="BO40" s="46"/>
      <c r="BP40" s="46"/>
      <c r="BQ40" s="46"/>
      <c r="BR40" s="46"/>
      <c r="BS40" s="46"/>
      <c r="BT40" s="46"/>
      <c r="BU40" s="46"/>
      <c r="BV40" s="46"/>
      <c r="BW40" s="46"/>
      <c r="BX40" s="46"/>
      <c r="BY40" s="46"/>
      <c r="BZ40" s="46"/>
      <c r="CA40" s="46"/>
      <c r="CB40" s="46"/>
      <c r="CC40" s="46"/>
      <c r="CD40" s="46"/>
      <c r="CE40" s="46"/>
      <c r="CF40" s="46"/>
      <c r="CG40" s="46"/>
      <c r="CH40" s="46"/>
      <c r="CI40" s="46"/>
      <c r="CJ40" s="46"/>
      <c r="CK40" s="46"/>
      <c r="CL40" s="46"/>
      <c r="CM40" s="46"/>
      <c r="CN40" s="46"/>
      <c r="CO40" s="46"/>
      <c r="CP40" s="46"/>
      <c r="CQ40" s="46"/>
      <c r="CR40" s="46"/>
      <c r="CS40" s="46"/>
      <c r="CT40" s="46"/>
      <c r="CU40" s="46"/>
      <c r="CV40" s="46"/>
      <c r="CW40" s="46"/>
      <c r="CX40" s="46"/>
      <c r="CY40" s="46"/>
      <c r="CZ40" s="46"/>
      <c r="DA40" s="46"/>
      <c r="DB40" s="46"/>
      <c r="DC40" s="46"/>
      <c r="DD40" s="46"/>
      <c r="DE40" s="46"/>
      <c r="DF40" s="46"/>
      <c r="DG40" s="46"/>
      <c r="DH40" s="46"/>
      <c r="DI40" s="46"/>
      <c r="DJ40" s="46"/>
      <c r="DK40" s="46"/>
      <c r="DL40" s="46"/>
      <c r="DM40" s="46"/>
      <c r="DN40" s="46"/>
      <c r="DO40" s="46"/>
      <c r="DP40" s="46"/>
      <c r="DQ40" s="46"/>
      <c r="DR40" s="46"/>
      <c r="DS40" s="46"/>
      <c r="DT40" s="46"/>
      <c r="DU40" s="46"/>
      <c r="DV40" s="46"/>
      <c r="DW40" s="46"/>
      <c r="DX40" s="46"/>
      <c r="DY40" s="46"/>
      <c r="DZ40" s="46"/>
      <c r="EA40" s="46"/>
      <c r="EB40" s="46"/>
      <c r="EC40" s="46"/>
      <c r="ED40" s="46"/>
      <c r="EE40" s="46"/>
      <c r="EF40" s="46"/>
      <c r="EG40" s="46"/>
      <c r="EH40" s="46"/>
      <c r="EI40" s="46"/>
      <c r="EJ40" s="46"/>
      <c r="EK40" s="46"/>
      <c r="EL40" s="46"/>
      <c r="EM40" s="46"/>
    </row>
    <row r="41" spans="1:143" ht="18" customHeight="1">
      <c r="A41" s="52"/>
      <c r="B41" s="52"/>
      <c r="C41" s="52"/>
      <c r="D41" s="53"/>
      <c r="E41" s="54"/>
      <c r="F41" s="54"/>
      <c r="G41" s="55"/>
      <c r="H41" s="55"/>
      <c r="I41" s="54"/>
      <c r="J41" s="54"/>
      <c r="K41" s="57"/>
      <c r="L41" s="56"/>
      <c r="M41" s="56"/>
      <c r="N41" s="56"/>
      <c r="O41" s="46"/>
      <c r="P41" s="46"/>
      <c r="Q41" s="46"/>
      <c r="R41" s="46"/>
      <c r="S41" s="46"/>
      <c r="T41" s="46"/>
      <c r="U41" s="46"/>
      <c r="V41" s="46"/>
      <c r="W41" s="46"/>
      <c r="X41" s="46"/>
      <c r="Y41" s="46"/>
      <c r="Z41" s="46"/>
      <c r="AA41" s="46"/>
      <c r="AB41" s="46"/>
      <c r="AC41" s="46"/>
      <c r="AD41" s="46"/>
      <c r="AE41" s="46"/>
      <c r="AF41" s="46"/>
      <c r="AG41" s="46"/>
      <c r="AH41" s="46"/>
      <c r="AI41" s="46"/>
      <c r="AJ41" s="46"/>
      <c r="AK41" s="46"/>
      <c r="AL41" s="46"/>
      <c r="AM41" s="46"/>
      <c r="AN41" s="46"/>
      <c r="AO41" s="46"/>
      <c r="AP41" s="46"/>
      <c r="AQ41" s="46"/>
      <c r="AR41" s="46"/>
      <c r="AS41" s="46"/>
      <c r="AT41" s="46"/>
      <c r="AU41" s="46"/>
      <c r="AV41" s="46"/>
      <c r="AW41" s="46"/>
      <c r="AX41" s="46"/>
      <c r="AY41" s="46"/>
      <c r="AZ41" s="46"/>
      <c r="BA41" s="46"/>
      <c r="BB41" s="46"/>
      <c r="BC41" s="46"/>
      <c r="BD41" s="46"/>
      <c r="BE41" s="46"/>
      <c r="BF41" s="46"/>
      <c r="BG41" s="46"/>
      <c r="BH41" s="46"/>
      <c r="BI41" s="46"/>
      <c r="BJ41" s="46"/>
      <c r="BK41" s="46"/>
      <c r="BL41" s="46"/>
      <c r="BM41" s="46"/>
      <c r="BN41" s="46"/>
      <c r="BO41" s="46"/>
      <c r="BP41" s="46"/>
      <c r="BQ41" s="46"/>
      <c r="BR41" s="46"/>
      <c r="BS41" s="46"/>
      <c r="BT41" s="46"/>
      <c r="BU41" s="46"/>
      <c r="BV41" s="46"/>
      <c r="BW41" s="46"/>
      <c r="BX41" s="46"/>
      <c r="BY41" s="46"/>
      <c r="BZ41" s="46"/>
      <c r="CA41" s="46"/>
      <c r="CB41" s="46"/>
      <c r="CC41" s="46"/>
      <c r="CD41" s="46"/>
      <c r="CE41" s="46"/>
      <c r="CF41" s="46"/>
      <c r="CG41" s="46"/>
      <c r="CH41" s="46"/>
      <c r="CI41" s="46"/>
      <c r="CJ41" s="46"/>
      <c r="CK41" s="46"/>
      <c r="CL41" s="46"/>
      <c r="CM41" s="46"/>
      <c r="CN41" s="46"/>
      <c r="CO41" s="46"/>
      <c r="CP41" s="46"/>
      <c r="CQ41" s="46"/>
      <c r="CR41" s="46"/>
      <c r="CS41" s="46"/>
      <c r="CT41" s="46"/>
      <c r="CU41" s="46"/>
      <c r="CV41" s="46"/>
      <c r="CW41" s="46"/>
      <c r="CX41" s="46"/>
      <c r="CY41" s="46"/>
      <c r="CZ41" s="46"/>
      <c r="DA41" s="46"/>
      <c r="DB41" s="46"/>
      <c r="DC41" s="46"/>
      <c r="DD41" s="46"/>
      <c r="DE41" s="46"/>
      <c r="DF41" s="46"/>
      <c r="DG41" s="46"/>
      <c r="DH41" s="46"/>
      <c r="DI41" s="46"/>
      <c r="DJ41" s="46"/>
      <c r="DK41" s="46"/>
      <c r="DL41" s="46"/>
      <c r="DM41" s="46"/>
      <c r="DN41" s="46"/>
      <c r="DO41" s="46"/>
      <c r="DP41" s="46"/>
      <c r="DQ41" s="46"/>
      <c r="DR41" s="46"/>
      <c r="DS41" s="46"/>
      <c r="DT41" s="46"/>
      <c r="DU41" s="46"/>
      <c r="DV41" s="46"/>
      <c r="DW41" s="46"/>
      <c r="DX41" s="46"/>
      <c r="DY41" s="46"/>
      <c r="DZ41" s="46"/>
      <c r="EA41" s="46"/>
      <c r="EB41" s="46"/>
      <c r="EC41" s="46"/>
      <c r="ED41" s="46"/>
      <c r="EE41" s="46"/>
      <c r="EF41" s="46"/>
      <c r="EG41" s="46"/>
      <c r="EH41" s="46"/>
      <c r="EI41" s="46"/>
      <c r="EJ41" s="46"/>
      <c r="EK41" s="46"/>
      <c r="EL41" s="46"/>
      <c r="EM41" s="46"/>
    </row>
    <row r="42" spans="1:143" ht="18" customHeight="1">
      <c r="A42" s="52"/>
      <c r="B42" s="52"/>
      <c r="C42" s="52"/>
      <c r="D42" s="53"/>
      <c r="E42" s="54"/>
      <c r="F42" s="54"/>
      <c r="G42" s="55"/>
      <c r="H42" s="55"/>
      <c r="I42" s="54"/>
      <c r="J42" s="54"/>
      <c r="K42" s="57"/>
      <c r="L42" s="56"/>
      <c r="M42" s="56"/>
      <c r="N42" s="56"/>
      <c r="O42" s="46"/>
      <c r="P42" s="46"/>
      <c r="Q42" s="46"/>
      <c r="R42" s="46"/>
      <c r="S42" s="46"/>
      <c r="T42" s="46"/>
      <c r="U42" s="46"/>
      <c r="V42" s="46"/>
      <c r="W42" s="46"/>
      <c r="X42" s="46"/>
      <c r="Y42" s="46"/>
      <c r="Z42" s="46"/>
      <c r="AA42" s="46"/>
      <c r="AB42" s="46"/>
      <c r="AC42" s="46"/>
      <c r="AD42" s="46"/>
      <c r="AE42" s="46"/>
      <c r="AF42" s="46"/>
      <c r="AG42" s="46"/>
      <c r="AH42" s="46"/>
      <c r="AI42" s="46"/>
      <c r="AJ42" s="46"/>
      <c r="AK42" s="46"/>
      <c r="AL42" s="46"/>
      <c r="AM42" s="46"/>
      <c r="AN42" s="46"/>
      <c r="AO42" s="46"/>
      <c r="AP42" s="46"/>
      <c r="AQ42" s="46"/>
      <c r="AR42" s="46"/>
      <c r="AS42" s="46"/>
      <c r="AT42" s="46"/>
      <c r="AU42" s="46"/>
      <c r="AV42" s="46"/>
      <c r="AW42" s="46"/>
      <c r="AX42" s="46"/>
      <c r="AY42" s="46"/>
      <c r="AZ42" s="46"/>
      <c r="BA42" s="46"/>
      <c r="BB42" s="46"/>
      <c r="BC42" s="46"/>
      <c r="BD42" s="46"/>
      <c r="BE42" s="46"/>
      <c r="BF42" s="46"/>
      <c r="BG42" s="46"/>
      <c r="BH42" s="46"/>
      <c r="BI42" s="46"/>
      <c r="BJ42" s="46"/>
      <c r="BK42" s="46"/>
      <c r="BL42" s="46"/>
      <c r="BM42" s="46"/>
      <c r="BN42" s="46"/>
      <c r="BO42" s="46"/>
      <c r="BP42" s="46"/>
      <c r="BQ42" s="46"/>
      <c r="BR42" s="46"/>
      <c r="BS42" s="46"/>
      <c r="BT42" s="46"/>
      <c r="BU42" s="46"/>
      <c r="BV42" s="46"/>
      <c r="BW42" s="46"/>
      <c r="BX42" s="46"/>
      <c r="BY42" s="46"/>
      <c r="BZ42" s="46"/>
      <c r="CA42" s="46"/>
      <c r="CB42" s="46"/>
      <c r="CC42" s="46"/>
      <c r="CD42" s="46"/>
      <c r="CE42" s="46"/>
      <c r="CF42" s="46"/>
      <c r="CG42" s="46"/>
      <c r="CH42" s="46"/>
      <c r="CI42" s="46"/>
      <c r="CJ42" s="46"/>
      <c r="CK42" s="46"/>
      <c r="CL42" s="46"/>
      <c r="CM42" s="46"/>
      <c r="CN42" s="46"/>
      <c r="CO42" s="46"/>
      <c r="CP42" s="46"/>
      <c r="CQ42" s="46"/>
      <c r="CR42" s="46"/>
      <c r="CS42" s="46"/>
      <c r="CT42" s="46"/>
      <c r="CU42" s="46"/>
      <c r="CV42" s="46"/>
      <c r="CW42" s="46"/>
      <c r="CX42" s="46"/>
      <c r="CY42" s="46"/>
      <c r="CZ42" s="46"/>
      <c r="DA42" s="46"/>
      <c r="DB42" s="46"/>
      <c r="DC42" s="46"/>
      <c r="DD42" s="46"/>
      <c r="DE42" s="46"/>
      <c r="DF42" s="46"/>
      <c r="DG42" s="46"/>
      <c r="DH42" s="46"/>
      <c r="DI42" s="46"/>
      <c r="DJ42" s="46"/>
      <c r="DK42" s="46"/>
      <c r="DL42" s="46"/>
      <c r="DM42" s="46"/>
      <c r="DN42" s="46"/>
      <c r="DO42" s="46"/>
      <c r="DP42" s="46"/>
      <c r="DQ42" s="46"/>
      <c r="DR42" s="46"/>
      <c r="DS42" s="46"/>
      <c r="DT42" s="46"/>
      <c r="DU42" s="46"/>
      <c r="DV42" s="46"/>
      <c r="DW42" s="46"/>
      <c r="DX42" s="46"/>
      <c r="DY42" s="46"/>
      <c r="DZ42" s="46"/>
      <c r="EA42" s="46"/>
      <c r="EB42" s="46"/>
      <c r="EC42" s="46"/>
      <c r="ED42" s="46"/>
      <c r="EE42" s="46"/>
      <c r="EF42" s="46"/>
      <c r="EG42" s="46"/>
      <c r="EH42" s="46"/>
      <c r="EI42" s="46"/>
      <c r="EJ42" s="46"/>
      <c r="EK42" s="46"/>
      <c r="EL42" s="46"/>
      <c r="EM42" s="46"/>
    </row>
    <row r="43" spans="1:143" ht="18" customHeight="1">
      <c r="A43" s="52"/>
      <c r="B43" s="52"/>
      <c r="C43" s="52"/>
      <c r="D43" s="53"/>
      <c r="E43" s="54"/>
      <c r="F43" s="54"/>
      <c r="G43" s="55"/>
      <c r="H43" s="55"/>
      <c r="I43" s="54"/>
      <c r="J43" s="54"/>
      <c r="K43" s="57"/>
      <c r="L43" s="56"/>
      <c r="M43" s="56"/>
      <c r="N43" s="56"/>
      <c r="O43" s="46"/>
      <c r="P43" s="46"/>
      <c r="Q43" s="46"/>
      <c r="R43" s="46"/>
      <c r="S43" s="46"/>
      <c r="T43" s="46"/>
      <c r="U43" s="46"/>
      <c r="V43" s="46"/>
      <c r="W43" s="46"/>
      <c r="X43" s="46"/>
      <c r="Y43" s="46"/>
      <c r="Z43" s="46"/>
      <c r="AA43" s="46"/>
      <c r="AB43" s="46"/>
      <c r="AC43" s="46"/>
      <c r="AD43" s="46"/>
      <c r="AE43" s="46"/>
      <c r="AF43" s="46"/>
      <c r="AG43" s="46"/>
      <c r="AH43" s="46"/>
      <c r="AI43" s="46"/>
      <c r="AJ43" s="46"/>
      <c r="AK43" s="46"/>
      <c r="AL43" s="46"/>
      <c r="AM43" s="46"/>
      <c r="AN43" s="46"/>
      <c r="AO43" s="46"/>
      <c r="AP43" s="46"/>
      <c r="AQ43" s="46"/>
      <c r="AR43" s="46"/>
      <c r="AS43" s="46"/>
      <c r="AT43" s="46"/>
      <c r="AU43" s="46"/>
      <c r="AV43" s="46"/>
      <c r="AW43" s="46"/>
      <c r="AX43" s="46"/>
      <c r="AY43" s="46"/>
      <c r="AZ43" s="46"/>
      <c r="BA43" s="46"/>
      <c r="BB43" s="46"/>
      <c r="BC43" s="46"/>
      <c r="BD43" s="46"/>
      <c r="BE43" s="46"/>
      <c r="BF43" s="46"/>
      <c r="BG43" s="46"/>
      <c r="BH43" s="46"/>
      <c r="BI43" s="46"/>
      <c r="BJ43" s="46"/>
      <c r="BK43" s="46"/>
      <c r="BL43" s="46"/>
      <c r="BM43" s="46"/>
      <c r="BN43" s="46"/>
      <c r="BO43" s="46"/>
      <c r="BP43" s="46"/>
      <c r="BQ43" s="46"/>
      <c r="BR43" s="46"/>
      <c r="BS43" s="46"/>
      <c r="BT43" s="46"/>
      <c r="BU43" s="46"/>
      <c r="BV43" s="46"/>
      <c r="BW43" s="46"/>
      <c r="BX43" s="46"/>
      <c r="BY43" s="46"/>
      <c r="BZ43" s="46"/>
      <c r="CA43" s="46"/>
      <c r="CB43" s="46"/>
      <c r="CC43" s="46"/>
      <c r="CD43" s="46"/>
      <c r="CE43" s="46"/>
      <c r="CF43" s="46"/>
      <c r="CG43" s="46"/>
      <c r="CH43" s="46"/>
      <c r="CI43" s="46"/>
      <c r="CJ43" s="46"/>
      <c r="CK43" s="46"/>
      <c r="CL43" s="46"/>
      <c r="CM43" s="46"/>
      <c r="CN43" s="46"/>
      <c r="CO43" s="46"/>
      <c r="CP43" s="46"/>
      <c r="CQ43" s="46"/>
      <c r="CR43" s="46"/>
      <c r="CS43" s="46"/>
      <c r="CT43" s="46"/>
      <c r="CU43" s="46"/>
      <c r="CV43" s="46"/>
      <c r="CW43" s="46"/>
      <c r="CX43" s="46"/>
      <c r="CY43" s="46"/>
      <c r="CZ43" s="46"/>
      <c r="DA43" s="46"/>
      <c r="DB43" s="46"/>
      <c r="DC43" s="46"/>
      <c r="DD43" s="46"/>
      <c r="DE43" s="46"/>
      <c r="DF43" s="46"/>
      <c r="DG43" s="46"/>
      <c r="DH43" s="46"/>
      <c r="DI43" s="46"/>
      <c r="DJ43" s="46"/>
      <c r="DK43" s="46"/>
      <c r="DL43" s="46"/>
      <c r="DM43" s="46"/>
      <c r="DN43" s="46"/>
      <c r="DO43" s="46"/>
      <c r="DP43" s="46"/>
      <c r="DQ43" s="46"/>
      <c r="DR43" s="46"/>
      <c r="DS43" s="46"/>
      <c r="DT43" s="46"/>
      <c r="DU43" s="46"/>
      <c r="DV43" s="46"/>
      <c r="DW43" s="46"/>
      <c r="DX43" s="46"/>
      <c r="DY43" s="46"/>
      <c r="DZ43" s="46"/>
      <c r="EA43" s="46"/>
      <c r="EB43" s="46"/>
      <c r="EC43" s="46"/>
      <c r="ED43" s="46"/>
      <c r="EE43" s="46"/>
      <c r="EF43" s="46"/>
      <c r="EG43" s="46"/>
      <c r="EH43" s="46"/>
      <c r="EI43" s="46"/>
      <c r="EJ43" s="46"/>
      <c r="EK43" s="46"/>
      <c r="EL43" s="46"/>
      <c r="EM43" s="46"/>
    </row>
    <row r="44" spans="1:143" ht="18" customHeight="1">
      <c r="A44" s="52"/>
      <c r="B44" s="52"/>
      <c r="C44" s="52"/>
      <c r="D44" s="53"/>
      <c r="E44" s="54"/>
      <c r="F44" s="54"/>
      <c r="G44" s="55"/>
      <c r="H44" s="55"/>
      <c r="I44" s="54"/>
      <c r="J44" s="54"/>
      <c r="K44" s="57"/>
      <c r="L44" s="56"/>
      <c r="M44" s="56"/>
      <c r="N44" s="5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c r="AW44" s="46"/>
      <c r="AX44" s="46"/>
      <c r="AY44" s="46"/>
      <c r="AZ44" s="46"/>
      <c r="BA44" s="46"/>
      <c r="BB44" s="46"/>
      <c r="BC44" s="46"/>
      <c r="BD44" s="46"/>
      <c r="BE44" s="46"/>
      <c r="BF44" s="46"/>
      <c r="BG44" s="46"/>
      <c r="BH44" s="46"/>
      <c r="BI44" s="46"/>
      <c r="BJ44" s="46"/>
      <c r="BK44" s="46"/>
      <c r="BL44" s="46"/>
      <c r="BM44" s="46"/>
      <c r="BN44" s="46"/>
      <c r="BO44" s="46"/>
      <c r="BP44" s="46"/>
      <c r="BQ44" s="46"/>
      <c r="BR44" s="46"/>
      <c r="BS44" s="46"/>
      <c r="BT44" s="46"/>
      <c r="BU44" s="46"/>
      <c r="BV44" s="46"/>
      <c r="BW44" s="46"/>
      <c r="BX44" s="46"/>
      <c r="BY44" s="46"/>
      <c r="BZ44" s="46"/>
      <c r="CA44" s="46"/>
      <c r="CB44" s="46"/>
      <c r="CC44" s="46"/>
      <c r="CD44" s="46"/>
      <c r="CE44" s="46"/>
      <c r="CF44" s="46"/>
      <c r="CG44" s="46"/>
      <c r="CH44" s="46"/>
      <c r="CI44" s="46"/>
      <c r="CJ44" s="46"/>
      <c r="CK44" s="46"/>
      <c r="CL44" s="46"/>
      <c r="CM44" s="46"/>
      <c r="CN44" s="46"/>
      <c r="CO44" s="46"/>
      <c r="CP44" s="46"/>
      <c r="CQ44" s="46"/>
      <c r="CR44" s="46"/>
      <c r="CS44" s="46"/>
      <c r="CT44" s="46"/>
      <c r="CU44" s="46"/>
      <c r="CV44" s="46"/>
      <c r="CW44" s="46"/>
      <c r="CX44" s="46"/>
      <c r="CY44" s="46"/>
      <c r="CZ44" s="46"/>
      <c r="DA44" s="46"/>
      <c r="DB44" s="46"/>
      <c r="DC44" s="46"/>
      <c r="DD44" s="46"/>
      <c r="DE44" s="46"/>
      <c r="DF44" s="46"/>
      <c r="DG44" s="46"/>
      <c r="DH44" s="46"/>
      <c r="DI44" s="46"/>
      <c r="DJ44" s="46"/>
      <c r="DK44" s="46"/>
      <c r="DL44" s="46"/>
      <c r="DM44" s="46"/>
      <c r="DN44" s="46"/>
      <c r="DO44" s="46"/>
      <c r="DP44" s="46"/>
      <c r="DQ44" s="46"/>
      <c r="DR44" s="46"/>
      <c r="DS44" s="46"/>
      <c r="DT44" s="46"/>
      <c r="DU44" s="46"/>
      <c r="DV44" s="46"/>
      <c r="DW44" s="46"/>
      <c r="DX44" s="46"/>
      <c r="DY44" s="46"/>
      <c r="DZ44" s="46"/>
      <c r="EA44" s="46"/>
      <c r="EB44" s="46"/>
      <c r="EC44" s="46"/>
      <c r="ED44" s="46"/>
      <c r="EE44" s="46"/>
      <c r="EF44" s="46"/>
      <c r="EG44" s="46"/>
      <c r="EH44" s="46"/>
      <c r="EI44" s="46"/>
      <c r="EJ44" s="46"/>
      <c r="EK44" s="46"/>
      <c r="EL44" s="46"/>
      <c r="EM44" s="46"/>
    </row>
    <row r="45" spans="1:143" ht="18" customHeight="1">
      <c r="A45" s="52"/>
      <c r="B45" s="52"/>
      <c r="C45" s="52"/>
      <c r="D45" s="53"/>
      <c r="E45" s="54"/>
      <c r="F45" s="54"/>
      <c r="G45" s="55"/>
      <c r="H45" s="55"/>
      <c r="I45" s="54"/>
      <c r="J45" s="54"/>
      <c r="K45" s="57"/>
      <c r="L45" s="56"/>
      <c r="M45" s="56"/>
      <c r="N45" s="5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c r="DA45" s="46"/>
      <c r="DB45" s="46"/>
      <c r="DC45" s="46"/>
      <c r="DD45" s="46"/>
      <c r="DE45" s="46"/>
      <c r="DF45" s="46"/>
      <c r="DG45" s="46"/>
      <c r="DH45" s="46"/>
      <c r="DI45" s="46"/>
      <c r="DJ45" s="46"/>
      <c r="DK45" s="46"/>
      <c r="DL45" s="46"/>
      <c r="DM45" s="46"/>
      <c r="DN45" s="46"/>
      <c r="DO45" s="46"/>
      <c r="DP45" s="46"/>
      <c r="DQ45" s="46"/>
      <c r="DR45" s="46"/>
      <c r="DS45" s="46"/>
      <c r="DT45" s="46"/>
      <c r="DU45" s="46"/>
      <c r="DV45" s="46"/>
      <c r="DW45" s="46"/>
      <c r="DX45" s="46"/>
      <c r="DY45" s="46"/>
      <c r="DZ45" s="46"/>
      <c r="EA45" s="46"/>
      <c r="EB45" s="46"/>
      <c r="EC45" s="46"/>
      <c r="ED45" s="46"/>
      <c r="EE45" s="46"/>
      <c r="EF45" s="46"/>
      <c r="EG45" s="46"/>
      <c r="EH45" s="46"/>
      <c r="EI45" s="46"/>
      <c r="EJ45" s="46"/>
      <c r="EK45" s="46"/>
      <c r="EL45" s="46"/>
      <c r="EM45" s="46"/>
    </row>
    <row r="46" spans="1:143" ht="18" customHeight="1">
      <c r="A46" s="52"/>
      <c r="B46" s="52"/>
      <c r="C46" s="52"/>
      <c r="D46" s="53"/>
      <c r="E46" s="54"/>
      <c r="F46" s="54"/>
      <c r="G46" s="55"/>
      <c r="H46" s="55"/>
      <c r="I46" s="54"/>
      <c r="J46" s="54"/>
      <c r="K46" s="57"/>
      <c r="L46" s="56"/>
      <c r="M46" s="56"/>
      <c r="N46" s="5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c r="BF46" s="46"/>
      <c r="BG46" s="46"/>
      <c r="BH46" s="46"/>
      <c r="BI46" s="46"/>
      <c r="BJ46" s="46"/>
      <c r="BK46" s="46"/>
      <c r="BL46" s="46"/>
      <c r="BM46" s="46"/>
      <c r="BN46" s="46"/>
      <c r="BO46" s="46"/>
      <c r="BP46" s="46"/>
      <c r="BQ46" s="46"/>
      <c r="BR46" s="46"/>
      <c r="BS46" s="46"/>
      <c r="BT46" s="46"/>
      <c r="BU46" s="46"/>
      <c r="BV46" s="46"/>
      <c r="BW46" s="46"/>
      <c r="BX46" s="46"/>
      <c r="BY46" s="46"/>
      <c r="BZ46" s="46"/>
      <c r="CA46" s="46"/>
      <c r="CB46" s="46"/>
      <c r="CC46" s="46"/>
      <c r="CD46" s="46"/>
      <c r="CE46" s="46"/>
      <c r="CF46" s="46"/>
      <c r="CG46" s="46"/>
      <c r="CH46" s="46"/>
      <c r="CI46" s="46"/>
      <c r="CJ46" s="46"/>
      <c r="CK46" s="46"/>
      <c r="CL46" s="46"/>
      <c r="CM46" s="46"/>
      <c r="CN46" s="46"/>
      <c r="CO46" s="46"/>
      <c r="CP46" s="46"/>
      <c r="CQ46" s="46"/>
      <c r="CR46" s="46"/>
      <c r="CS46" s="46"/>
      <c r="CT46" s="46"/>
      <c r="CU46" s="46"/>
      <c r="CV46" s="46"/>
      <c r="CW46" s="46"/>
      <c r="CX46" s="46"/>
      <c r="CY46" s="46"/>
      <c r="CZ46" s="46"/>
      <c r="DA46" s="46"/>
      <c r="DB46" s="46"/>
      <c r="DC46" s="46"/>
      <c r="DD46" s="46"/>
      <c r="DE46" s="46"/>
      <c r="DF46" s="46"/>
      <c r="DG46" s="46"/>
      <c r="DH46" s="46"/>
      <c r="DI46" s="46"/>
      <c r="DJ46" s="46"/>
      <c r="DK46" s="46"/>
      <c r="DL46" s="46"/>
      <c r="DM46" s="46"/>
      <c r="DN46" s="46"/>
      <c r="DO46" s="46"/>
      <c r="DP46" s="46"/>
      <c r="DQ46" s="46"/>
      <c r="DR46" s="46"/>
      <c r="DS46" s="46"/>
      <c r="DT46" s="46"/>
      <c r="DU46" s="46"/>
      <c r="DV46" s="46"/>
      <c r="DW46" s="46"/>
      <c r="DX46" s="46"/>
      <c r="DY46" s="46"/>
      <c r="DZ46" s="46"/>
      <c r="EA46" s="46"/>
      <c r="EB46" s="46"/>
      <c r="EC46" s="46"/>
      <c r="ED46" s="46"/>
      <c r="EE46" s="46"/>
      <c r="EF46" s="46"/>
      <c r="EG46" s="46"/>
      <c r="EH46" s="46"/>
      <c r="EI46" s="46"/>
      <c r="EJ46" s="46"/>
      <c r="EK46" s="46"/>
      <c r="EL46" s="46"/>
      <c r="EM46" s="46"/>
    </row>
    <row r="47" spans="1:143" ht="18" customHeight="1">
      <c r="A47" s="52"/>
      <c r="B47" s="52"/>
      <c r="C47" s="52"/>
      <c r="D47" s="53"/>
      <c r="E47" s="54"/>
      <c r="F47" s="54"/>
      <c r="G47" s="55"/>
      <c r="H47" s="55"/>
      <c r="I47" s="54"/>
      <c r="J47" s="54"/>
      <c r="K47" s="57"/>
      <c r="L47" s="56"/>
      <c r="M47" s="56"/>
      <c r="N47" s="5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c r="BF47" s="46"/>
      <c r="BG47" s="46"/>
      <c r="BH47" s="46"/>
      <c r="BI47" s="46"/>
      <c r="BJ47" s="46"/>
      <c r="BK47" s="46"/>
      <c r="BL47" s="46"/>
      <c r="BM47" s="46"/>
      <c r="BN47" s="46"/>
      <c r="BO47" s="46"/>
      <c r="BP47" s="46"/>
      <c r="BQ47" s="46"/>
      <c r="BR47" s="46"/>
      <c r="BS47" s="46"/>
      <c r="BT47" s="46"/>
      <c r="BU47" s="46"/>
      <c r="BV47" s="46"/>
      <c r="BW47" s="46"/>
      <c r="BX47" s="46"/>
      <c r="BY47" s="46"/>
      <c r="BZ47" s="46"/>
      <c r="CA47" s="46"/>
      <c r="CB47" s="46"/>
      <c r="CC47" s="46"/>
      <c r="CD47" s="46"/>
      <c r="CE47" s="46"/>
      <c r="CF47" s="46"/>
      <c r="CG47" s="46"/>
      <c r="CH47" s="46"/>
      <c r="CI47" s="46"/>
      <c r="CJ47" s="46"/>
      <c r="CK47" s="46"/>
      <c r="CL47" s="46"/>
      <c r="CM47" s="46"/>
      <c r="CN47" s="46"/>
      <c r="CO47" s="46"/>
      <c r="CP47" s="46"/>
      <c r="CQ47" s="46"/>
      <c r="CR47" s="46"/>
      <c r="CS47" s="46"/>
      <c r="CT47" s="46"/>
      <c r="CU47" s="46"/>
      <c r="CV47" s="46"/>
      <c r="CW47" s="46"/>
      <c r="CX47" s="46"/>
      <c r="CY47" s="46"/>
      <c r="CZ47" s="46"/>
      <c r="DA47" s="46"/>
      <c r="DB47" s="46"/>
      <c r="DC47" s="46"/>
      <c r="DD47" s="46"/>
      <c r="DE47" s="46"/>
      <c r="DF47" s="46"/>
      <c r="DG47" s="46"/>
      <c r="DH47" s="46"/>
      <c r="DI47" s="46"/>
      <c r="DJ47" s="46"/>
      <c r="DK47" s="46"/>
      <c r="DL47" s="46"/>
      <c r="DM47" s="46"/>
      <c r="DN47" s="46"/>
      <c r="DO47" s="46"/>
      <c r="DP47" s="46"/>
      <c r="DQ47" s="46"/>
      <c r="DR47" s="46"/>
      <c r="DS47" s="46"/>
      <c r="DT47" s="46"/>
      <c r="DU47" s="46"/>
      <c r="DV47" s="46"/>
      <c r="DW47" s="46"/>
      <c r="DX47" s="46"/>
      <c r="DY47" s="46"/>
      <c r="DZ47" s="46"/>
      <c r="EA47" s="46"/>
      <c r="EB47" s="46"/>
      <c r="EC47" s="46"/>
      <c r="ED47" s="46"/>
      <c r="EE47" s="46"/>
      <c r="EF47" s="46"/>
      <c r="EG47" s="46"/>
      <c r="EH47" s="46"/>
      <c r="EI47" s="46"/>
      <c r="EJ47" s="46"/>
      <c r="EK47" s="46"/>
      <c r="EL47" s="46"/>
      <c r="EM47" s="46"/>
    </row>
    <row r="48" spans="1:143" ht="18" customHeight="1">
      <c r="A48" s="52"/>
      <c r="B48" s="52"/>
      <c r="C48" s="52"/>
      <c r="D48" s="53"/>
      <c r="E48" s="54"/>
      <c r="F48" s="54"/>
      <c r="G48" s="55"/>
      <c r="H48" s="55"/>
      <c r="I48" s="54"/>
      <c r="J48" s="54"/>
      <c r="K48" s="57"/>
      <c r="L48" s="56"/>
      <c r="M48" s="56"/>
      <c r="N48" s="5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c r="AW48" s="46"/>
      <c r="AX48" s="46"/>
      <c r="AY48" s="46"/>
      <c r="AZ48" s="46"/>
      <c r="BA48" s="46"/>
      <c r="BB48" s="46"/>
      <c r="BC48" s="46"/>
      <c r="BD48" s="46"/>
      <c r="BE48" s="46"/>
      <c r="BF48" s="46"/>
      <c r="BG48" s="46"/>
      <c r="BH48" s="46"/>
      <c r="BI48" s="46"/>
      <c r="BJ48" s="46"/>
      <c r="BK48" s="46"/>
      <c r="BL48" s="46"/>
      <c r="BM48" s="46"/>
      <c r="BN48" s="46"/>
      <c r="BO48" s="46"/>
      <c r="BP48" s="46"/>
      <c r="BQ48" s="46"/>
      <c r="BR48" s="46"/>
      <c r="BS48" s="46"/>
      <c r="BT48" s="46"/>
      <c r="BU48" s="46"/>
      <c r="BV48" s="46"/>
      <c r="BW48" s="46"/>
      <c r="BX48" s="46"/>
      <c r="BY48" s="46"/>
      <c r="BZ48" s="46"/>
      <c r="CA48" s="46"/>
      <c r="CB48" s="46"/>
      <c r="CC48" s="46"/>
      <c r="CD48" s="46"/>
      <c r="CE48" s="46"/>
      <c r="CF48" s="46"/>
      <c r="CG48" s="46"/>
      <c r="CH48" s="46"/>
      <c r="CI48" s="46"/>
      <c r="CJ48" s="46"/>
      <c r="CK48" s="46"/>
      <c r="CL48" s="46"/>
      <c r="CM48" s="46"/>
      <c r="CN48" s="46"/>
      <c r="CO48" s="46"/>
      <c r="CP48" s="46"/>
      <c r="CQ48" s="46"/>
      <c r="CR48" s="46"/>
      <c r="CS48" s="46"/>
      <c r="CT48" s="46"/>
      <c r="CU48" s="46"/>
      <c r="CV48" s="46"/>
      <c r="CW48" s="46"/>
      <c r="CX48" s="46"/>
      <c r="CY48" s="46"/>
      <c r="CZ48" s="46"/>
      <c r="DA48" s="46"/>
      <c r="DB48" s="46"/>
      <c r="DC48" s="46"/>
      <c r="DD48" s="46"/>
      <c r="DE48" s="46"/>
      <c r="DF48" s="46"/>
      <c r="DG48" s="46"/>
      <c r="DH48" s="46"/>
      <c r="DI48" s="46"/>
      <c r="DJ48" s="46"/>
      <c r="DK48" s="46"/>
      <c r="DL48" s="46"/>
      <c r="DM48" s="46"/>
      <c r="DN48" s="46"/>
      <c r="DO48" s="46"/>
      <c r="DP48" s="46"/>
      <c r="DQ48" s="46"/>
      <c r="DR48" s="46"/>
      <c r="DS48" s="46"/>
      <c r="DT48" s="46"/>
      <c r="DU48" s="46"/>
      <c r="DV48" s="46"/>
      <c r="DW48" s="46"/>
      <c r="DX48" s="46"/>
      <c r="DY48" s="46"/>
      <c r="DZ48" s="46"/>
      <c r="EA48" s="46"/>
      <c r="EB48" s="46"/>
      <c r="EC48" s="46"/>
      <c r="ED48" s="46"/>
      <c r="EE48" s="46"/>
      <c r="EF48" s="46"/>
      <c r="EG48" s="46"/>
      <c r="EH48" s="46"/>
      <c r="EI48" s="46"/>
      <c r="EJ48" s="46"/>
      <c r="EK48" s="46"/>
      <c r="EL48" s="46"/>
      <c r="EM48" s="46"/>
    </row>
    <row r="49" spans="1:143" ht="18" customHeight="1">
      <c r="A49" s="52"/>
      <c r="B49" s="52"/>
      <c r="C49" s="52"/>
      <c r="D49" s="53"/>
      <c r="E49" s="54"/>
      <c r="F49" s="54"/>
      <c r="G49" s="55"/>
      <c r="H49" s="55"/>
      <c r="I49" s="54"/>
      <c r="J49" s="54"/>
      <c r="K49" s="57"/>
      <c r="L49" s="56"/>
      <c r="M49" s="56"/>
      <c r="N49" s="5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c r="BA49" s="46"/>
      <c r="BB49" s="46"/>
      <c r="BC49" s="46"/>
      <c r="BD49" s="46"/>
      <c r="BE49" s="46"/>
      <c r="BF49" s="46"/>
      <c r="BG49" s="46"/>
      <c r="BH49" s="46"/>
      <c r="BI49" s="46"/>
      <c r="BJ49" s="46"/>
      <c r="BK49" s="46"/>
      <c r="BL49" s="46"/>
      <c r="BM49" s="46"/>
      <c r="BN49" s="46"/>
      <c r="BO49" s="46"/>
      <c r="BP49" s="46"/>
      <c r="BQ49" s="46"/>
      <c r="BR49" s="46"/>
      <c r="BS49" s="46"/>
      <c r="BT49" s="46"/>
      <c r="BU49" s="46"/>
      <c r="BV49" s="46"/>
      <c r="BW49" s="46"/>
      <c r="BX49" s="46"/>
      <c r="BY49" s="46"/>
      <c r="BZ49" s="46"/>
      <c r="CA49" s="46"/>
      <c r="CB49" s="46"/>
      <c r="CC49" s="46"/>
      <c r="CD49" s="46"/>
      <c r="CE49" s="46"/>
      <c r="CF49" s="46"/>
      <c r="CG49" s="46"/>
      <c r="CH49" s="46"/>
      <c r="CI49" s="46"/>
      <c r="CJ49" s="46"/>
      <c r="CK49" s="46"/>
      <c r="CL49" s="46"/>
      <c r="CM49" s="46"/>
      <c r="CN49" s="46"/>
      <c r="CO49" s="46"/>
      <c r="CP49" s="46"/>
      <c r="CQ49" s="46"/>
      <c r="CR49" s="46"/>
      <c r="CS49" s="46"/>
      <c r="CT49" s="46"/>
      <c r="CU49" s="46"/>
      <c r="CV49" s="46"/>
      <c r="CW49" s="46"/>
      <c r="CX49" s="46"/>
      <c r="CY49" s="46"/>
      <c r="CZ49" s="46"/>
      <c r="DA49" s="46"/>
      <c r="DB49" s="46"/>
      <c r="DC49" s="46"/>
      <c r="DD49" s="46"/>
      <c r="DE49" s="46"/>
      <c r="DF49" s="46"/>
      <c r="DG49" s="46"/>
      <c r="DH49" s="46"/>
      <c r="DI49" s="46"/>
      <c r="DJ49" s="46"/>
      <c r="DK49" s="46"/>
      <c r="DL49" s="46"/>
      <c r="DM49" s="46"/>
      <c r="DN49" s="46"/>
      <c r="DO49" s="46"/>
      <c r="DP49" s="46"/>
      <c r="DQ49" s="46"/>
      <c r="DR49" s="46"/>
      <c r="DS49" s="46"/>
      <c r="DT49" s="46"/>
      <c r="DU49" s="46"/>
      <c r="DV49" s="46"/>
      <c r="DW49" s="46"/>
      <c r="DX49" s="46"/>
      <c r="DY49" s="46"/>
      <c r="DZ49" s="46"/>
      <c r="EA49" s="46"/>
      <c r="EB49" s="46"/>
      <c r="EC49" s="46"/>
      <c r="ED49" s="46"/>
      <c r="EE49" s="46"/>
      <c r="EF49" s="46"/>
      <c r="EG49" s="46"/>
      <c r="EH49" s="46"/>
      <c r="EI49" s="46"/>
      <c r="EJ49" s="46"/>
      <c r="EK49" s="46"/>
      <c r="EL49" s="46"/>
      <c r="EM49" s="46"/>
    </row>
    <row r="50" spans="1:143" ht="18" customHeight="1">
      <c r="A50" s="52"/>
      <c r="B50" s="52"/>
      <c r="C50" s="52"/>
      <c r="D50" s="53"/>
      <c r="E50" s="54"/>
      <c r="F50" s="54"/>
      <c r="G50" s="55"/>
      <c r="H50" s="55"/>
      <c r="I50" s="54"/>
      <c r="J50" s="54"/>
      <c r="K50" s="57"/>
      <c r="L50" s="56"/>
      <c r="M50" s="56"/>
      <c r="N50" s="5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c r="DA50" s="46"/>
      <c r="DB50" s="46"/>
      <c r="DC50" s="46"/>
      <c r="DD50" s="46"/>
      <c r="DE50" s="46"/>
      <c r="DF50" s="46"/>
      <c r="DG50" s="46"/>
      <c r="DH50" s="46"/>
      <c r="DI50" s="46"/>
      <c r="DJ50" s="46"/>
      <c r="DK50" s="46"/>
      <c r="DL50" s="46"/>
      <c r="DM50" s="46"/>
      <c r="DN50" s="46"/>
      <c r="DO50" s="46"/>
      <c r="DP50" s="46"/>
      <c r="DQ50" s="46"/>
      <c r="DR50" s="46"/>
      <c r="DS50" s="46"/>
      <c r="DT50" s="46"/>
      <c r="DU50" s="46"/>
      <c r="DV50" s="46"/>
      <c r="DW50" s="46"/>
      <c r="DX50" s="46"/>
      <c r="DY50" s="46"/>
      <c r="DZ50" s="46"/>
      <c r="EA50" s="46"/>
      <c r="EB50" s="46"/>
      <c r="EC50" s="46"/>
      <c r="ED50" s="46"/>
      <c r="EE50" s="46"/>
      <c r="EF50" s="46"/>
      <c r="EG50" s="46"/>
      <c r="EH50" s="46"/>
      <c r="EI50" s="46"/>
      <c r="EJ50" s="46"/>
      <c r="EK50" s="46"/>
      <c r="EL50" s="46"/>
      <c r="EM50" s="46"/>
    </row>
    <row r="51" spans="1:143" ht="18" customHeight="1">
      <c r="A51" s="52"/>
      <c r="B51" s="52"/>
      <c r="C51" s="52"/>
      <c r="D51" s="53"/>
      <c r="E51" s="54"/>
      <c r="F51" s="54"/>
      <c r="G51" s="55"/>
      <c r="H51" s="55"/>
      <c r="I51" s="54"/>
      <c r="J51" s="54"/>
      <c r="K51" s="57"/>
      <c r="L51" s="56"/>
      <c r="M51" s="56"/>
      <c r="N51" s="5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c r="BA51" s="46"/>
      <c r="BB51" s="46"/>
      <c r="BC51" s="46"/>
      <c r="BD51" s="46"/>
      <c r="BE51" s="46"/>
      <c r="BF51" s="46"/>
      <c r="BG51" s="46"/>
      <c r="BH51" s="46"/>
      <c r="BI51" s="46"/>
      <c r="BJ51" s="46"/>
      <c r="BK51" s="46"/>
      <c r="BL51" s="46"/>
      <c r="BM51" s="46"/>
      <c r="BN51" s="46"/>
      <c r="BO51" s="46"/>
      <c r="BP51" s="46"/>
      <c r="BQ51" s="46"/>
      <c r="BR51" s="46"/>
      <c r="BS51" s="46"/>
      <c r="BT51" s="46"/>
      <c r="BU51" s="46"/>
      <c r="BV51" s="46"/>
      <c r="BW51" s="46"/>
      <c r="BX51" s="46"/>
      <c r="BY51" s="46"/>
      <c r="BZ51" s="46"/>
      <c r="CA51" s="46"/>
      <c r="CB51" s="46"/>
      <c r="CC51" s="46"/>
      <c r="CD51" s="46"/>
      <c r="CE51" s="46"/>
      <c r="CF51" s="46"/>
      <c r="CG51" s="46"/>
      <c r="CH51" s="46"/>
      <c r="CI51" s="46"/>
      <c r="CJ51" s="46"/>
      <c r="CK51" s="46"/>
      <c r="CL51" s="46"/>
      <c r="CM51" s="46"/>
      <c r="CN51" s="46"/>
      <c r="CO51" s="46"/>
      <c r="CP51" s="46"/>
      <c r="CQ51" s="46"/>
      <c r="CR51" s="46"/>
      <c r="CS51" s="46"/>
      <c r="CT51" s="46"/>
      <c r="CU51" s="46"/>
      <c r="CV51" s="46"/>
      <c r="CW51" s="46"/>
      <c r="CX51" s="46"/>
      <c r="CY51" s="46"/>
      <c r="CZ51" s="46"/>
      <c r="DA51" s="46"/>
      <c r="DB51" s="46"/>
      <c r="DC51" s="46"/>
      <c r="DD51" s="46"/>
      <c r="DE51" s="46"/>
      <c r="DF51" s="46"/>
      <c r="DG51" s="46"/>
      <c r="DH51" s="46"/>
      <c r="DI51" s="46"/>
      <c r="DJ51" s="46"/>
      <c r="DK51" s="46"/>
      <c r="DL51" s="46"/>
      <c r="DM51" s="46"/>
      <c r="DN51" s="46"/>
      <c r="DO51" s="46"/>
      <c r="DP51" s="46"/>
      <c r="DQ51" s="46"/>
      <c r="DR51" s="46"/>
      <c r="DS51" s="46"/>
      <c r="DT51" s="46"/>
      <c r="DU51" s="46"/>
      <c r="DV51" s="46"/>
      <c r="DW51" s="46"/>
      <c r="DX51" s="46"/>
      <c r="DY51" s="46"/>
      <c r="DZ51" s="46"/>
      <c r="EA51" s="46"/>
      <c r="EB51" s="46"/>
      <c r="EC51" s="46"/>
      <c r="ED51" s="46"/>
      <c r="EE51" s="46"/>
      <c r="EF51" s="46"/>
      <c r="EG51" s="46"/>
      <c r="EH51" s="46"/>
      <c r="EI51" s="46"/>
      <c r="EJ51" s="46"/>
      <c r="EK51" s="46"/>
      <c r="EL51" s="46"/>
      <c r="EM51" s="46"/>
    </row>
    <row r="52" spans="1:143" ht="18" customHeight="1">
      <c r="A52" s="52"/>
      <c r="B52" s="52"/>
      <c r="C52" s="52"/>
      <c r="D52" s="53"/>
      <c r="E52" s="54"/>
      <c r="F52" s="54"/>
      <c r="G52" s="55"/>
      <c r="H52" s="55"/>
      <c r="I52" s="54"/>
      <c r="J52" s="54"/>
      <c r="K52" s="57"/>
      <c r="L52" s="56"/>
      <c r="M52" s="56"/>
      <c r="N52" s="5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c r="BF52" s="46"/>
      <c r="BG52" s="46"/>
      <c r="BH52" s="46"/>
      <c r="BI52" s="46"/>
      <c r="BJ52" s="46"/>
      <c r="BK52" s="46"/>
      <c r="BL52" s="46"/>
      <c r="BM52" s="46"/>
      <c r="BN52" s="46"/>
      <c r="BO52" s="46"/>
      <c r="BP52" s="46"/>
      <c r="BQ52" s="46"/>
      <c r="BR52" s="46"/>
      <c r="BS52" s="46"/>
      <c r="BT52" s="46"/>
      <c r="BU52" s="46"/>
      <c r="BV52" s="46"/>
      <c r="BW52" s="46"/>
      <c r="BX52" s="46"/>
      <c r="BY52" s="46"/>
      <c r="BZ52" s="46"/>
      <c r="CA52" s="46"/>
      <c r="CB52" s="46"/>
      <c r="CC52" s="46"/>
      <c r="CD52" s="46"/>
      <c r="CE52" s="46"/>
      <c r="CF52" s="46"/>
      <c r="CG52" s="46"/>
      <c r="CH52" s="46"/>
      <c r="CI52" s="46"/>
      <c r="CJ52" s="46"/>
      <c r="CK52" s="46"/>
      <c r="CL52" s="46"/>
      <c r="CM52" s="46"/>
      <c r="CN52" s="46"/>
      <c r="CO52" s="46"/>
      <c r="CP52" s="46"/>
      <c r="CQ52" s="46"/>
      <c r="CR52" s="46"/>
      <c r="CS52" s="46"/>
      <c r="CT52" s="46"/>
      <c r="CU52" s="46"/>
      <c r="CV52" s="46"/>
      <c r="CW52" s="46"/>
      <c r="CX52" s="46"/>
      <c r="CY52" s="46"/>
      <c r="CZ52" s="46"/>
      <c r="DA52" s="46"/>
      <c r="DB52" s="46"/>
      <c r="DC52" s="46"/>
      <c r="DD52" s="46"/>
      <c r="DE52" s="46"/>
      <c r="DF52" s="46"/>
      <c r="DG52" s="46"/>
      <c r="DH52" s="46"/>
      <c r="DI52" s="46"/>
      <c r="DJ52" s="46"/>
      <c r="DK52" s="46"/>
      <c r="DL52" s="46"/>
      <c r="DM52" s="46"/>
      <c r="DN52" s="46"/>
      <c r="DO52" s="46"/>
      <c r="DP52" s="46"/>
      <c r="DQ52" s="46"/>
      <c r="DR52" s="46"/>
      <c r="DS52" s="46"/>
      <c r="DT52" s="46"/>
      <c r="DU52" s="46"/>
      <c r="DV52" s="46"/>
      <c r="DW52" s="46"/>
      <c r="DX52" s="46"/>
      <c r="DY52" s="46"/>
      <c r="DZ52" s="46"/>
      <c r="EA52" s="46"/>
      <c r="EB52" s="46"/>
      <c r="EC52" s="46"/>
      <c r="ED52" s="46"/>
      <c r="EE52" s="46"/>
      <c r="EF52" s="46"/>
      <c r="EG52" s="46"/>
      <c r="EH52" s="46"/>
      <c r="EI52" s="46"/>
      <c r="EJ52" s="46"/>
      <c r="EK52" s="46"/>
      <c r="EL52" s="46"/>
      <c r="EM52" s="46"/>
    </row>
    <row r="53" spans="1:143" ht="18" customHeight="1">
      <c r="A53" s="52"/>
      <c r="B53" s="52"/>
      <c r="C53" s="52"/>
      <c r="D53" s="53"/>
      <c r="E53" s="54"/>
      <c r="F53" s="54"/>
      <c r="G53" s="55"/>
      <c r="H53" s="55"/>
      <c r="I53" s="54"/>
      <c r="J53" s="54"/>
      <c r="K53" s="57"/>
      <c r="L53" s="56"/>
      <c r="M53" s="56"/>
      <c r="N53" s="5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6"/>
      <c r="BC53" s="46"/>
      <c r="BD53" s="46"/>
      <c r="BE53" s="46"/>
      <c r="BF53" s="46"/>
      <c r="BG53" s="46"/>
      <c r="BH53" s="46"/>
      <c r="BI53" s="46"/>
      <c r="BJ53" s="46"/>
      <c r="BK53" s="46"/>
      <c r="BL53" s="46"/>
      <c r="BM53" s="46"/>
      <c r="BN53" s="46"/>
      <c r="BO53" s="46"/>
      <c r="BP53" s="46"/>
      <c r="BQ53" s="46"/>
      <c r="BR53" s="46"/>
      <c r="BS53" s="46"/>
      <c r="BT53" s="46"/>
      <c r="BU53" s="46"/>
      <c r="BV53" s="46"/>
      <c r="BW53" s="46"/>
      <c r="BX53" s="46"/>
      <c r="BY53" s="46"/>
      <c r="BZ53" s="46"/>
      <c r="CA53" s="46"/>
      <c r="CB53" s="46"/>
      <c r="CC53" s="46"/>
      <c r="CD53" s="46"/>
      <c r="CE53" s="46"/>
      <c r="CF53" s="46"/>
      <c r="CG53" s="46"/>
      <c r="CH53" s="46"/>
      <c r="CI53" s="46"/>
      <c r="CJ53" s="46"/>
      <c r="CK53" s="46"/>
      <c r="CL53" s="46"/>
      <c r="CM53" s="46"/>
      <c r="CN53" s="46"/>
      <c r="CO53" s="46"/>
      <c r="CP53" s="46"/>
      <c r="CQ53" s="46"/>
      <c r="CR53" s="46"/>
      <c r="CS53" s="46"/>
      <c r="CT53" s="46"/>
      <c r="CU53" s="46"/>
      <c r="CV53" s="46"/>
      <c r="CW53" s="46"/>
      <c r="CX53" s="46"/>
      <c r="CY53" s="46"/>
      <c r="CZ53" s="46"/>
      <c r="DA53" s="46"/>
      <c r="DB53" s="46"/>
      <c r="DC53" s="46"/>
      <c r="DD53" s="46"/>
      <c r="DE53" s="46"/>
      <c r="DF53" s="46"/>
      <c r="DG53" s="46"/>
      <c r="DH53" s="46"/>
      <c r="DI53" s="46"/>
      <c r="DJ53" s="46"/>
      <c r="DK53" s="46"/>
      <c r="DL53" s="46"/>
      <c r="DM53" s="46"/>
      <c r="DN53" s="46"/>
      <c r="DO53" s="46"/>
      <c r="DP53" s="46"/>
      <c r="DQ53" s="46"/>
      <c r="DR53" s="46"/>
      <c r="DS53" s="46"/>
      <c r="DT53" s="46"/>
      <c r="DU53" s="46"/>
      <c r="DV53" s="46"/>
      <c r="DW53" s="46"/>
      <c r="DX53" s="46"/>
      <c r="DY53" s="46"/>
      <c r="DZ53" s="46"/>
      <c r="EA53" s="46"/>
      <c r="EB53" s="46"/>
      <c r="EC53" s="46"/>
      <c r="ED53" s="46"/>
      <c r="EE53" s="46"/>
      <c r="EF53" s="46"/>
      <c r="EG53" s="46"/>
      <c r="EH53" s="46"/>
      <c r="EI53" s="46"/>
      <c r="EJ53" s="46"/>
      <c r="EK53" s="46"/>
      <c r="EL53" s="46"/>
      <c r="EM53" s="46"/>
    </row>
    <row r="54" spans="1:143" ht="18" customHeight="1">
      <c r="A54" s="52"/>
      <c r="B54" s="52"/>
      <c r="C54" s="52"/>
      <c r="D54" s="53"/>
      <c r="E54" s="54"/>
      <c r="F54" s="54"/>
      <c r="G54" s="55"/>
      <c r="H54" s="55"/>
      <c r="I54" s="54"/>
      <c r="J54" s="54"/>
      <c r="K54" s="57"/>
      <c r="L54" s="56"/>
      <c r="M54" s="56"/>
      <c r="N54" s="5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c r="BA54" s="46"/>
      <c r="BB54" s="46"/>
      <c r="BC54" s="46"/>
      <c r="BD54" s="46"/>
      <c r="BE54" s="46"/>
      <c r="BF54" s="46"/>
      <c r="BG54" s="46"/>
      <c r="BH54" s="46"/>
      <c r="BI54" s="46"/>
      <c r="BJ54" s="46"/>
      <c r="BK54" s="46"/>
      <c r="BL54" s="46"/>
      <c r="BM54" s="46"/>
      <c r="BN54" s="46"/>
      <c r="BO54" s="46"/>
      <c r="BP54" s="46"/>
      <c r="BQ54" s="46"/>
      <c r="BR54" s="46"/>
      <c r="BS54" s="46"/>
      <c r="BT54" s="46"/>
      <c r="BU54" s="46"/>
      <c r="BV54" s="46"/>
      <c r="BW54" s="46"/>
      <c r="BX54" s="46"/>
      <c r="BY54" s="46"/>
      <c r="BZ54" s="46"/>
      <c r="CA54" s="46"/>
      <c r="CB54" s="46"/>
      <c r="CC54" s="46"/>
      <c r="CD54" s="46"/>
      <c r="CE54" s="46"/>
      <c r="CF54" s="46"/>
      <c r="CG54" s="46"/>
      <c r="CH54" s="46"/>
      <c r="CI54" s="46"/>
      <c r="CJ54" s="46"/>
      <c r="CK54" s="46"/>
      <c r="CL54" s="46"/>
      <c r="CM54" s="46"/>
      <c r="CN54" s="46"/>
      <c r="CO54" s="46"/>
      <c r="CP54" s="46"/>
      <c r="CQ54" s="46"/>
      <c r="CR54" s="46"/>
      <c r="CS54" s="46"/>
      <c r="CT54" s="46"/>
      <c r="CU54" s="46"/>
      <c r="CV54" s="46"/>
      <c r="CW54" s="46"/>
      <c r="CX54" s="46"/>
      <c r="CY54" s="46"/>
      <c r="CZ54" s="46"/>
      <c r="DA54" s="46"/>
      <c r="DB54" s="46"/>
      <c r="DC54" s="46"/>
      <c r="DD54" s="46"/>
      <c r="DE54" s="46"/>
      <c r="DF54" s="46"/>
      <c r="DG54" s="46"/>
      <c r="DH54" s="46"/>
      <c r="DI54" s="46"/>
      <c r="DJ54" s="46"/>
      <c r="DK54" s="46"/>
      <c r="DL54" s="46"/>
      <c r="DM54" s="46"/>
      <c r="DN54" s="46"/>
      <c r="DO54" s="46"/>
      <c r="DP54" s="46"/>
      <c r="DQ54" s="46"/>
      <c r="DR54" s="46"/>
      <c r="DS54" s="46"/>
      <c r="DT54" s="46"/>
      <c r="DU54" s="46"/>
      <c r="DV54" s="46"/>
      <c r="DW54" s="46"/>
      <c r="DX54" s="46"/>
      <c r="DY54" s="46"/>
      <c r="DZ54" s="46"/>
      <c r="EA54" s="46"/>
      <c r="EB54" s="46"/>
      <c r="EC54" s="46"/>
      <c r="ED54" s="46"/>
      <c r="EE54" s="46"/>
      <c r="EF54" s="46"/>
      <c r="EG54" s="46"/>
      <c r="EH54" s="46"/>
      <c r="EI54" s="46"/>
      <c r="EJ54" s="46"/>
      <c r="EK54" s="46"/>
      <c r="EL54" s="46"/>
      <c r="EM54" s="46"/>
    </row>
    <row r="55" spans="1:143" ht="18" customHeight="1">
      <c r="A55" s="52"/>
      <c r="B55" s="52"/>
      <c r="C55" s="52"/>
      <c r="D55" s="53"/>
      <c r="E55" s="54"/>
      <c r="F55" s="54"/>
      <c r="G55" s="55"/>
      <c r="H55" s="55"/>
      <c r="I55" s="54"/>
      <c r="J55" s="54"/>
      <c r="K55" s="57"/>
      <c r="L55" s="56"/>
      <c r="M55" s="56"/>
      <c r="N55" s="5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46"/>
      <c r="BY55" s="46"/>
      <c r="BZ55" s="46"/>
      <c r="CA55" s="46"/>
      <c r="CB55" s="46"/>
      <c r="CC55" s="46"/>
      <c r="CD55" s="46"/>
      <c r="CE55" s="46"/>
      <c r="CF55" s="46"/>
      <c r="CG55" s="46"/>
      <c r="CH55" s="46"/>
      <c r="CI55" s="46"/>
      <c r="CJ55" s="46"/>
      <c r="CK55" s="46"/>
      <c r="CL55" s="46"/>
      <c r="CM55" s="46"/>
      <c r="CN55" s="46"/>
      <c r="CO55" s="46"/>
      <c r="CP55" s="46"/>
      <c r="CQ55" s="46"/>
      <c r="CR55" s="46"/>
      <c r="CS55" s="46"/>
      <c r="CT55" s="46"/>
      <c r="CU55" s="46"/>
      <c r="CV55" s="46"/>
      <c r="CW55" s="46"/>
      <c r="CX55" s="46"/>
      <c r="CY55" s="46"/>
      <c r="CZ55" s="46"/>
      <c r="DA55" s="46"/>
      <c r="DB55" s="46"/>
      <c r="DC55" s="46"/>
      <c r="DD55" s="46"/>
      <c r="DE55" s="46"/>
      <c r="DF55" s="46"/>
      <c r="DG55" s="46"/>
      <c r="DH55" s="46"/>
      <c r="DI55" s="46"/>
      <c r="DJ55" s="46"/>
      <c r="DK55" s="46"/>
      <c r="DL55" s="46"/>
      <c r="DM55" s="46"/>
      <c r="DN55" s="46"/>
      <c r="DO55" s="46"/>
      <c r="DP55" s="46"/>
      <c r="DQ55" s="46"/>
      <c r="DR55" s="46"/>
      <c r="DS55" s="46"/>
      <c r="DT55" s="46"/>
      <c r="DU55" s="46"/>
      <c r="DV55" s="46"/>
      <c r="DW55" s="46"/>
      <c r="DX55" s="46"/>
      <c r="DY55" s="46"/>
      <c r="DZ55" s="46"/>
      <c r="EA55" s="46"/>
      <c r="EB55" s="46"/>
      <c r="EC55" s="46"/>
      <c r="ED55" s="46"/>
      <c r="EE55" s="46"/>
      <c r="EF55" s="46"/>
      <c r="EG55" s="46"/>
      <c r="EH55" s="46"/>
      <c r="EI55" s="46"/>
      <c r="EJ55" s="46"/>
      <c r="EK55" s="46"/>
      <c r="EL55" s="46"/>
      <c r="EM55" s="46"/>
    </row>
    <row r="56" spans="1:143" ht="18" customHeight="1">
      <c r="A56" s="52"/>
      <c r="B56" s="52"/>
      <c r="C56" s="52"/>
      <c r="D56" s="53"/>
      <c r="E56" s="54"/>
      <c r="F56" s="54"/>
      <c r="G56" s="55"/>
      <c r="H56" s="55"/>
      <c r="I56" s="54"/>
      <c r="J56" s="54"/>
      <c r="K56" s="57"/>
      <c r="L56" s="56"/>
      <c r="M56" s="56"/>
      <c r="N56" s="56"/>
      <c r="O56" s="46"/>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c r="AY56" s="46"/>
      <c r="AZ56" s="46"/>
      <c r="BA56" s="46"/>
      <c r="BB56" s="46"/>
      <c r="BC56" s="46"/>
      <c r="BD56" s="46"/>
      <c r="BE56" s="46"/>
      <c r="BF56" s="46"/>
      <c r="BG56" s="46"/>
      <c r="BH56" s="46"/>
      <c r="BI56" s="46"/>
      <c r="BJ56" s="46"/>
      <c r="BK56" s="46"/>
      <c r="BL56" s="46"/>
      <c r="BM56" s="46"/>
      <c r="BN56" s="46"/>
      <c r="BO56" s="46"/>
      <c r="BP56" s="46"/>
      <c r="BQ56" s="46"/>
      <c r="BR56" s="46"/>
      <c r="BS56" s="46"/>
      <c r="BT56" s="46"/>
      <c r="BU56" s="46"/>
      <c r="BV56" s="46"/>
      <c r="BW56" s="46"/>
      <c r="BX56" s="46"/>
      <c r="BY56" s="46"/>
      <c r="BZ56" s="46"/>
      <c r="CA56" s="46"/>
      <c r="CB56" s="46"/>
      <c r="CC56" s="46"/>
      <c r="CD56" s="46"/>
      <c r="CE56" s="46"/>
      <c r="CF56" s="46"/>
      <c r="CG56" s="46"/>
      <c r="CH56" s="46"/>
      <c r="CI56" s="46"/>
      <c r="CJ56" s="46"/>
      <c r="CK56" s="46"/>
      <c r="CL56" s="46"/>
      <c r="CM56" s="46"/>
      <c r="CN56" s="46"/>
      <c r="CO56" s="46"/>
      <c r="CP56" s="46"/>
      <c r="CQ56" s="46"/>
      <c r="CR56" s="46"/>
      <c r="CS56" s="46"/>
      <c r="CT56" s="46"/>
      <c r="CU56" s="46"/>
      <c r="CV56" s="46"/>
      <c r="CW56" s="46"/>
      <c r="CX56" s="46"/>
      <c r="CY56" s="46"/>
      <c r="CZ56" s="46"/>
      <c r="DA56" s="46"/>
      <c r="DB56" s="46"/>
      <c r="DC56" s="46"/>
      <c r="DD56" s="46"/>
      <c r="DE56" s="46"/>
      <c r="DF56" s="46"/>
      <c r="DG56" s="46"/>
      <c r="DH56" s="46"/>
      <c r="DI56" s="46"/>
      <c r="DJ56" s="46"/>
      <c r="DK56" s="46"/>
      <c r="DL56" s="46"/>
      <c r="DM56" s="46"/>
      <c r="DN56" s="46"/>
      <c r="DO56" s="46"/>
      <c r="DP56" s="46"/>
      <c r="DQ56" s="46"/>
      <c r="DR56" s="46"/>
      <c r="DS56" s="46"/>
      <c r="DT56" s="46"/>
      <c r="DU56" s="46"/>
      <c r="DV56" s="46"/>
      <c r="DW56" s="46"/>
      <c r="DX56" s="46"/>
      <c r="DY56" s="46"/>
      <c r="DZ56" s="46"/>
      <c r="EA56" s="46"/>
      <c r="EB56" s="46"/>
      <c r="EC56" s="46"/>
      <c r="ED56" s="46"/>
      <c r="EE56" s="46"/>
      <c r="EF56" s="46"/>
      <c r="EG56" s="46"/>
      <c r="EH56" s="46"/>
      <c r="EI56" s="46"/>
      <c r="EJ56" s="46"/>
      <c r="EK56" s="46"/>
      <c r="EL56" s="46"/>
      <c r="EM56" s="46"/>
    </row>
    <row r="57" spans="1:143" ht="18" customHeight="1">
      <c r="A57" s="56"/>
      <c r="B57" s="56"/>
      <c r="C57" s="56"/>
      <c r="D57" s="56"/>
      <c r="E57" s="56"/>
      <c r="F57" s="56"/>
      <c r="G57" s="56"/>
      <c r="H57" s="56"/>
      <c r="I57" s="56"/>
      <c r="J57" s="56"/>
      <c r="K57" s="56"/>
      <c r="L57" s="56"/>
      <c r="M57" s="56"/>
      <c r="N57" s="56"/>
      <c r="O57" s="46"/>
      <c r="P57" s="46"/>
      <c r="Q57" s="46"/>
      <c r="R57" s="46"/>
      <c r="S57" s="46"/>
      <c r="T57" s="46"/>
      <c r="U57" s="46"/>
      <c r="V57" s="46"/>
      <c r="W57" s="46"/>
      <c r="X57" s="46"/>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c r="AY57" s="46"/>
      <c r="AZ57" s="46"/>
      <c r="BA57" s="46"/>
      <c r="BB57" s="46"/>
      <c r="BC57" s="46"/>
      <c r="BD57" s="46"/>
      <c r="BE57" s="46"/>
      <c r="BF57" s="46"/>
      <c r="BG57" s="46"/>
      <c r="BH57" s="46"/>
      <c r="BI57" s="46"/>
      <c r="BJ57" s="46"/>
      <c r="BK57" s="46"/>
      <c r="BL57" s="46"/>
      <c r="BM57" s="46"/>
      <c r="BN57" s="46"/>
      <c r="BO57" s="46"/>
      <c r="BP57" s="46"/>
      <c r="BQ57" s="46"/>
      <c r="BR57" s="46"/>
      <c r="BS57" s="46"/>
      <c r="BT57" s="46"/>
      <c r="BU57" s="46"/>
      <c r="BV57" s="46"/>
      <c r="BW57" s="46"/>
      <c r="BX57" s="46"/>
      <c r="BY57" s="46"/>
      <c r="BZ57" s="46"/>
      <c r="CA57" s="46"/>
      <c r="CB57" s="46"/>
      <c r="CC57" s="46"/>
      <c r="CD57" s="46"/>
      <c r="CE57" s="46"/>
      <c r="CF57" s="46"/>
      <c r="CG57" s="46"/>
      <c r="CH57" s="46"/>
      <c r="CI57" s="46"/>
      <c r="CJ57" s="46"/>
      <c r="CK57" s="46"/>
      <c r="CL57" s="46"/>
      <c r="CM57" s="46"/>
      <c r="CN57" s="46"/>
      <c r="CO57" s="46"/>
      <c r="CP57" s="46"/>
      <c r="CQ57" s="46"/>
      <c r="CR57" s="46"/>
      <c r="CS57" s="46"/>
      <c r="CT57" s="46"/>
      <c r="CU57" s="46"/>
      <c r="CV57" s="46"/>
      <c r="CW57" s="46"/>
      <c r="CX57" s="46"/>
      <c r="CY57" s="46"/>
      <c r="CZ57" s="46"/>
      <c r="DA57" s="46"/>
      <c r="DB57" s="46"/>
      <c r="DC57" s="46"/>
      <c r="DD57" s="46"/>
      <c r="DE57" s="46"/>
      <c r="DF57" s="46"/>
      <c r="DG57" s="46"/>
      <c r="DH57" s="46"/>
      <c r="DI57" s="46"/>
      <c r="DJ57" s="46"/>
      <c r="DK57" s="46"/>
      <c r="DL57" s="46"/>
      <c r="DM57" s="46"/>
      <c r="DN57" s="46"/>
      <c r="DO57" s="46"/>
      <c r="DP57" s="46"/>
      <c r="DQ57" s="46"/>
      <c r="DR57" s="46"/>
      <c r="DS57" s="46"/>
      <c r="DT57" s="46"/>
      <c r="DU57" s="46"/>
      <c r="DV57" s="46"/>
      <c r="DW57" s="46"/>
      <c r="DX57" s="46"/>
      <c r="DY57" s="46"/>
      <c r="DZ57" s="46"/>
      <c r="EA57" s="46"/>
      <c r="EB57" s="46"/>
      <c r="EC57" s="46"/>
      <c r="ED57" s="46"/>
      <c r="EE57" s="46"/>
      <c r="EF57" s="46"/>
      <c r="EG57" s="46"/>
      <c r="EH57" s="46"/>
      <c r="EI57" s="46"/>
      <c r="EJ57" s="46"/>
      <c r="EK57" s="46"/>
      <c r="EL57" s="46"/>
      <c r="EM57" s="46"/>
    </row>
    <row r="58" spans="1:143" ht="18" customHeight="1">
      <c r="A58" s="56"/>
      <c r="B58" s="56"/>
      <c r="C58" s="56"/>
      <c r="D58" s="56"/>
      <c r="E58" s="56"/>
      <c r="F58" s="56"/>
      <c r="G58" s="56"/>
      <c r="H58" s="56"/>
      <c r="I58" s="56"/>
      <c r="J58" s="56"/>
      <c r="K58" s="56"/>
      <c r="L58" s="56"/>
      <c r="M58" s="56"/>
      <c r="N58" s="56"/>
      <c r="O58" s="46"/>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c r="AY58" s="46"/>
      <c r="AZ58" s="46"/>
      <c r="BA58" s="46"/>
      <c r="BB58" s="46"/>
      <c r="BC58" s="46"/>
      <c r="BD58" s="46"/>
      <c r="BE58" s="46"/>
      <c r="BF58" s="46"/>
      <c r="BG58" s="46"/>
      <c r="BH58" s="46"/>
      <c r="BI58" s="46"/>
      <c r="BJ58" s="46"/>
      <c r="BK58" s="46"/>
      <c r="BL58" s="46"/>
      <c r="BM58" s="46"/>
      <c r="BN58" s="46"/>
      <c r="BO58" s="46"/>
      <c r="BP58" s="46"/>
      <c r="BQ58" s="46"/>
      <c r="BR58" s="46"/>
      <c r="BS58" s="46"/>
      <c r="BT58" s="46"/>
      <c r="BU58" s="46"/>
      <c r="BV58" s="46"/>
      <c r="BW58" s="46"/>
      <c r="BX58" s="46"/>
      <c r="BY58" s="46"/>
      <c r="BZ58" s="46"/>
      <c r="CA58" s="46"/>
      <c r="CB58" s="46"/>
      <c r="CC58" s="46"/>
      <c r="CD58" s="46"/>
      <c r="CE58" s="46"/>
      <c r="CF58" s="46"/>
      <c r="CG58" s="46"/>
      <c r="CH58" s="46"/>
      <c r="CI58" s="46"/>
      <c r="CJ58" s="46"/>
      <c r="CK58" s="46"/>
      <c r="CL58" s="46"/>
      <c r="CM58" s="46"/>
      <c r="CN58" s="46"/>
      <c r="CO58" s="46"/>
      <c r="CP58" s="46"/>
      <c r="CQ58" s="46"/>
      <c r="CR58" s="46"/>
      <c r="CS58" s="46"/>
      <c r="CT58" s="46"/>
      <c r="CU58" s="46"/>
      <c r="CV58" s="46"/>
      <c r="CW58" s="46"/>
      <c r="CX58" s="46"/>
      <c r="CY58" s="46"/>
      <c r="CZ58" s="46"/>
      <c r="DA58" s="46"/>
      <c r="DB58" s="46"/>
      <c r="DC58" s="46"/>
      <c r="DD58" s="46"/>
      <c r="DE58" s="46"/>
      <c r="DF58" s="46"/>
      <c r="DG58" s="46"/>
      <c r="DH58" s="46"/>
      <c r="DI58" s="46"/>
      <c r="DJ58" s="46"/>
      <c r="DK58" s="46"/>
      <c r="DL58" s="46"/>
      <c r="DM58" s="46"/>
      <c r="DN58" s="46"/>
      <c r="DO58" s="46"/>
      <c r="DP58" s="46"/>
      <c r="DQ58" s="46"/>
      <c r="DR58" s="46"/>
      <c r="DS58" s="46"/>
      <c r="DT58" s="46"/>
      <c r="DU58" s="46"/>
      <c r="DV58" s="46"/>
      <c r="DW58" s="46"/>
      <c r="DX58" s="46"/>
      <c r="DY58" s="46"/>
      <c r="DZ58" s="46"/>
      <c r="EA58" s="46"/>
      <c r="EB58" s="46"/>
      <c r="EC58" s="46"/>
      <c r="ED58" s="46"/>
      <c r="EE58" s="46"/>
      <c r="EF58" s="46"/>
      <c r="EG58" s="46"/>
      <c r="EH58" s="46"/>
      <c r="EI58" s="46"/>
      <c r="EJ58" s="46"/>
      <c r="EK58" s="46"/>
      <c r="EL58" s="46"/>
      <c r="EM58" s="46"/>
    </row>
    <row r="59" spans="1:143" ht="18" customHeight="1">
      <c r="A59" s="269" t="s">
        <v>171</v>
      </c>
      <c r="B59" s="269"/>
      <c r="C59" s="269"/>
      <c r="D59" s="269"/>
      <c r="E59" s="269"/>
      <c r="F59" s="269"/>
      <c r="G59" s="269"/>
      <c r="H59" s="57"/>
      <c r="I59" s="57"/>
      <c r="J59" s="57"/>
      <c r="K59" s="57"/>
      <c r="L59" s="57"/>
      <c r="M59" s="57"/>
      <c r="N59" s="57"/>
      <c r="O59" s="63"/>
      <c r="P59" s="63"/>
      <c r="Q59" s="63"/>
      <c r="R59" s="63"/>
      <c r="S59" s="63"/>
      <c r="T59" s="63"/>
      <c r="U59" s="63"/>
      <c r="V59" s="63"/>
      <c r="W59" s="63"/>
      <c r="X59" s="63"/>
      <c r="Y59" s="63"/>
      <c r="Z59" s="63"/>
      <c r="AA59" s="63"/>
      <c r="AB59" s="63"/>
      <c r="AC59" s="63"/>
      <c r="AD59" s="63"/>
      <c r="AE59" s="63"/>
      <c r="AF59" s="63"/>
      <c r="AG59" s="63"/>
      <c r="AH59" s="63"/>
      <c r="AI59" s="63"/>
      <c r="AJ59" s="63"/>
      <c r="AK59" s="63"/>
      <c r="AL59" s="63"/>
      <c r="AM59" s="63"/>
      <c r="AN59" s="63"/>
      <c r="AO59" s="63"/>
      <c r="AP59" s="63"/>
      <c r="AQ59" s="63"/>
      <c r="AR59" s="63"/>
      <c r="AS59" s="63"/>
      <c r="AT59" s="63"/>
      <c r="AU59" s="63"/>
      <c r="AV59" s="63"/>
      <c r="AW59" s="63"/>
      <c r="AX59" s="63"/>
      <c r="AY59" s="63"/>
      <c r="AZ59" s="63"/>
      <c r="BA59" s="63"/>
      <c r="BB59" s="63"/>
      <c r="BC59" s="63"/>
      <c r="BD59" s="63"/>
      <c r="BE59" s="63"/>
      <c r="BF59" s="63"/>
      <c r="BG59" s="63"/>
      <c r="BH59" s="63"/>
      <c r="BI59" s="63"/>
      <c r="BJ59" s="63"/>
      <c r="BK59" s="63"/>
      <c r="BL59" s="63"/>
      <c r="BM59" s="63"/>
      <c r="BN59" s="63"/>
      <c r="BO59" s="63"/>
      <c r="BP59" s="63"/>
      <c r="BQ59" s="63"/>
      <c r="BR59" s="63"/>
      <c r="BS59" s="63"/>
      <c r="BT59" s="63"/>
      <c r="BU59" s="63"/>
      <c r="BV59" s="63"/>
      <c r="BW59" s="63"/>
      <c r="BX59" s="63"/>
      <c r="BY59" s="63"/>
      <c r="BZ59" s="63"/>
      <c r="CA59" s="63"/>
      <c r="CB59" s="63"/>
      <c r="CC59" s="63"/>
      <c r="CD59" s="63"/>
      <c r="CE59" s="63"/>
      <c r="CF59" s="63"/>
      <c r="CG59" s="63"/>
      <c r="CH59" s="63"/>
      <c r="CI59" s="63"/>
      <c r="CJ59" s="63"/>
      <c r="CK59" s="63"/>
      <c r="CL59" s="63"/>
      <c r="CM59" s="63"/>
      <c r="CN59" s="63"/>
      <c r="CO59" s="63"/>
      <c r="CP59" s="63"/>
      <c r="CQ59" s="63"/>
      <c r="CR59" s="63"/>
      <c r="CS59" s="63"/>
      <c r="CT59" s="63"/>
      <c r="CU59" s="63"/>
      <c r="CV59" s="63"/>
      <c r="CW59" s="63"/>
      <c r="CX59" s="63"/>
      <c r="CY59" s="63"/>
      <c r="CZ59" s="63"/>
      <c r="DA59" s="63"/>
      <c r="DB59" s="63"/>
      <c r="DC59" s="63"/>
      <c r="DD59" s="63"/>
      <c r="DE59" s="63"/>
      <c r="DF59" s="63"/>
      <c r="DG59" s="63"/>
      <c r="DH59" s="63"/>
      <c r="DI59" s="63"/>
      <c r="DJ59" s="63"/>
      <c r="DK59" s="63"/>
      <c r="DL59" s="63"/>
      <c r="DM59" s="63"/>
      <c r="DN59" s="63"/>
      <c r="DO59" s="63"/>
      <c r="DP59" s="63"/>
      <c r="DQ59" s="63"/>
      <c r="DR59" s="63"/>
      <c r="DS59" s="63"/>
      <c r="DT59" s="63"/>
      <c r="DU59" s="63"/>
      <c r="DV59" s="63"/>
      <c r="DW59" s="63"/>
      <c r="DX59" s="63"/>
      <c r="DY59" s="63"/>
      <c r="DZ59" s="63"/>
      <c r="EA59" s="63"/>
      <c r="EB59" s="63"/>
      <c r="EC59" s="63"/>
      <c r="ED59" s="63"/>
      <c r="EE59" s="63"/>
      <c r="EF59" s="46"/>
      <c r="EG59" s="46"/>
      <c r="EH59" s="46"/>
      <c r="EI59" s="46"/>
      <c r="EJ59" s="46"/>
      <c r="EK59" s="46"/>
      <c r="EL59" s="46"/>
      <c r="EM59" s="46"/>
    </row>
    <row r="60" spans="1:143" ht="18" customHeight="1">
      <c r="A60" s="44" t="s">
        <v>126</v>
      </c>
      <c r="B60" s="44" t="s">
        <v>127</v>
      </c>
      <c r="C60" s="44" t="s">
        <v>128</v>
      </c>
      <c r="D60" s="44" t="s">
        <v>69</v>
      </c>
      <c r="E60" s="44" t="s">
        <v>129</v>
      </c>
      <c r="F60" s="44" t="s">
        <v>130</v>
      </c>
      <c r="G60" s="44" t="s">
        <v>144</v>
      </c>
      <c r="H60" s="57"/>
      <c r="I60" s="57"/>
      <c r="J60" s="57"/>
      <c r="K60" s="57"/>
      <c r="L60" s="57"/>
      <c r="M60" s="57"/>
      <c r="N60" s="57"/>
      <c r="O60" s="63"/>
      <c r="P60" s="63"/>
      <c r="Q60" s="63"/>
      <c r="R60" s="63"/>
      <c r="S60" s="63"/>
      <c r="T60" s="63"/>
      <c r="U60" s="63"/>
      <c r="V60" s="63"/>
      <c r="W60" s="63"/>
      <c r="X60" s="63"/>
      <c r="Y60" s="63"/>
      <c r="Z60" s="63"/>
      <c r="AA60" s="63"/>
      <c r="AB60" s="63"/>
      <c r="AC60" s="63"/>
      <c r="AD60" s="63"/>
      <c r="AE60" s="63"/>
      <c r="AF60" s="63"/>
      <c r="AG60" s="63"/>
      <c r="AH60" s="63"/>
      <c r="AI60" s="63"/>
      <c r="AJ60" s="63"/>
      <c r="AK60" s="63"/>
      <c r="AL60" s="63"/>
      <c r="AM60" s="63"/>
      <c r="AN60" s="63"/>
      <c r="AO60" s="63"/>
      <c r="AP60" s="63"/>
      <c r="AQ60" s="63"/>
      <c r="AR60" s="63"/>
      <c r="AS60" s="63"/>
      <c r="AT60" s="63"/>
      <c r="AU60" s="63"/>
      <c r="AV60" s="63"/>
      <c r="AW60" s="63"/>
      <c r="AX60" s="63"/>
      <c r="AY60" s="63"/>
      <c r="AZ60" s="63"/>
      <c r="BA60" s="63"/>
      <c r="BB60" s="63"/>
      <c r="BC60" s="63"/>
      <c r="BD60" s="63"/>
      <c r="BE60" s="63"/>
      <c r="BF60" s="63"/>
      <c r="BG60" s="63"/>
      <c r="BH60" s="63"/>
      <c r="BI60" s="63"/>
      <c r="BJ60" s="63"/>
      <c r="BK60" s="63"/>
      <c r="BL60" s="63"/>
      <c r="BM60" s="63"/>
      <c r="BN60" s="63"/>
      <c r="BO60" s="63"/>
      <c r="BP60" s="63"/>
      <c r="BQ60" s="63"/>
      <c r="BR60" s="63"/>
      <c r="BS60" s="63"/>
      <c r="BT60" s="63"/>
      <c r="BU60" s="63"/>
      <c r="BV60" s="63"/>
      <c r="BW60" s="63"/>
      <c r="BX60" s="63"/>
      <c r="BY60" s="63"/>
      <c r="BZ60" s="63"/>
      <c r="CA60" s="63"/>
      <c r="CB60" s="63"/>
      <c r="CC60" s="63"/>
      <c r="CD60" s="63"/>
      <c r="CE60" s="63"/>
      <c r="CF60" s="63"/>
      <c r="CG60" s="63"/>
      <c r="CH60" s="63"/>
      <c r="CI60" s="63"/>
      <c r="CJ60" s="63"/>
      <c r="CK60" s="63"/>
      <c r="CL60" s="63"/>
      <c r="CM60" s="63"/>
      <c r="CN60" s="63"/>
      <c r="CO60" s="63"/>
      <c r="CP60" s="63"/>
      <c r="CQ60" s="63"/>
      <c r="CR60" s="63"/>
      <c r="CS60" s="63"/>
      <c r="CT60" s="63"/>
      <c r="CU60" s="63"/>
      <c r="CV60" s="63"/>
      <c r="CW60" s="63"/>
      <c r="CX60" s="63"/>
      <c r="CY60" s="63"/>
      <c r="CZ60" s="63"/>
      <c r="DA60" s="63"/>
      <c r="DB60" s="63"/>
      <c r="DC60" s="63"/>
      <c r="DD60" s="63"/>
      <c r="DE60" s="63"/>
      <c r="DF60" s="63"/>
      <c r="DG60" s="63"/>
      <c r="DH60" s="63"/>
      <c r="DI60" s="63"/>
      <c r="DJ60" s="63"/>
      <c r="DK60" s="63"/>
      <c r="DL60" s="63"/>
      <c r="DM60" s="63"/>
      <c r="DN60" s="63"/>
      <c r="DO60" s="63"/>
      <c r="DP60" s="63"/>
      <c r="DQ60" s="63"/>
      <c r="DR60" s="63"/>
      <c r="DS60" s="63"/>
      <c r="DT60" s="63"/>
      <c r="DU60" s="63"/>
      <c r="DV60" s="63"/>
      <c r="DW60" s="63"/>
      <c r="DX60" s="63"/>
      <c r="DY60" s="63"/>
      <c r="DZ60" s="63"/>
      <c r="EA60" s="63"/>
      <c r="EB60" s="63"/>
      <c r="EC60" s="63"/>
      <c r="ED60" s="63"/>
      <c r="EE60" s="63"/>
      <c r="EF60" s="46"/>
      <c r="EG60" s="46"/>
      <c r="EH60" s="46"/>
      <c r="EI60" s="46"/>
      <c r="EJ60" s="46"/>
      <c r="EK60" s="46"/>
      <c r="EL60" s="46"/>
      <c r="EM60" s="46"/>
    </row>
    <row r="61" spans="1:143" ht="18" customHeight="1">
      <c r="A61" s="59" t="str" cm="1">
        <f t="array" ref="A61">IF(tblProjectInput[[#This Row],[Project Name]]="","","P"&amp;TEXT(ROW()-ROW(tblProjectInput[#Headers]),"000"))</f>
        <v/>
      </c>
      <c r="B61" s="64"/>
      <c r="C61" s="47"/>
      <c r="D61" s="47"/>
      <c r="E61" s="48"/>
      <c r="F61" s="48"/>
      <c r="G61" s="65"/>
      <c r="H61" s="57"/>
      <c r="I61" s="57"/>
      <c r="J61" s="57"/>
      <c r="K61" s="57"/>
      <c r="L61" s="57"/>
      <c r="M61" s="57"/>
      <c r="N61" s="57"/>
      <c r="O61" s="63"/>
      <c r="P61" s="63"/>
      <c r="Q61" s="63"/>
      <c r="R61" s="63"/>
      <c r="S61" s="63"/>
      <c r="T61" s="63"/>
      <c r="U61" s="63"/>
      <c r="V61" s="63"/>
      <c r="W61" s="63"/>
      <c r="X61" s="63"/>
      <c r="Y61" s="63"/>
      <c r="Z61" s="63"/>
      <c r="AA61" s="63"/>
      <c r="AB61" s="63"/>
      <c r="AC61" s="63"/>
      <c r="AD61" s="63"/>
      <c r="AE61" s="63"/>
      <c r="AF61" s="63"/>
      <c r="AG61" s="63"/>
      <c r="AH61" s="63"/>
      <c r="AI61" s="63"/>
      <c r="AJ61" s="63"/>
      <c r="AK61" s="63"/>
      <c r="AL61" s="63"/>
      <c r="AM61" s="63"/>
      <c r="AN61" s="63"/>
      <c r="AO61" s="63"/>
      <c r="AP61" s="63"/>
      <c r="AQ61" s="63"/>
      <c r="AR61" s="63"/>
      <c r="AS61" s="63"/>
      <c r="AT61" s="63"/>
      <c r="AU61" s="63"/>
      <c r="AV61" s="63"/>
      <c r="AW61" s="63"/>
      <c r="AX61" s="63"/>
      <c r="AY61" s="63"/>
      <c r="AZ61" s="63"/>
      <c r="BA61" s="63"/>
      <c r="BB61" s="63"/>
      <c r="BC61" s="63"/>
      <c r="BD61" s="63"/>
      <c r="BE61" s="63"/>
      <c r="BF61" s="63"/>
      <c r="BG61" s="63"/>
      <c r="BH61" s="63"/>
      <c r="BI61" s="63"/>
      <c r="BJ61" s="63"/>
      <c r="BK61" s="63"/>
      <c r="BL61" s="63"/>
      <c r="BM61" s="63"/>
      <c r="BN61" s="63"/>
      <c r="BO61" s="63"/>
      <c r="BP61" s="63"/>
      <c r="BQ61" s="63"/>
      <c r="BR61" s="63"/>
      <c r="BS61" s="63"/>
      <c r="BT61" s="63"/>
      <c r="BU61" s="63"/>
      <c r="BV61" s="63"/>
      <c r="BW61" s="63"/>
      <c r="BX61" s="63"/>
      <c r="BY61" s="63"/>
      <c r="BZ61" s="63"/>
      <c r="CA61" s="63"/>
      <c r="CB61" s="63"/>
      <c r="CC61" s="63"/>
      <c r="CD61" s="63"/>
      <c r="CE61" s="63"/>
      <c r="CF61" s="63"/>
      <c r="CG61" s="63"/>
      <c r="CH61" s="63"/>
      <c r="CI61" s="63"/>
      <c r="CJ61" s="63"/>
      <c r="CK61" s="63"/>
      <c r="CL61" s="63"/>
      <c r="CM61" s="63"/>
      <c r="CN61" s="63"/>
      <c r="CO61" s="63"/>
      <c r="CP61" s="63"/>
      <c r="CQ61" s="63"/>
      <c r="CR61" s="63"/>
      <c r="CS61" s="63"/>
      <c r="CT61" s="63"/>
      <c r="CU61" s="63"/>
      <c r="CV61" s="63"/>
      <c r="CW61" s="63"/>
      <c r="CX61" s="63"/>
      <c r="CY61" s="63"/>
      <c r="CZ61" s="63"/>
      <c r="DA61" s="63"/>
      <c r="DB61" s="63"/>
      <c r="DC61" s="63"/>
      <c r="DD61" s="63"/>
      <c r="DE61" s="63"/>
      <c r="DF61" s="63"/>
      <c r="DG61" s="63"/>
      <c r="DH61" s="63"/>
      <c r="DI61" s="63"/>
      <c r="DJ61" s="63"/>
      <c r="DK61" s="63"/>
      <c r="DL61" s="63"/>
      <c r="DM61" s="63"/>
      <c r="DN61" s="63"/>
      <c r="DO61" s="63"/>
      <c r="DP61" s="63"/>
      <c r="DQ61" s="63"/>
      <c r="DR61" s="63"/>
      <c r="DS61" s="63"/>
      <c r="DT61" s="63"/>
      <c r="DU61" s="63"/>
      <c r="DV61" s="63"/>
      <c r="DW61" s="63"/>
      <c r="DX61" s="63"/>
      <c r="DY61" s="63"/>
      <c r="DZ61" s="63"/>
      <c r="EA61" s="63"/>
      <c r="EB61" s="63"/>
      <c r="EC61" s="63"/>
      <c r="ED61" s="63"/>
      <c r="EE61" s="63"/>
      <c r="EF61" s="46"/>
      <c r="EG61" s="46"/>
      <c r="EH61" s="46"/>
      <c r="EI61" s="46"/>
      <c r="EJ61" s="46"/>
      <c r="EK61" s="46"/>
      <c r="EL61" s="46"/>
      <c r="EM61" s="46"/>
    </row>
    <row r="62" spans="1:143" ht="18" customHeight="1">
      <c r="A62" s="59" t="str" cm="1">
        <f t="array" ref="A62">IF(tblProjectInput[[#This Row],[Project Name]]="","","P"&amp;TEXT(ROW()-ROW(tblProjectInput[#Headers]),"000"))</f>
        <v/>
      </c>
      <c r="B62" s="64"/>
      <c r="C62" s="47"/>
      <c r="D62" s="47"/>
      <c r="E62" s="48"/>
      <c r="F62" s="48"/>
      <c r="G62" s="68"/>
      <c r="H62" s="57"/>
      <c r="I62" s="57"/>
      <c r="J62" s="57"/>
      <c r="K62" s="57"/>
      <c r="L62" s="57"/>
      <c r="M62" s="57"/>
      <c r="N62" s="57"/>
      <c r="O62" s="63"/>
      <c r="P62" s="63"/>
      <c r="Q62" s="63"/>
      <c r="R62" s="63"/>
      <c r="S62" s="63"/>
      <c r="T62" s="63"/>
      <c r="U62" s="63"/>
      <c r="V62" s="63"/>
      <c r="W62" s="63"/>
      <c r="X62" s="63"/>
      <c r="Y62" s="63"/>
      <c r="Z62" s="63"/>
      <c r="AA62" s="63"/>
      <c r="AB62" s="63"/>
      <c r="AC62" s="63"/>
      <c r="AD62" s="63"/>
      <c r="AE62" s="63"/>
      <c r="AF62" s="63"/>
      <c r="AG62" s="63"/>
      <c r="AH62" s="63"/>
      <c r="AI62" s="63"/>
      <c r="AJ62" s="63"/>
      <c r="AK62" s="63"/>
      <c r="AL62" s="63"/>
      <c r="AM62" s="63"/>
      <c r="AN62" s="63"/>
      <c r="AO62" s="63"/>
      <c r="AP62" s="63"/>
      <c r="AQ62" s="63"/>
      <c r="AR62" s="63"/>
      <c r="AS62" s="63"/>
      <c r="AT62" s="63"/>
      <c r="AU62" s="63"/>
      <c r="AV62" s="63"/>
      <c r="AW62" s="63"/>
      <c r="AX62" s="63"/>
      <c r="AY62" s="63"/>
      <c r="AZ62" s="63"/>
      <c r="BA62" s="63"/>
      <c r="BB62" s="63"/>
      <c r="BC62" s="63"/>
      <c r="BD62" s="63"/>
      <c r="BE62" s="63"/>
      <c r="BF62" s="63"/>
      <c r="BG62" s="63"/>
      <c r="BH62" s="63"/>
      <c r="BI62" s="63"/>
      <c r="BJ62" s="63"/>
      <c r="BK62" s="63"/>
      <c r="BL62" s="63"/>
      <c r="BM62" s="63"/>
      <c r="BN62" s="63"/>
      <c r="BO62" s="63"/>
      <c r="BP62" s="63"/>
      <c r="BQ62" s="63"/>
      <c r="BR62" s="63"/>
      <c r="BS62" s="63"/>
      <c r="BT62" s="63"/>
      <c r="BU62" s="63"/>
      <c r="BV62" s="63"/>
      <c r="BW62" s="63"/>
      <c r="BX62" s="63"/>
      <c r="BY62" s="63"/>
      <c r="BZ62" s="63"/>
      <c r="CA62" s="63"/>
      <c r="CB62" s="63"/>
      <c r="CC62" s="63"/>
      <c r="CD62" s="63"/>
      <c r="CE62" s="63"/>
      <c r="CF62" s="63"/>
      <c r="CG62" s="63"/>
      <c r="CH62" s="63"/>
      <c r="CI62" s="63"/>
      <c r="CJ62" s="63"/>
      <c r="CK62" s="63"/>
      <c r="CL62" s="63"/>
      <c r="CM62" s="63"/>
      <c r="CN62" s="63"/>
      <c r="CO62" s="63"/>
      <c r="CP62" s="63"/>
      <c r="CQ62" s="63"/>
      <c r="CR62" s="63"/>
      <c r="CS62" s="63"/>
      <c r="CT62" s="63"/>
      <c r="CU62" s="63"/>
      <c r="CV62" s="63"/>
      <c r="CW62" s="63"/>
      <c r="CX62" s="63"/>
      <c r="CY62" s="63"/>
      <c r="CZ62" s="63"/>
      <c r="DA62" s="63"/>
      <c r="DB62" s="63"/>
      <c r="DC62" s="63"/>
      <c r="DD62" s="63"/>
      <c r="DE62" s="63"/>
      <c r="DF62" s="63"/>
      <c r="DG62" s="63"/>
      <c r="DH62" s="63"/>
      <c r="DI62" s="63"/>
      <c r="DJ62" s="63"/>
      <c r="DK62" s="63"/>
      <c r="DL62" s="63"/>
      <c r="DM62" s="63"/>
      <c r="DN62" s="63"/>
      <c r="DO62" s="63"/>
      <c r="DP62" s="63"/>
      <c r="DQ62" s="63"/>
      <c r="DR62" s="63"/>
      <c r="DS62" s="63"/>
      <c r="DT62" s="63"/>
      <c r="DU62" s="63"/>
      <c r="DV62" s="63"/>
      <c r="DW62" s="63"/>
      <c r="DX62" s="63"/>
      <c r="DY62" s="63"/>
      <c r="DZ62" s="63"/>
      <c r="EA62" s="63"/>
      <c r="EB62" s="63"/>
      <c r="EC62" s="63"/>
      <c r="ED62" s="63"/>
      <c r="EE62" s="63"/>
      <c r="EF62" s="46"/>
      <c r="EG62" s="46"/>
      <c r="EH62" s="46"/>
      <c r="EI62" s="46"/>
      <c r="EJ62" s="46"/>
      <c r="EK62" s="46"/>
      <c r="EL62" s="46"/>
      <c r="EM62" s="46"/>
    </row>
    <row r="63" spans="1:143" ht="18" customHeight="1">
      <c r="A63" s="59" t="str" cm="1">
        <f t="array" ref="A63">IF(tblProjectInput[[#This Row],[Project Name]]="","","P"&amp;TEXT(ROW()-ROW(tblProjectInput[#Headers]),"000"))</f>
        <v/>
      </c>
      <c r="B63" s="64"/>
      <c r="C63" s="47"/>
      <c r="D63" s="47"/>
      <c r="E63" s="48"/>
      <c r="F63" s="48"/>
      <c r="G63" s="66"/>
      <c r="H63" s="57"/>
      <c r="I63" s="57"/>
      <c r="J63" s="57"/>
      <c r="K63" s="57"/>
      <c r="L63" s="57"/>
      <c r="M63" s="57"/>
      <c r="N63" s="57"/>
      <c r="O63" s="63"/>
      <c r="P63" s="63"/>
      <c r="Q63" s="63"/>
      <c r="R63" s="63"/>
      <c r="S63" s="63"/>
      <c r="T63" s="63"/>
      <c r="U63" s="63"/>
      <c r="V63" s="63"/>
      <c r="W63" s="63"/>
      <c r="X63" s="63"/>
      <c r="Y63" s="63"/>
      <c r="Z63" s="63"/>
      <c r="AA63" s="63"/>
      <c r="AB63" s="63"/>
      <c r="AC63" s="63"/>
      <c r="AD63" s="63"/>
      <c r="AE63" s="63"/>
      <c r="AF63" s="63"/>
      <c r="AG63" s="63"/>
      <c r="AH63" s="63"/>
      <c r="AI63" s="63"/>
      <c r="AJ63" s="63"/>
      <c r="AK63" s="63"/>
      <c r="AL63" s="63"/>
      <c r="AM63" s="63"/>
      <c r="AN63" s="63"/>
      <c r="AO63" s="63"/>
      <c r="AP63" s="63"/>
      <c r="AQ63" s="63"/>
      <c r="AR63" s="63"/>
      <c r="AS63" s="63"/>
      <c r="AT63" s="63"/>
      <c r="AU63" s="63"/>
      <c r="AV63" s="63"/>
      <c r="AW63" s="63"/>
      <c r="AX63" s="63"/>
      <c r="AY63" s="63"/>
      <c r="AZ63" s="63"/>
      <c r="BA63" s="63"/>
      <c r="BB63" s="63"/>
      <c r="BC63" s="63"/>
      <c r="BD63" s="63"/>
      <c r="BE63" s="63"/>
      <c r="BF63" s="63"/>
      <c r="BG63" s="63"/>
      <c r="BH63" s="63"/>
      <c r="BI63" s="63"/>
      <c r="BJ63" s="63"/>
      <c r="BK63" s="63"/>
      <c r="BL63" s="63"/>
      <c r="BM63" s="63"/>
      <c r="BN63" s="63"/>
      <c r="BO63" s="63"/>
      <c r="BP63" s="63"/>
      <c r="BQ63" s="63"/>
      <c r="BR63" s="63"/>
      <c r="BS63" s="63"/>
      <c r="BT63" s="63"/>
      <c r="BU63" s="63"/>
      <c r="BV63" s="63"/>
      <c r="BW63" s="63"/>
      <c r="BX63" s="63"/>
      <c r="BY63" s="63"/>
      <c r="BZ63" s="63"/>
      <c r="CA63" s="63"/>
      <c r="CB63" s="63"/>
      <c r="CC63" s="63"/>
      <c r="CD63" s="63"/>
      <c r="CE63" s="63"/>
      <c r="CF63" s="63"/>
      <c r="CG63" s="63"/>
      <c r="CH63" s="63"/>
      <c r="CI63" s="63"/>
      <c r="CJ63" s="63"/>
      <c r="CK63" s="63"/>
      <c r="CL63" s="63"/>
      <c r="CM63" s="63"/>
      <c r="CN63" s="63"/>
      <c r="CO63" s="63"/>
      <c r="CP63" s="63"/>
      <c r="CQ63" s="63"/>
      <c r="CR63" s="63"/>
      <c r="CS63" s="63"/>
      <c r="CT63" s="63"/>
      <c r="CU63" s="63"/>
      <c r="CV63" s="63"/>
      <c r="CW63" s="63"/>
      <c r="CX63" s="63"/>
      <c r="CY63" s="63"/>
      <c r="CZ63" s="63"/>
      <c r="DA63" s="63"/>
      <c r="DB63" s="63"/>
      <c r="DC63" s="63"/>
      <c r="DD63" s="63"/>
      <c r="DE63" s="63"/>
      <c r="DF63" s="63"/>
      <c r="DG63" s="63"/>
      <c r="DH63" s="63"/>
      <c r="DI63" s="63"/>
      <c r="DJ63" s="63"/>
      <c r="DK63" s="63"/>
      <c r="DL63" s="63"/>
      <c r="DM63" s="63"/>
      <c r="DN63" s="63"/>
      <c r="DO63" s="63"/>
      <c r="DP63" s="63"/>
      <c r="DQ63" s="63"/>
      <c r="DR63" s="63"/>
      <c r="DS63" s="63"/>
      <c r="DT63" s="63"/>
      <c r="DU63" s="63"/>
      <c r="DV63" s="63"/>
      <c r="DW63" s="63"/>
      <c r="DX63" s="63"/>
      <c r="DY63" s="63"/>
      <c r="DZ63" s="63"/>
      <c r="EA63" s="63"/>
      <c r="EB63" s="63"/>
      <c r="EC63" s="63"/>
      <c r="ED63" s="63"/>
      <c r="EE63" s="63"/>
      <c r="EF63" s="46"/>
      <c r="EG63" s="46"/>
      <c r="EH63" s="46"/>
      <c r="EI63" s="46"/>
      <c r="EJ63" s="46"/>
      <c r="EK63" s="46"/>
      <c r="EL63" s="46"/>
      <c r="EM63" s="46"/>
    </row>
    <row r="64" spans="1:143" ht="18" customHeight="1">
      <c r="A64" s="59" t="str" cm="1">
        <f t="array" ref="A64">IF(tblProjectInput[[#This Row],[Project Name]]="","","P"&amp;TEXT(ROW()-ROW(tblProjectInput[#Headers]),"000"))</f>
        <v/>
      </c>
      <c r="B64" s="64"/>
      <c r="C64" s="47"/>
      <c r="D64" s="47"/>
      <c r="E64" s="48"/>
      <c r="F64" s="48"/>
      <c r="G64" s="66"/>
      <c r="H64" s="57"/>
      <c r="I64" s="57"/>
      <c r="J64" s="57"/>
      <c r="K64" s="57"/>
      <c r="L64" s="57"/>
      <c r="M64" s="57"/>
      <c r="N64" s="57"/>
      <c r="O64" s="63"/>
      <c r="P64" s="63"/>
      <c r="Q64" s="63"/>
      <c r="R64" s="63"/>
      <c r="S64" s="63"/>
      <c r="T64" s="63"/>
      <c r="U64" s="63"/>
      <c r="V64" s="63"/>
      <c r="W64" s="63"/>
      <c r="X64" s="63"/>
      <c r="Y64" s="63"/>
      <c r="Z64" s="63"/>
      <c r="AA64" s="63"/>
      <c r="AB64" s="63"/>
      <c r="AC64" s="63"/>
      <c r="AD64" s="63"/>
      <c r="AE64" s="63"/>
      <c r="AF64" s="63"/>
      <c r="AG64" s="63"/>
      <c r="AH64" s="63"/>
      <c r="AI64" s="63"/>
      <c r="AJ64" s="63"/>
      <c r="AK64" s="63"/>
      <c r="AL64" s="63"/>
      <c r="AM64" s="63"/>
      <c r="AN64" s="63"/>
      <c r="AO64" s="63"/>
      <c r="AP64" s="63"/>
      <c r="AQ64" s="63"/>
      <c r="AR64" s="63"/>
      <c r="AS64" s="63"/>
      <c r="AT64" s="63"/>
      <c r="AU64" s="63"/>
      <c r="AV64" s="63"/>
      <c r="AW64" s="63"/>
      <c r="AX64" s="63"/>
      <c r="AY64" s="63"/>
      <c r="AZ64" s="63"/>
      <c r="BA64" s="63"/>
      <c r="BB64" s="63"/>
      <c r="BC64" s="63"/>
      <c r="BD64" s="63"/>
      <c r="BE64" s="63"/>
      <c r="BF64" s="63"/>
      <c r="BG64" s="63"/>
      <c r="BH64" s="63"/>
      <c r="BI64" s="63"/>
      <c r="BJ64" s="63"/>
      <c r="BK64" s="63"/>
      <c r="BL64" s="63"/>
      <c r="BM64" s="63"/>
      <c r="BN64" s="63"/>
      <c r="BO64" s="63"/>
      <c r="BP64" s="63"/>
      <c r="BQ64" s="63"/>
      <c r="BR64" s="63"/>
      <c r="BS64" s="63"/>
      <c r="BT64" s="63"/>
      <c r="BU64" s="63"/>
      <c r="BV64" s="63"/>
      <c r="BW64" s="63"/>
      <c r="BX64" s="63"/>
      <c r="BY64" s="63"/>
      <c r="BZ64" s="63"/>
      <c r="CA64" s="63"/>
      <c r="CB64" s="63"/>
      <c r="CC64" s="63"/>
      <c r="CD64" s="63"/>
      <c r="CE64" s="63"/>
      <c r="CF64" s="63"/>
      <c r="CG64" s="63"/>
      <c r="CH64" s="63"/>
      <c r="CI64" s="63"/>
      <c r="CJ64" s="63"/>
      <c r="CK64" s="63"/>
      <c r="CL64" s="63"/>
      <c r="CM64" s="63"/>
      <c r="CN64" s="63"/>
      <c r="CO64" s="63"/>
      <c r="CP64" s="63"/>
      <c r="CQ64" s="63"/>
      <c r="CR64" s="63"/>
      <c r="CS64" s="63"/>
      <c r="CT64" s="63"/>
      <c r="CU64" s="63"/>
      <c r="CV64" s="63"/>
      <c r="CW64" s="63"/>
      <c r="CX64" s="63"/>
      <c r="CY64" s="63"/>
      <c r="CZ64" s="63"/>
      <c r="DA64" s="63"/>
      <c r="DB64" s="63"/>
      <c r="DC64" s="63"/>
      <c r="DD64" s="63"/>
      <c r="DE64" s="63"/>
      <c r="DF64" s="63"/>
      <c r="DG64" s="63"/>
      <c r="DH64" s="63"/>
      <c r="DI64" s="63"/>
      <c r="DJ64" s="63"/>
      <c r="DK64" s="63"/>
      <c r="DL64" s="63"/>
      <c r="DM64" s="63"/>
      <c r="DN64" s="63"/>
      <c r="DO64" s="63"/>
      <c r="DP64" s="63"/>
      <c r="DQ64" s="63"/>
      <c r="DR64" s="63"/>
      <c r="DS64" s="63"/>
      <c r="DT64" s="63"/>
      <c r="DU64" s="63"/>
      <c r="DV64" s="63"/>
      <c r="DW64" s="63"/>
      <c r="DX64" s="63"/>
      <c r="DY64" s="63"/>
      <c r="DZ64" s="63"/>
      <c r="EA64" s="63"/>
      <c r="EB64" s="63"/>
      <c r="EC64" s="63"/>
      <c r="ED64" s="63"/>
      <c r="EE64" s="63"/>
      <c r="EF64" s="46"/>
      <c r="EG64" s="46"/>
      <c r="EH64" s="46"/>
      <c r="EI64" s="46"/>
      <c r="EJ64" s="46"/>
      <c r="EK64" s="46"/>
      <c r="EL64" s="46"/>
      <c r="EM64" s="46"/>
    </row>
    <row r="65" spans="1:143" ht="18" customHeight="1">
      <c r="A65" s="59" t="str" cm="1">
        <f t="array" ref="A65">IF(tblProjectInput[[#This Row],[Project Name]]="","","P"&amp;TEXT(ROW()-ROW(tblProjectInput[#Headers]),"000"))</f>
        <v/>
      </c>
      <c r="B65" s="64"/>
      <c r="C65" s="47"/>
      <c r="D65" s="47"/>
      <c r="E65" s="48"/>
      <c r="F65" s="48"/>
      <c r="G65" s="66"/>
      <c r="H65" s="57"/>
      <c r="I65" s="57"/>
      <c r="J65" s="57"/>
      <c r="K65" s="57"/>
      <c r="L65" s="57"/>
      <c r="M65" s="57"/>
      <c r="N65" s="57"/>
      <c r="O65" s="63"/>
      <c r="P65" s="63"/>
      <c r="Q65" s="63"/>
      <c r="R65" s="63"/>
      <c r="S65" s="63"/>
      <c r="T65" s="63"/>
      <c r="U65" s="63"/>
      <c r="V65" s="63"/>
      <c r="W65" s="63"/>
      <c r="X65" s="63"/>
      <c r="Y65" s="63"/>
      <c r="Z65" s="63"/>
      <c r="AA65" s="63"/>
      <c r="AB65" s="63"/>
      <c r="AC65" s="63"/>
      <c r="AD65" s="63"/>
      <c r="AE65" s="63"/>
      <c r="AF65" s="63"/>
      <c r="AG65" s="63"/>
      <c r="AH65" s="63"/>
      <c r="AI65" s="63"/>
      <c r="AJ65" s="63"/>
      <c r="AK65" s="63"/>
      <c r="AL65" s="63"/>
      <c r="AM65" s="63"/>
      <c r="AN65" s="63"/>
      <c r="AO65" s="63"/>
      <c r="AP65" s="63"/>
      <c r="AQ65" s="63"/>
      <c r="AR65" s="63"/>
      <c r="AS65" s="63"/>
      <c r="AT65" s="63"/>
      <c r="AU65" s="63"/>
      <c r="AV65" s="63"/>
      <c r="AW65" s="63"/>
      <c r="AX65" s="63"/>
      <c r="AY65" s="63"/>
      <c r="AZ65" s="63"/>
      <c r="BA65" s="63"/>
      <c r="BB65" s="63"/>
      <c r="BC65" s="63"/>
      <c r="BD65" s="63"/>
      <c r="BE65" s="63"/>
      <c r="BF65" s="63"/>
      <c r="BG65" s="63"/>
      <c r="BH65" s="63"/>
      <c r="BI65" s="63"/>
      <c r="BJ65" s="63"/>
      <c r="BK65" s="63"/>
      <c r="BL65" s="63"/>
      <c r="BM65" s="63"/>
      <c r="BN65" s="63"/>
      <c r="BO65" s="63"/>
      <c r="BP65" s="63"/>
      <c r="BQ65" s="63"/>
      <c r="BR65" s="63"/>
      <c r="BS65" s="63"/>
      <c r="BT65" s="63"/>
      <c r="BU65" s="63"/>
      <c r="BV65" s="63"/>
      <c r="BW65" s="63"/>
      <c r="BX65" s="63"/>
      <c r="BY65" s="63"/>
      <c r="BZ65" s="63"/>
      <c r="CA65" s="63"/>
      <c r="CB65" s="63"/>
      <c r="CC65" s="63"/>
      <c r="CD65" s="63"/>
      <c r="CE65" s="63"/>
      <c r="CF65" s="63"/>
      <c r="CG65" s="63"/>
      <c r="CH65" s="63"/>
      <c r="CI65" s="63"/>
      <c r="CJ65" s="63"/>
      <c r="CK65" s="63"/>
      <c r="CL65" s="63"/>
      <c r="CM65" s="63"/>
      <c r="CN65" s="63"/>
      <c r="CO65" s="63"/>
      <c r="CP65" s="63"/>
      <c r="CQ65" s="63"/>
      <c r="CR65" s="63"/>
      <c r="CS65" s="63"/>
      <c r="CT65" s="63"/>
      <c r="CU65" s="63"/>
      <c r="CV65" s="63"/>
      <c r="CW65" s="63"/>
      <c r="CX65" s="63"/>
      <c r="CY65" s="63"/>
      <c r="CZ65" s="63"/>
      <c r="DA65" s="63"/>
      <c r="DB65" s="63"/>
      <c r="DC65" s="63"/>
      <c r="DD65" s="63"/>
      <c r="DE65" s="63"/>
      <c r="DF65" s="63"/>
      <c r="DG65" s="63"/>
      <c r="DH65" s="63"/>
      <c r="DI65" s="63"/>
      <c r="DJ65" s="63"/>
      <c r="DK65" s="63"/>
      <c r="DL65" s="63"/>
      <c r="DM65" s="63"/>
      <c r="DN65" s="63"/>
      <c r="DO65" s="63"/>
      <c r="DP65" s="63"/>
      <c r="DQ65" s="63"/>
      <c r="DR65" s="63"/>
      <c r="DS65" s="63"/>
      <c r="DT65" s="63"/>
      <c r="DU65" s="63"/>
      <c r="DV65" s="63"/>
      <c r="DW65" s="63"/>
      <c r="DX65" s="63"/>
      <c r="DY65" s="63"/>
      <c r="DZ65" s="63"/>
      <c r="EA65" s="63"/>
      <c r="EB65" s="63"/>
      <c r="EC65" s="63"/>
      <c r="ED65" s="63"/>
      <c r="EE65" s="63"/>
      <c r="EF65" s="46"/>
      <c r="EG65" s="46"/>
      <c r="EH65" s="46"/>
      <c r="EI65" s="46"/>
      <c r="EJ65" s="46"/>
      <c r="EK65" s="46"/>
      <c r="EL65" s="46"/>
      <c r="EM65" s="46"/>
    </row>
    <row r="66" spans="1:143" ht="18" customHeight="1">
      <c r="A66" s="59" t="str" cm="1">
        <f t="array" ref="A66">IF(tblProjectInput[[#This Row],[Project Name]]="","","P"&amp;TEXT(ROW()-ROW(tblProjectInput[#Headers]),"000"))</f>
        <v/>
      </c>
      <c r="B66" s="64"/>
      <c r="C66" s="47"/>
      <c r="D66" s="47"/>
      <c r="E66" s="48"/>
      <c r="F66" s="48"/>
      <c r="G66" s="66"/>
      <c r="H66" s="57"/>
      <c r="I66" s="57"/>
      <c r="J66" s="57"/>
      <c r="K66" s="57"/>
      <c r="L66" s="57"/>
      <c r="M66" s="57"/>
      <c r="N66" s="57"/>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s="63"/>
      <c r="AN66" s="63"/>
      <c r="AO66" s="63"/>
      <c r="AP66" s="63"/>
      <c r="AQ66" s="63"/>
      <c r="AR66" s="63"/>
      <c r="AS66" s="63"/>
      <c r="AT66" s="63"/>
      <c r="AU66" s="63"/>
      <c r="AV66" s="63"/>
      <c r="AW66" s="63"/>
      <c r="AX66" s="63"/>
      <c r="AY66" s="63"/>
      <c r="AZ66" s="63"/>
      <c r="BA66" s="63"/>
      <c r="BB66" s="63"/>
      <c r="BC66" s="63"/>
      <c r="BD66" s="63"/>
      <c r="BE66" s="63"/>
      <c r="BF66" s="63"/>
      <c r="BG66" s="63"/>
      <c r="BH66" s="63"/>
      <c r="BI66" s="63"/>
      <c r="BJ66" s="63"/>
      <c r="BK66" s="63"/>
      <c r="BL66" s="63"/>
      <c r="BM66" s="63"/>
      <c r="BN66" s="63"/>
      <c r="BO66" s="63"/>
      <c r="BP66" s="63"/>
      <c r="BQ66" s="63"/>
      <c r="BR66" s="63"/>
      <c r="BS66" s="63"/>
      <c r="BT66" s="63"/>
      <c r="BU66" s="63"/>
      <c r="BV66" s="63"/>
      <c r="BW66" s="63"/>
      <c r="BX66" s="63"/>
      <c r="BY66" s="63"/>
      <c r="BZ66" s="63"/>
      <c r="CA66" s="63"/>
      <c r="CB66" s="63"/>
      <c r="CC66" s="63"/>
      <c r="CD66" s="63"/>
      <c r="CE66" s="63"/>
      <c r="CF66" s="63"/>
      <c r="CG66" s="63"/>
      <c r="CH66" s="63"/>
      <c r="CI66" s="63"/>
      <c r="CJ66" s="63"/>
      <c r="CK66" s="63"/>
      <c r="CL66" s="63"/>
      <c r="CM66" s="63"/>
      <c r="CN66" s="63"/>
      <c r="CO66" s="63"/>
      <c r="CP66" s="63"/>
      <c r="CQ66" s="63"/>
      <c r="CR66" s="63"/>
      <c r="CS66" s="63"/>
      <c r="CT66" s="63"/>
      <c r="CU66" s="63"/>
      <c r="CV66" s="63"/>
      <c r="CW66" s="63"/>
      <c r="CX66" s="63"/>
      <c r="CY66" s="63"/>
      <c r="CZ66" s="63"/>
      <c r="DA66" s="63"/>
      <c r="DB66" s="63"/>
      <c r="DC66" s="63"/>
      <c r="DD66" s="63"/>
      <c r="DE66" s="63"/>
      <c r="DF66" s="63"/>
      <c r="DG66" s="63"/>
      <c r="DH66" s="63"/>
      <c r="DI66" s="63"/>
      <c r="DJ66" s="63"/>
      <c r="DK66" s="63"/>
      <c r="DL66" s="63"/>
      <c r="DM66" s="63"/>
      <c r="DN66" s="63"/>
      <c r="DO66" s="63"/>
      <c r="DP66" s="63"/>
      <c r="DQ66" s="63"/>
      <c r="DR66" s="63"/>
      <c r="DS66" s="63"/>
      <c r="DT66" s="63"/>
      <c r="DU66" s="63"/>
      <c r="DV66" s="63"/>
      <c r="DW66" s="63"/>
      <c r="DX66" s="63"/>
      <c r="DY66" s="63"/>
      <c r="DZ66" s="63"/>
      <c r="EA66" s="63"/>
      <c r="EB66" s="63"/>
      <c r="EC66" s="63"/>
      <c r="ED66" s="63"/>
      <c r="EE66" s="63"/>
      <c r="EF66" s="46"/>
      <c r="EG66" s="46"/>
      <c r="EH66" s="46"/>
      <c r="EI66" s="46"/>
      <c r="EJ66" s="46"/>
      <c r="EK66" s="46"/>
      <c r="EL66" s="46"/>
      <c r="EM66" s="46"/>
    </row>
    <row r="67" spans="1:143" ht="18" customHeight="1">
      <c r="A67" s="59" t="str" cm="1">
        <f t="array" ref="A67">IF(tblProjectInput[[#This Row],[Project Name]]="","","P"&amp;TEXT(ROW()-ROW(tblProjectInput[#Headers]),"000"))</f>
        <v/>
      </c>
      <c r="B67" s="64"/>
      <c r="C67" s="47"/>
      <c r="D67" s="47"/>
      <c r="E67" s="48"/>
      <c r="F67" s="48"/>
      <c r="G67" s="66"/>
      <c r="H67" s="57"/>
      <c r="I67" s="57"/>
      <c r="J67" s="57"/>
      <c r="K67" s="57"/>
      <c r="L67" s="57"/>
      <c r="M67" s="57"/>
      <c r="N67" s="57"/>
      <c r="O67" s="63"/>
      <c r="P67" s="63"/>
      <c r="Q67" s="63"/>
      <c r="R67" s="63"/>
      <c r="S67" s="63"/>
      <c r="T67" s="63"/>
      <c r="U67" s="63"/>
      <c r="V67" s="63"/>
      <c r="W67" s="63"/>
      <c r="X67" s="63"/>
      <c r="Y67" s="63"/>
      <c r="Z67" s="63"/>
      <c r="AA67" s="63"/>
      <c r="AB67" s="63"/>
      <c r="AC67" s="63"/>
      <c r="AD67" s="63"/>
      <c r="AE67" s="63"/>
      <c r="AF67" s="63"/>
      <c r="AG67" s="63"/>
      <c r="AH67" s="63"/>
      <c r="AI67" s="63"/>
      <c r="AJ67" s="63"/>
      <c r="AK67" s="63"/>
      <c r="AL67" s="63"/>
      <c r="AM67" s="63"/>
      <c r="AN67" s="63"/>
      <c r="AO67" s="63"/>
      <c r="AP67" s="63"/>
      <c r="AQ67" s="63"/>
      <c r="AR67" s="63"/>
      <c r="AS67" s="63"/>
      <c r="AT67" s="63"/>
      <c r="AU67" s="63"/>
      <c r="AV67" s="63"/>
      <c r="AW67" s="63"/>
      <c r="AX67" s="63"/>
      <c r="AY67" s="63"/>
      <c r="AZ67" s="63"/>
      <c r="BA67" s="63"/>
      <c r="BB67" s="63"/>
      <c r="BC67" s="63"/>
      <c r="BD67" s="63"/>
      <c r="BE67" s="63"/>
      <c r="BF67" s="63"/>
      <c r="BG67" s="63"/>
      <c r="BH67" s="63"/>
      <c r="BI67" s="63"/>
      <c r="BJ67" s="63"/>
      <c r="BK67" s="63"/>
      <c r="BL67" s="63"/>
      <c r="BM67" s="63"/>
      <c r="BN67" s="63"/>
      <c r="BO67" s="63"/>
      <c r="BP67" s="63"/>
      <c r="BQ67" s="63"/>
      <c r="BR67" s="63"/>
      <c r="BS67" s="63"/>
      <c r="BT67" s="63"/>
      <c r="BU67" s="63"/>
      <c r="BV67" s="63"/>
      <c r="BW67" s="63"/>
      <c r="BX67" s="63"/>
      <c r="BY67" s="63"/>
      <c r="BZ67" s="63"/>
      <c r="CA67" s="63"/>
      <c r="CB67" s="63"/>
      <c r="CC67" s="63"/>
      <c r="CD67" s="63"/>
      <c r="CE67" s="63"/>
      <c r="CF67" s="63"/>
      <c r="CG67" s="63"/>
      <c r="CH67" s="63"/>
      <c r="CI67" s="63"/>
      <c r="CJ67" s="63"/>
      <c r="CK67" s="63"/>
      <c r="CL67" s="63"/>
      <c r="CM67" s="63"/>
      <c r="CN67" s="63"/>
      <c r="CO67" s="63"/>
      <c r="CP67" s="63"/>
      <c r="CQ67" s="63"/>
      <c r="CR67" s="63"/>
      <c r="CS67" s="63"/>
      <c r="CT67" s="63"/>
      <c r="CU67" s="63"/>
      <c r="CV67" s="63"/>
      <c r="CW67" s="63"/>
      <c r="CX67" s="63"/>
      <c r="CY67" s="63"/>
      <c r="CZ67" s="63"/>
      <c r="DA67" s="63"/>
      <c r="DB67" s="63"/>
      <c r="DC67" s="63"/>
      <c r="DD67" s="63"/>
      <c r="DE67" s="63"/>
      <c r="DF67" s="63"/>
      <c r="DG67" s="63"/>
      <c r="DH67" s="63"/>
      <c r="DI67" s="63"/>
      <c r="DJ67" s="63"/>
      <c r="DK67" s="63"/>
      <c r="DL67" s="63"/>
      <c r="DM67" s="63"/>
      <c r="DN67" s="63"/>
      <c r="DO67" s="63"/>
      <c r="DP67" s="63"/>
      <c r="DQ67" s="63"/>
      <c r="DR67" s="63"/>
      <c r="DS67" s="63"/>
      <c r="DT67" s="63"/>
      <c r="DU67" s="63"/>
      <c r="DV67" s="63"/>
      <c r="DW67" s="63"/>
      <c r="DX67" s="63"/>
      <c r="DY67" s="63"/>
      <c r="DZ67" s="63"/>
      <c r="EA67" s="63"/>
      <c r="EB67" s="63"/>
      <c r="EC67" s="63"/>
      <c r="ED67" s="63"/>
      <c r="EE67" s="63"/>
      <c r="EF67" s="46"/>
      <c r="EG67" s="46"/>
      <c r="EH67" s="46"/>
      <c r="EI67" s="46"/>
      <c r="EJ67" s="46"/>
      <c r="EK67" s="46"/>
      <c r="EL67" s="46"/>
      <c r="EM67" s="46"/>
    </row>
    <row r="68" spans="1:143" ht="18" customHeight="1">
      <c r="A68" s="59" t="str" cm="1">
        <f t="array" ref="A68">IF(tblProjectInput[[#This Row],[Project Name]]="","","P"&amp;TEXT(ROW()-ROW(tblProjectInput[#Headers]),"000"))</f>
        <v/>
      </c>
      <c r="B68" s="64"/>
      <c r="C68" s="47"/>
      <c r="D68" s="47"/>
      <c r="E68" s="48"/>
      <c r="F68" s="48"/>
      <c r="G68" s="66"/>
      <c r="H68" s="57"/>
      <c r="I68" s="57"/>
      <c r="J68" s="57"/>
      <c r="K68" s="57"/>
      <c r="L68" s="57"/>
      <c r="M68" s="57"/>
      <c r="N68" s="57"/>
      <c r="O68" s="63"/>
      <c r="P68" s="63"/>
      <c r="Q68" s="63"/>
      <c r="R68" s="63"/>
      <c r="S68" s="63"/>
      <c r="T68" s="63"/>
      <c r="U68" s="63"/>
      <c r="V68" s="63"/>
      <c r="W68" s="63"/>
      <c r="X68" s="63"/>
      <c r="Y68" s="63"/>
      <c r="Z68" s="63"/>
      <c r="AA68" s="63"/>
      <c r="AB68" s="63"/>
      <c r="AC68" s="63"/>
      <c r="AD68" s="63"/>
      <c r="AE68" s="63"/>
      <c r="AF68" s="63"/>
      <c r="AG68" s="63"/>
      <c r="AH68" s="63"/>
      <c r="AI68" s="63"/>
      <c r="AJ68" s="63"/>
      <c r="AK68" s="63"/>
      <c r="AL68" s="63"/>
      <c r="AM68" s="63"/>
      <c r="AN68" s="63"/>
      <c r="AO68" s="63"/>
      <c r="AP68" s="63"/>
      <c r="AQ68" s="63"/>
      <c r="AR68" s="63"/>
      <c r="AS68" s="63"/>
      <c r="AT68" s="63"/>
      <c r="AU68" s="63"/>
      <c r="AV68" s="63"/>
      <c r="AW68" s="63"/>
      <c r="AX68" s="63"/>
      <c r="AY68" s="63"/>
      <c r="AZ68" s="63"/>
      <c r="BA68" s="63"/>
      <c r="BB68" s="63"/>
      <c r="BC68" s="63"/>
      <c r="BD68" s="63"/>
      <c r="BE68" s="63"/>
      <c r="BF68" s="63"/>
      <c r="BG68" s="63"/>
      <c r="BH68" s="63"/>
      <c r="BI68" s="63"/>
      <c r="BJ68" s="63"/>
      <c r="BK68" s="63"/>
      <c r="BL68" s="63"/>
      <c r="BM68" s="63"/>
      <c r="BN68" s="63"/>
      <c r="BO68" s="63"/>
      <c r="BP68" s="63"/>
      <c r="BQ68" s="63"/>
      <c r="BR68" s="63"/>
      <c r="BS68" s="63"/>
      <c r="BT68" s="63"/>
      <c r="BU68" s="63"/>
      <c r="BV68" s="63"/>
      <c r="BW68" s="63"/>
      <c r="BX68" s="63"/>
      <c r="BY68" s="63"/>
      <c r="BZ68" s="63"/>
      <c r="CA68" s="63"/>
      <c r="CB68" s="63"/>
      <c r="CC68" s="63"/>
      <c r="CD68" s="63"/>
      <c r="CE68" s="63"/>
      <c r="CF68" s="63"/>
      <c r="CG68" s="63"/>
      <c r="CH68" s="63"/>
      <c r="CI68" s="63"/>
      <c r="CJ68" s="63"/>
      <c r="CK68" s="63"/>
      <c r="CL68" s="63"/>
      <c r="CM68" s="63"/>
      <c r="CN68" s="63"/>
      <c r="CO68" s="63"/>
      <c r="CP68" s="63"/>
      <c r="CQ68" s="63"/>
      <c r="CR68" s="63"/>
      <c r="CS68" s="63"/>
      <c r="CT68" s="63"/>
      <c r="CU68" s="63"/>
      <c r="CV68" s="63"/>
      <c r="CW68" s="63"/>
      <c r="CX68" s="63"/>
      <c r="CY68" s="63"/>
      <c r="CZ68" s="63"/>
      <c r="DA68" s="63"/>
      <c r="DB68" s="63"/>
      <c r="DC68" s="63"/>
      <c r="DD68" s="63"/>
      <c r="DE68" s="63"/>
      <c r="DF68" s="63"/>
      <c r="DG68" s="63"/>
      <c r="DH68" s="63"/>
      <c r="DI68" s="63"/>
      <c r="DJ68" s="63"/>
      <c r="DK68" s="63"/>
      <c r="DL68" s="63"/>
      <c r="DM68" s="63"/>
      <c r="DN68" s="63"/>
      <c r="DO68" s="63"/>
      <c r="DP68" s="63"/>
      <c r="DQ68" s="63"/>
      <c r="DR68" s="63"/>
      <c r="DS68" s="63"/>
      <c r="DT68" s="63"/>
      <c r="DU68" s="63"/>
      <c r="DV68" s="63"/>
      <c r="DW68" s="63"/>
      <c r="DX68" s="63"/>
      <c r="DY68" s="63"/>
      <c r="DZ68" s="63"/>
      <c r="EA68" s="63"/>
      <c r="EB68" s="63"/>
      <c r="EC68" s="63"/>
      <c r="ED68" s="63"/>
      <c r="EE68" s="63"/>
      <c r="EF68" s="46"/>
      <c r="EG68" s="46"/>
      <c r="EH68" s="46"/>
      <c r="EI68" s="46"/>
      <c r="EJ68" s="46"/>
      <c r="EK68" s="46"/>
      <c r="EL68" s="46"/>
      <c r="EM68" s="46"/>
    </row>
    <row r="69" spans="1:143" ht="18" customHeight="1">
      <c r="A69" s="59" t="str" cm="1">
        <f t="array" ref="A69">IF(tblProjectInput[[#This Row],[Project Name]]="","","P"&amp;TEXT(ROW()-ROW(tblProjectInput[#Headers]),"000"))</f>
        <v/>
      </c>
      <c r="B69" s="47"/>
      <c r="C69" s="47"/>
      <c r="D69" s="47"/>
      <c r="E69" s="48"/>
      <c r="F69" s="48"/>
      <c r="G69" s="66"/>
      <c r="H69" s="57"/>
      <c r="I69" s="57"/>
      <c r="J69" s="57"/>
      <c r="K69" s="57"/>
      <c r="L69" s="57"/>
      <c r="M69" s="57"/>
      <c r="N69" s="57"/>
      <c r="O69" s="63"/>
      <c r="P69" s="63"/>
      <c r="Q69" s="63"/>
      <c r="R69" s="63"/>
      <c r="S69" s="63"/>
      <c r="T69" s="63"/>
      <c r="U69" s="63"/>
      <c r="V69" s="63"/>
      <c r="W69" s="63"/>
      <c r="X69" s="63"/>
      <c r="Y69" s="63"/>
      <c r="Z69" s="63"/>
      <c r="AA69" s="63"/>
      <c r="AB69" s="63"/>
      <c r="AC69" s="63"/>
      <c r="AD69" s="63"/>
      <c r="AE69" s="63"/>
      <c r="AF69" s="63"/>
      <c r="AG69" s="63"/>
      <c r="AH69" s="63"/>
      <c r="AI69" s="63"/>
      <c r="AJ69" s="63"/>
      <c r="AK69" s="63"/>
      <c r="AL69" s="63"/>
      <c r="AM69" s="63"/>
      <c r="AN69" s="63"/>
      <c r="AO69" s="63"/>
      <c r="AP69" s="63"/>
      <c r="AQ69" s="63"/>
      <c r="AR69" s="63"/>
      <c r="AS69" s="63"/>
      <c r="AT69" s="63"/>
      <c r="AU69" s="63"/>
      <c r="AV69" s="63"/>
      <c r="AW69" s="63"/>
      <c r="AX69" s="63"/>
      <c r="AY69" s="63"/>
      <c r="AZ69" s="63"/>
      <c r="BA69" s="63"/>
      <c r="BB69" s="63"/>
      <c r="BC69" s="63"/>
      <c r="BD69" s="63"/>
      <c r="BE69" s="63"/>
      <c r="BF69" s="63"/>
      <c r="BG69" s="63"/>
      <c r="BH69" s="63"/>
      <c r="BI69" s="63"/>
      <c r="BJ69" s="63"/>
      <c r="BK69" s="63"/>
      <c r="BL69" s="63"/>
      <c r="BM69" s="63"/>
      <c r="BN69" s="63"/>
      <c r="BO69" s="63"/>
      <c r="BP69" s="63"/>
      <c r="BQ69" s="63"/>
      <c r="BR69" s="63"/>
      <c r="BS69" s="63"/>
      <c r="BT69" s="63"/>
      <c r="BU69" s="63"/>
      <c r="BV69" s="63"/>
      <c r="BW69" s="63"/>
      <c r="BX69" s="63"/>
      <c r="BY69" s="63"/>
      <c r="BZ69" s="63"/>
      <c r="CA69" s="63"/>
      <c r="CB69" s="63"/>
      <c r="CC69" s="63"/>
      <c r="CD69" s="63"/>
      <c r="CE69" s="63"/>
      <c r="CF69" s="63"/>
      <c r="CG69" s="63"/>
      <c r="CH69" s="63"/>
      <c r="CI69" s="63"/>
      <c r="CJ69" s="63"/>
      <c r="CK69" s="63"/>
      <c r="CL69" s="63"/>
      <c r="CM69" s="63"/>
      <c r="CN69" s="63"/>
      <c r="CO69" s="63"/>
      <c r="CP69" s="63"/>
      <c r="CQ69" s="63"/>
      <c r="CR69" s="63"/>
      <c r="CS69" s="63"/>
      <c r="CT69" s="63"/>
      <c r="CU69" s="63"/>
      <c r="CV69" s="63"/>
      <c r="CW69" s="63"/>
      <c r="CX69" s="63"/>
      <c r="CY69" s="63"/>
      <c r="CZ69" s="63"/>
      <c r="DA69" s="63"/>
      <c r="DB69" s="63"/>
      <c r="DC69" s="63"/>
      <c r="DD69" s="63"/>
      <c r="DE69" s="63"/>
      <c r="DF69" s="63"/>
      <c r="DG69" s="63"/>
      <c r="DH69" s="63"/>
      <c r="DI69" s="63"/>
      <c r="DJ69" s="63"/>
      <c r="DK69" s="63"/>
      <c r="DL69" s="63"/>
      <c r="DM69" s="63"/>
      <c r="DN69" s="63"/>
      <c r="DO69" s="63"/>
      <c r="DP69" s="63"/>
      <c r="DQ69" s="63"/>
      <c r="DR69" s="63"/>
      <c r="DS69" s="63"/>
      <c r="DT69" s="63"/>
      <c r="DU69" s="63"/>
      <c r="DV69" s="63"/>
      <c r="DW69" s="63"/>
      <c r="DX69" s="63"/>
      <c r="DY69" s="63"/>
      <c r="DZ69" s="63"/>
      <c r="EA69" s="63"/>
      <c r="EB69" s="63"/>
      <c r="EC69" s="63"/>
      <c r="ED69" s="63"/>
      <c r="EE69" s="63"/>
      <c r="EF69" s="46"/>
      <c r="EG69" s="46"/>
      <c r="EH69" s="46"/>
      <c r="EI69" s="46"/>
      <c r="EJ69" s="46"/>
      <c r="EK69" s="46"/>
      <c r="EL69" s="46"/>
      <c r="EM69" s="46"/>
    </row>
    <row r="70" spans="1:143" ht="18" customHeight="1">
      <c r="A70" s="59" t="str" cm="1">
        <f t="array" ref="A70">IF(tblProjectInput[[#This Row],[Project Name]]="","","P"&amp;TEXT(ROW()-ROW(tblProjectInput[#Headers]),"000"))</f>
        <v/>
      </c>
      <c r="B70" s="47"/>
      <c r="C70" s="47"/>
      <c r="D70" s="47"/>
      <c r="E70" s="48"/>
      <c r="F70" s="48"/>
      <c r="G70" s="66"/>
      <c r="H70" s="57"/>
      <c r="I70" s="57"/>
      <c r="J70" s="57"/>
      <c r="K70" s="57"/>
      <c r="L70" s="57"/>
      <c r="M70" s="57"/>
      <c r="N70" s="57"/>
      <c r="O70" s="63"/>
      <c r="P70" s="63"/>
      <c r="Q70" s="63"/>
      <c r="R70" s="63"/>
      <c r="S70" s="63"/>
      <c r="T70" s="63"/>
      <c r="U70" s="63"/>
      <c r="V70" s="63"/>
      <c r="W70" s="63"/>
      <c r="X70" s="63"/>
      <c r="Y70" s="63"/>
      <c r="Z70" s="63"/>
      <c r="AA70" s="63"/>
      <c r="AB70" s="63"/>
      <c r="AC70" s="63"/>
      <c r="AD70" s="63"/>
      <c r="AE70" s="63"/>
      <c r="AF70" s="63"/>
      <c r="AG70" s="63"/>
      <c r="AH70" s="63"/>
      <c r="AI70" s="63"/>
      <c r="AJ70" s="63"/>
      <c r="AK70" s="63"/>
      <c r="AL70" s="63"/>
      <c r="AM70" s="63"/>
      <c r="AN70" s="63"/>
      <c r="AO70" s="63"/>
      <c r="AP70" s="63"/>
      <c r="AQ70" s="63"/>
      <c r="AR70" s="63"/>
      <c r="AS70" s="63"/>
      <c r="AT70" s="63"/>
      <c r="AU70" s="63"/>
      <c r="AV70" s="63"/>
      <c r="AW70" s="63"/>
      <c r="AX70" s="63"/>
      <c r="AY70" s="63"/>
      <c r="AZ70" s="63"/>
      <c r="BA70" s="63"/>
      <c r="BB70" s="63"/>
      <c r="BC70" s="63"/>
      <c r="BD70" s="63"/>
      <c r="BE70" s="63"/>
      <c r="BF70" s="63"/>
      <c r="BG70" s="63"/>
      <c r="BH70" s="63"/>
      <c r="BI70" s="63"/>
      <c r="BJ70" s="63"/>
      <c r="BK70" s="63"/>
      <c r="BL70" s="63"/>
      <c r="BM70" s="63"/>
      <c r="BN70" s="63"/>
      <c r="BO70" s="63"/>
      <c r="BP70" s="63"/>
      <c r="BQ70" s="63"/>
      <c r="BR70" s="63"/>
      <c r="BS70" s="63"/>
      <c r="BT70" s="63"/>
      <c r="BU70" s="63"/>
      <c r="BV70" s="63"/>
      <c r="BW70" s="63"/>
      <c r="BX70" s="63"/>
      <c r="BY70" s="63"/>
      <c r="BZ70" s="63"/>
      <c r="CA70" s="63"/>
      <c r="CB70" s="63"/>
      <c r="CC70" s="63"/>
      <c r="CD70" s="63"/>
      <c r="CE70" s="63"/>
      <c r="CF70" s="63"/>
      <c r="CG70" s="63"/>
      <c r="CH70" s="63"/>
      <c r="CI70" s="63"/>
      <c r="CJ70" s="63"/>
      <c r="CK70" s="63"/>
      <c r="CL70" s="63"/>
      <c r="CM70" s="63"/>
      <c r="CN70" s="63"/>
      <c r="CO70" s="63"/>
      <c r="CP70" s="63"/>
      <c r="CQ70" s="63"/>
      <c r="CR70" s="63"/>
      <c r="CS70" s="63"/>
      <c r="CT70" s="63"/>
      <c r="CU70" s="63"/>
      <c r="CV70" s="63"/>
      <c r="CW70" s="63"/>
      <c r="CX70" s="63"/>
      <c r="CY70" s="63"/>
      <c r="CZ70" s="63"/>
      <c r="DA70" s="63"/>
      <c r="DB70" s="63"/>
      <c r="DC70" s="63"/>
      <c r="DD70" s="63"/>
      <c r="DE70" s="63"/>
      <c r="DF70" s="63"/>
      <c r="DG70" s="63"/>
      <c r="DH70" s="63"/>
      <c r="DI70" s="63"/>
      <c r="DJ70" s="63"/>
      <c r="DK70" s="63"/>
      <c r="DL70" s="63"/>
      <c r="DM70" s="63"/>
      <c r="DN70" s="63"/>
      <c r="DO70" s="63"/>
      <c r="DP70" s="63"/>
      <c r="DQ70" s="63"/>
      <c r="DR70" s="63"/>
      <c r="DS70" s="63"/>
      <c r="DT70" s="63"/>
      <c r="DU70" s="63"/>
      <c r="DV70" s="63"/>
      <c r="DW70" s="63"/>
      <c r="DX70" s="63"/>
      <c r="DY70" s="63"/>
      <c r="DZ70" s="63"/>
      <c r="EA70" s="63"/>
      <c r="EB70" s="63"/>
      <c r="EC70" s="63"/>
      <c r="ED70" s="63"/>
      <c r="EE70" s="63"/>
      <c r="EF70" s="46"/>
      <c r="EG70" s="46"/>
      <c r="EH70" s="46"/>
      <c r="EI70" s="46"/>
      <c r="EJ70" s="46"/>
      <c r="EK70" s="46"/>
      <c r="EL70" s="46"/>
      <c r="EM70" s="46"/>
    </row>
    <row r="71" spans="1:143" ht="18" customHeight="1">
      <c r="A71" s="57"/>
      <c r="B71" s="57"/>
      <c r="C71" s="57"/>
      <c r="D71" s="57"/>
      <c r="E71" s="57"/>
      <c r="F71" s="57"/>
      <c r="G71" s="57"/>
      <c r="H71" s="57"/>
      <c r="I71" s="57"/>
      <c r="J71" s="57"/>
      <c r="K71" s="57"/>
      <c r="L71" s="57"/>
      <c r="M71" s="57"/>
      <c r="N71" s="57"/>
      <c r="O71" s="63"/>
      <c r="P71" s="63"/>
      <c r="Q71" s="63"/>
      <c r="R71" s="63"/>
      <c r="S71" s="63"/>
      <c r="T71" s="63"/>
      <c r="U71" s="63"/>
      <c r="V71" s="63"/>
      <c r="W71" s="63"/>
      <c r="X71" s="63"/>
      <c r="Y71" s="63"/>
      <c r="Z71" s="63"/>
      <c r="AA71" s="63"/>
      <c r="AB71" s="63"/>
      <c r="AC71" s="63"/>
      <c r="AD71" s="63"/>
      <c r="AE71" s="63"/>
      <c r="AF71" s="63"/>
      <c r="AG71" s="63"/>
      <c r="AH71" s="63"/>
      <c r="AI71" s="63"/>
      <c r="AJ71" s="63"/>
      <c r="AK71" s="63"/>
      <c r="AL71" s="63"/>
      <c r="AM71" s="63"/>
      <c r="AN71" s="63"/>
      <c r="AO71" s="63"/>
      <c r="AP71" s="63"/>
      <c r="AQ71" s="63"/>
      <c r="AR71" s="63"/>
      <c r="AS71" s="63"/>
      <c r="AT71" s="63"/>
      <c r="AU71" s="63"/>
      <c r="AV71" s="63"/>
      <c r="AW71" s="63"/>
      <c r="AX71" s="63"/>
      <c r="AY71" s="63"/>
      <c r="AZ71" s="63"/>
      <c r="BA71" s="63"/>
      <c r="BB71" s="63"/>
      <c r="BC71" s="63"/>
      <c r="BD71" s="63"/>
      <c r="BE71" s="63"/>
      <c r="BF71" s="63"/>
      <c r="BG71" s="63"/>
      <c r="BH71" s="63"/>
      <c r="BI71" s="63"/>
      <c r="BJ71" s="63"/>
      <c r="BK71" s="63"/>
      <c r="BL71" s="63"/>
      <c r="BM71" s="63"/>
      <c r="BN71" s="63"/>
      <c r="BO71" s="63"/>
      <c r="BP71" s="63"/>
      <c r="BQ71" s="63"/>
      <c r="BR71" s="63"/>
      <c r="BS71" s="63"/>
      <c r="BT71" s="63"/>
      <c r="BU71" s="63"/>
      <c r="BV71" s="63"/>
      <c r="BW71" s="63"/>
      <c r="BX71" s="63"/>
      <c r="BY71" s="63"/>
      <c r="BZ71" s="63"/>
      <c r="CA71" s="63"/>
      <c r="CB71" s="63"/>
      <c r="CC71" s="63"/>
      <c r="CD71" s="63"/>
      <c r="CE71" s="63"/>
      <c r="CF71" s="63"/>
      <c r="CG71" s="63"/>
      <c r="CH71" s="63"/>
      <c r="CI71" s="63"/>
      <c r="CJ71" s="63"/>
      <c r="CK71" s="63"/>
      <c r="CL71" s="63"/>
      <c r="CM71" s="63"/>
      <c r="CN71" s="63"/>
      <c r="CO71" s="63"/>
      <c r="CP71" s="63"/>
      <c r="CQ71" s="63"/>
      <c r="CR71" s="63"/>
      <c r="CS71" s="63"/>
      <c r="CT71" s="63"/>
      <c r="CU71" s="63"/>
      <c r="CV71" s="63"/>
      <c r="CW71" s="63"/>
      <c r="CX71" s="63"/>
      <c r="CY71" s="63"/>
      <c r="CZ71" s="63"/>
      <c r="DA71" s="63"/>
      <c r="DB71" s="63"/>
      <c r="DC71" s="63"/>
      <c r="DD71" s="63"/>
      <c r="DE71" s="63"/>
      <c r="DF71" s="63"/>
      <c r="DG71" s="63"/>
      <c r="DH71" s="63"/>
      <c r="DI71" s="63"/>
      <c r="DJ71" s="63"/>
      <c r="DK71" s="63"/>
      <c r="DL71" s="63"/>
      <c r="DM71" s="63"/>
      <c r="DN71" s="63"/>
      <c r="DO71" s="63"/>
      <c r="DP71" s="63"/>
      <c r="DQ71" s="63"/>
      <c r="DR71" s="63"/>
      <c r="DS71" s="63"/>
      <c r="DT71" s="63"/>
      <c r="DU71" s="63"/>
      <c r="DV71" s="63"/>
      <c r="DW71" s="63"/>
      <c r="DX71" s="63"/>
      <c r="DY71" s="63"/>
      <c r="DZ71" s="63"/>
      <c r="EA71" s="63"/>
      <c r="EB71" s="63"/>
      <c r="EC71" s="63"/>
      <c r="ED71" s="63"/>
      <c r="EE71" s="63"/>
      <c r="EF71" s="46"/>
      <c r="EG71" s="46"/>
      <c r="EH71" s="46"/>
      <c r="EI71" s="46"/>
      <c r="EJ71" s="46"/>
      <c r="EK71" s="46"/>
      <c r="EL71" s="46"/>
      <c r="EM71" s="46"/>
    </row>
    <row r="72" spans="1:143" ht="18" customHeight="1">
      <c r="A72" s="57"/>
      <c r="B72" s="57"/>
      <c r="C72" s="57"/>
      <c r="D72" s="57"/>
      <c r="E72" s="57"/>
      <c r="F72" s="57"/>
      <c r="G72" s="57"/>
      <c r="H72" s="57"/>
      <c r="I72" s="57"/>
      <c r="J72" s="57"/>
      <c r="K72" s="57"/>
      <c r="L72" s="57"/>
      <c r="M72" s="57"/>
      <c r="N72" s="57"/>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s="63"/>
      <c r="AN72" s="63"/>
      <c r="AO72" s="63"/>
      <c r="AP72" s="63"/>
      <c r="AQ72" s="63"/>
      <c r="AR72" s="63"/>
      <c r="AS72" s="63"/>
      <c r="AT72" s="63"/>
      <c r="AU72" s="63"/>
      <c r="AV72" s="63"/>
      <c r="AW72" s="63"/>
      <c r="AX72" s="63"/>
      <c r="AY72" s="63"/>
      <c r="AZ72" s="63"/>
      <c r="BA72" s="63"/>
      <c r="BB72" s="63"/>
      <c r="BC72" s="63"/>
      <c r="BD72" s="63"/>
      <c r="BE72" s="63"/>
      <c r="BF72" s="63"/>
      <c r="BG72" s="63"/>
      <c r="BH72" s="63"/>
      <c r="BI72" s="63"/>
      <c r="BJ72" s="63"/>
      <c r="BK72" s="63"/>
      <c r="BL72" s="63"/>
      <c r="BM72" s="63"/>
      <c r="BN72" s="63"/>
      <c r="BO72" s="63"/>
      <c r="BP72" s="63"/>
      <c r="BQ72" s="63"/>
      <c r="BR72" s="63"/>
      <c r="BS72" s="63"/>
      <c r="BT72" s="63"/>
      <c r="BU72" s="63"/>
      <c r="BV72" s="63"/>
      <c r="BW72" s="63"/>
      <c r="BX72" s="63"/>
      <c r="BY72" s="63"/>
      <c r="BZ72" s="63"/>
      <c r="CA72" s="63"/>
      <c r="CB72" s="63"/>
      <c r="CC72" s="63"/>
      <c r="CD72" s="63"/>
      <c r="CE72" s="63"/>
      <c r="CF72" s="63"/>
      <c r="CG72" s="63"/>
      <c r="CH72" s="63"/>
      <c r="CI72" s="63"/>
      <c r="CJ72" s="63"/>
      <c r="CK72" s="63"/>
      <c r="CL72" s="63"/>
      <c r="CM72" s="63"/>
      <c r="CN72" s="63"/>
      <c r="CO72" s="63"/>
      <c r="CP72" s="63"/>
      <c r="CQ72" s="63"/>
      <c r="CR72" s="63"/>
      <c r="CS72" s="63"/>
      <c r="CT72" s="63"/>
      <c r="CU72" s="63"/>
      <c r="CV72" s="63"/>
      <c r="CW72" s="63"/>
      <c r="CX72" s="63"/>
      <c r="CY72" s="63"/>
      <c r="CZ72" s="63"/>
      <c r="DA72" s="63"/>
      <c r="DB72" s="63"/>
      <c r="DC72" s="63"/>
      <c r="DD72" s="63"/>
      <c r="DE72" s="63"/>
      <c r="DF72" s="63"/>
      <c r="DG72" s="63"/>
      <c r="DH72" s="63"/>
      <c r="DI72" s="63"/>
      <c r="DJ72" s="63"/>
      <c r="DK72" s="63"/>
      <c r="DL72" s="63"/>
      <c r="DM72" s="63"/>
      <c r="DN72" s="63"/>
      <c r="DO72" s="63"/>
      <c r="DP72" s="63"/>
      <c r="DQ72" s="63"/>
      <c r="DR72" s="63"/>
      <c r="DS72" s="63"/>
      <c r="DT72" s="63"/>
      <c r="DU72" s="63"/>
      <c r="DV72" s="63"/>
      <c r="DW72" s="63"/>
      <c r="DX72" s="63"/>
      <c r="DY72" s="63"/>
      <c r="DZ72" s="63"/>
      <c r="EA72" s="63"/>
      <c r="EB72" s="63"/>
      <c r="EC72" s="63"/>
      <c r="ED72" s="63"/>
      <c r="EE72" s="63"/>
      <c r="EF72" s="46"/>
      <c r="EG72" s="46"/>
      <c r="EH72" s="46"/>
      <c r="EI72" s="46"/>
      <c r="EJ72" s="46"/>
      <c r="EK72" s="46"/>
      <c r="EL72" s="46"/>
      <c r="EM72" s="46"/>
    </row>
    <row r="73" spans="1:143" ht="18" customHeight="1">
      <c r="A73" s="263" t="s">
        <v>172</v>
      </c>
      <c r="B73" s="263"/>
      <c r="C73" s="263"/>
      <c r="D73" s="263"/>
      <c r="E73" s="263"/>
      <c r="F73" s="263"/>
      <c r="G73" s="263"/>
      <c r="H73" s="263"/>
      <c r="I73" s="263"/>
      <c r="J73" s="263"/>
      <c r="K73" s="263"/>
      <c r="L73" s="263"/>
      <c r="M73" s="56"/>
      <c r="N73" s="56"/>
      <c r="O73" s="46"/>
      <c r="P73" s="46"/>
      <c r="Q73" s="46"/>
      <c r="R73" s="46"/>
      <c r="S73" s="46"/>
      <c r="T73" s="46"/>
      <c r="U73" s="46"/>
      <c r="V73" s="46"/>
      <c r="W73" s="46"/>
      <c r="X73" s="46"/>
      <c r="Y73" s="46"/>
      <c r="Z73" s="46"/>
      <c r="AA73" s="46"/>
      <c r="AB73" s="46"/>
      <c r="AC73" s="46"/>
      <c r="AD73" s="46"/>
      <c r="AE73" s="46"/>
      <c r="AF73" s="46"/>
      <c r="AG73" s="46"/>
      <c r="AH73" s="46"/>
      <c r="AI73" s="46"/>
      <c r="AJ73" s="46"/>
      <c r="AK73" s="46"/>
      <c r="AL73" s="46"/>
      <c r="AM73" s="46"/>
      <c r="AN73" s="46"/>
      <c r="AO73" s="46"/>
      <c r="AP73" s="46"/>
      <c r="AQ73" s="46"/>
      <c r="AR73" s="46"/>
      <c r="AS73" s="46"/>
      <c r="AT73" s="46"/>
      <c r="AU73" s="46"/>
      <c r="AV73" s="46"/>
      <c r="AW73" s="46"/>
      <c r="AX73" s="46"/>
      <c r="AY73" s="46"/>
      <c r="AZ73" s="46"/>
      <c r="BA73" s="46"/>
      <c r="BB73" s="46"/>
      <c r="BC73" s="46"/>
      <c r="BD73" s="46"/>
      <c r="BE73" s="46"/>
      <c r="BF73" s="46"/>
      <c r="BG73" s="46"/>
      <c r="BH73" s="46"/>
      <c r="BI73" s="46"/>
      <c r="BJ73" s="46"/>
      <c r="BK73" s="46"/>
      <c r="BL73" s="46"/>
      <c r="BM73" s="46"/>
      <c r="BN73" s="46"/>
      <c r="BO73" s="46"/>
      <c r="BP73" s="46"/>
      <c r="BQ73" s="46"/>
      <c r="BR73" s="46"/>
      <c r="BS73" s="46"/>
      <c r="BT73" s="46"/>
      <c r="BU73" s="46"/>
      <c r="BV73" s="46"/>
      <c r="BW73" s="46"/>
      <c r="BX73" s="46"/>
      <c r="BY73" s="46"/>
      <c r="BZ73" s="46"/>
      <c r="CA73" s="46"/>
      <c r="CB73" s="46"/>
      <c r="CC73" s="46"/>
      <c r="CD73" s="46"/>
      <c r="CE73" s="46"/>
      <c r="CF73" s="46"/>
      <c r="CG73" s="46"/>
      <c r="CH73" s="46"/>
      <c r="CI73" s="46"/>
      <c r="CJ73" s="46"/>
      <c r="CK73" s="46"/>
      <c r="CL73" s="46"/>
      <c r="CM73" s="46"/>
      <c r="CN73" s="46"/>
      <c r="CO73" s="46"/>
      <c r="CP73" s="46"/>
      <c r="CQ73" s="46"/>
      <c r="CR73" s="46"/>
      <c r="CS73" s="46"/>
      <c r="CT73" s="46"/>
      <c r="CU73" s="46"/>
      <c r="CV73" s="46"/>
      <c r="CW73" s="46"/>
      <c r="CX73" s="46"/>
      <c r="CY73" s="46"/>
      <c r="CZ73" s="46"/>
      <c r="DA73" s="46"/>
      <c r="DB73" s="46"/>
      <c r="DC73" s="46"/>
      <c r="DD73" s="46"/>
      <c r="DE73" s="46"/>
      <c r="DF73" s="46"/>
      <c r="DG73" s="46"/>
      <c r="DH73" s="46"/>
      <c r="DI73" s="46"/>
      <c r="DJ73" s="46"/>
      <c r="DK73" s="46"/>
      <c r="DL73" s="46"/>
      <c r="DM73" s="46"/>
      <c r="DN73" s="46"/>
      <c r="DO73" s="46"/>
      <c r="DP73" s="46"/>
      <c r="DQ73" s="46"/>
      <c r="DR73" s="46"/>
      <c r="DS73" s="46"/>
      <c r="DT73" s="46"/>
      <c r="DU73" s="46"/>
      <c r="DV73" s="46"/>
      <c r="DW73" s="46"/>
      <c r="DX73" s="46"/>
      <c r="DY73" s="46"/>
      <c r="DZ73" s="46"/>
      <c r="EA73" s="46"/>
      <c r="EB73" s="46"/>
      <c r="EC73" s="46"/>
      <c r="ED73" s="46"/>
      <c r="EE73" s="46"/>
      <c r="EF73" s="46"/>
      <c r="EG73" s="46"/>
      <c r="EH73" s="46"/>
      <c r="EI73" s="46"/>
      <c r="EJ73" s="46"/>
      <c r="EK73" s="46"/>
      <c r="EL73" s="46"/>
      <c r="EM73" s="46"/>
    </row>
    <row r="74" spans="1:143" ht="18" customHeight="1">
      <c r="A74" s="49" t="s">
        <v>126</v>
      </c>
      <c r="B74" s="49" t="s">
        <v>127</v>
      </c>
      <c r="C74" s="49" t="s">
        <v>137</v>
      </c>
      <c r="D74" s="49" t="s">
        <v>138</v>
      </c>
      <c r="E74" s="49" t="s">
        <v>139</v>
      </c>
      <c r="F74" s="49" t="s">
        <v>69</v>
      </c>
      <c r="G74" s="49" t="s">
        <v>142</v>
      </c>
      <c r="H74" s="49" t="s">
        <v>140</v>
      </c>
      <c r="I74" s="49" t="s">
        <v>141</v>
      </c>
      <c r="J74" s="49" t="s">
        <v>143</v>
      </c>
      <c r="K74" s="49" t="s">
        <v>149</v>
      </c>
      <c r="L74" s="49" t="s">
        <v>144</v>
      </c>
      <c r="M74" s="56"/>
      <c r="N74" s="56"/>
      <c r="O74" s="46"/>
      <c r="P74" s="46"/>
      <c r="Q74" s="46"/>
      <c r="R74" s="46"/>
      <c r="S74" s="46"/>
      <c r="T74" s="46"/>
      <c r="U74" s="46"/>
      <c r="V74" s="46"/>
      <c r="W74" s="46"/>
      <c r="X74" s="46"/>
      <c r="Y74" s="46"/>
      <c r="Z74" s="46"/>
      <c r="AA74" s="46"/>
      <c r="AB74" s="46"/>
      <c r="AC74" s="46"/>
      <c r="AD74" s="46"/>
      <c r="AE74" s="46"/>
      <c r="AF74" s="46"/>
      <c r="AG74" s="46"/>
      <c r="AH74" s="46"/>
      <c r="AI74" s="46"/>
      <c r="AJ74" s="46"/>
      <c r="AK74" s="46"/>
      <c r="AL74" s="46"/>
      <c r="AM74" s="46"/>
      <c r="AN74" s="46"/>
      <c r="AO74" s="46"/>
      <c r="AP74" s="46"/>
      <c r="AQ74" s="46"/>
      <c r="AR74" s="46"/>
      <c r="AS74" s="46"/>
      <c r="AT74" s="46"/>
      <c r="AU74" s="46"/>
      <c r="AV74" s="46"/>
      <c r="AW74" s="46"/>
      <c r="AX74" s="46"/>
      <c r="AY74" s="46"/>
      <c r="AZ74" s="46"/>
      <c r="BA74" s="46"/>
      <c r="BB74" s="46"/>
      <c r="BC74" s="46"/>
      <c r="BD74" s="46"/>
      <c r="BE74" s="46"/>
      <c r="BF74" s="46"/>
      <c r="BG74" s="46"/>
      <c r="BH74" s="46"/>
      <c r="BI74" s="46"/>
      <c r="BJ74" s="46"/>
      <c r="BK74" s="46"/>
      <c r="BL74" s="46"/>
      <c r="BM74" s="46"/>
      <c r="BN74" s="46"/>
      <c r="BO74" s="46"/>
      <c r="BP74" s="46"/>
      <c r="BQ74" s="46"/>
      <c r="BR74" s="46"/>
      <c r="BS74" s="46"/>
      <c r="BT74" s="46"/>
      <c r="BU74" s="46"/>
      <c r="BV74" s="46"/>
      <c r="BW74" s="46"/>
      <c r="BX74" s="46"/>
      <c r="BY74" s="46"/>
      <c r="BZ74" s="46"/>
      <c r="CA74" s="46"/>
      <c r="CB74" s="46"/>
      <c r="CC74" s="46"/>
      <c r="CD74" s="46"/>
      <c r="CE74" s="46"/>
      <c r="CF74" s="46"/>
      <c r="CG74" s="46"/>
      <c r="CH74" s="46"/>
      <c r="CI74" s="46"/>
      <c r="CJ74" s="46"/>
      <c r="CK74" s="46"/>
      <c r="CL74" s="46"/>
      <c r="CM74" s="46"/>
      <c r="CN74" s="46"/>
      <c r="CO74" s="46"/>
      <c r="CP74" s="46"/>
      <c r="CQ74" s="46"/>
      <c r="CR74" s="46"/>
      <c r="CS74" s="46"/>
      <c r="CT74" s="46"/>
      <c r="CU74" s="46"/>
      <c r="CV74" s="46"/>
      <c r="CW74" s="46"/>
      <c r="CX74" s="46"/>
      <c r="CY74" s="46"/>
      <c r="CZ74" s="46"/>
      <c r="DA74" s="46"/>
      <c r="DB74" s="46"/>
      <c r="DC74" s="46"/>
      <c r="DD74" s="46"/>
      <c r="DE74" s="46"/>
      <c r="DF74" s="46"/>
      <c r="DG74" s="46"/>
      <c r="DH74" s="46"/>
      <c r="DI74" s="46"/>
      <c r="DJ74" s="46"/>
      <c r="DK74" s="46"/>
      <c r="DL74" s="46"/>
      <c r="DM74" s="46"/>
      <c r="DN74" s="46"/>
      <c r="DO74" s="46"/>
      <c r="DP74" s="46"/>
      <c r="DQ74" s="46"/>
      <c r="DR74" s="46"/>
      <c r="DS74" s="46"/>
      <c r="DT74" s="46"/>
      <c r="DU74" s="46"/>
      <c r="DV74" s="46"/>
      <c r="DW74" s="46"/>
      <c r="DX74" s="46"/>
      <c r="DY74" s="46"/>
      <c r="DZ74" s="46"/>
      <c r="EA74" s="46"/>
      <c r="EB74" s="46"/>
      <c r="EC74" s="46"/>
      <c r="ED74" s="46"/>
      <c r="EE74" s="46"/>
      <c r="EF74" s="46"/>
      <c r="EG74" s="46"/>
      <c r="EH74" s="46"/>
      <c r="EI74" s="46"/>
      <c r="EJ74" s="46"/>
      <c r="EK74" s="46"/>
      <c r="EL74" s="46"/>
      <c r="EM74" s="46"/>
    </row>
    <row r="75" spans="1:143" ht="18" customHeight="1">
      <c r="A75" s="47"/>
      <c r="B75" s="51" t="str">
        <f>IF(A75="","",IFERROR(_xlfn.XLOOKUP(A75,$A$61:$A$70,$B$61:$B$70,""),""))</f>
        <v/>
      </c>
      <c r="C75" s="47"/>
      <c r="D75" s="67"/>
      <c r="E75" s="65"/>
      <c r="F75" s="47"/>
      <c r="G75" s="50"/>
      <c r="H75" s="48"/>
      <c r="I75" s="48"/>
      <c r="J75" s="47"/>
      <c r="K75" s="48"/>
      <c r="L75" s="65"/>
      <c r="M75" s="56"/>
      <c r="N75" s="5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c r="BF75" s="46"/>
      <c r="BG75" s="46"/>
      <c r="BH75" s="46"/>
      <c r="BI75" s="46"/>
      <c r="BJ75" s="46"/>
      <c r="BK75" s="46"/>
      <c r="BL75" s="46"/>
      <c r="BM75" s="46"/>
      <c r="BN75" s="46"/>
      <c r="BO75" s="46"/>
      <c r="BP75" s="46"/>
      <c r="BQ75" s="46"/>
      <c r="BR75" s="46"/>
      <c r="BS75" s="46"/>
      <c r="BT75" s="46"/>
      <c r="BU75" s="46"/>
      <c r="BV75" s="46"/>
      <c r="BW75" s="46"/>
      <c r="BX75" s="46"/>
      <c r="BY75" s="46"/>
      <c r="BZ75" s="46"/>
      <c r="CA75" s="46"/>
      <c r="CB75" s="46"/>
      <c r="CC75" s="46"/>
      <c r="CD75" s="46"/>
      <c r="CE75" s="46"/>
      <c r="CF75" s="46"/>
      <c r="CG75" s="46"/>
      <c r="CH75" s="46"/>
      <c r="CI75" s="46"/>
      <c r="CJ75" s="46"/>
      <c r="CK75" s="46"/>
      <c r="CL75" s="46"/>
      <c r="CM75" s="46"/>
      <c r="CN75" s="46"/>
      <c r="CO75" s="46"/>
      <c r="CP75" s="46"/>
      <c r="CQ75" s="46"/>
      <c r="CR75" s="46"/>
      <c r="CS75" s="46"/>
      <c r="CT75" s="46"/>
      <c r="CU75" s="46"/>
      <c r="CV75" s="46"/>
      <c r="CW75" s="46"/>
      <c r="CX75" s="46"/>
      <c r="CY75" s="46"/>
      <c r="CZ75" s="46"/>
      <c r="DA75" s="46"/>
      <c r="DB75" s="46"/>
      <c r="DC75" s="46"/>
      <c r="DD75" s="46"/>
      <c r="DE75" s="46"/>
      <c r="DF75" s="46"/>
      <c r="DG75" s="46"/>
      <c r="DH75" s="46"/>
      <c r="DI75" s="46"/>
      <c r="DJ75" s="46"/>
      <c r="DK75" s="46"/>
      <c r="DL75" s="46"/>
      <c r="DM75" s="46"/>
      <c r="DN75" s="46"/>
      <c r="DO75" s="46"/>
      <c r="DP75" s="46"/>
      <c r="DQ75" s="46"/>
      <c r="DR75" s="46"/>
      <c r="DS75" s="46"/>
      <c r="DT75" s="46"/>
      <c r="DU75" s="46"/>
      <c r="DV75" s="46"/>
      <c r="DW75" s="46"/>
      <c r="DX75" s="46"/>
      <c r="DY75" s="46"/>
      <c r="DZ75" s="46"/>
      <c r="EA75" s="46"/>
      <c r="EB75" s="46"/>
      <c r="EC75" s="46"/>
      <c r="ED75" s="46"/>
      <c r="EE75" s="46"/>
      <c r="EF75" s="46"/>
      <c r="EG75" s="46"/>
      <c r="EH75" s="46"/>
      <c r="EI75" s="46"/>
      <c r="EJ75" s="46"/>
      <c r="EK75" s="46"/>
      <c r="EL75" s="46"/>
      <c r="EM75" s="46"/>
    </row>
    <row r="76" spans="1:143" ht="18" customHeight="1">
      <c r="A76" s="47"/>
      <c r="B76" s="51" t="str">
        <f t="shared" ref="B76:B139" si="3">IF(A76="","",IFERROR(_xlfn.XLOOKUP(A76,$A$61:$A$70,$B$61:$B$70,""),""))</f>
        <v/>
      </c>
      <c r="C76" s="47"/>
      <c r="D76" s="67"/>
      <c r="E76" s="65"/>
      <c r="F76" s="47"/>
      <c r="G76" s="50"/>
      <c r="H76" s="48"/>
      <c r="I76" s="48"/>
      <c r="J76" s="47"/>
      <c r="K76" s="48"/>
      <c r="L76" s="68"/>
      <c r="M76" s="56"/>
      <c r="N76" s="56"/>
      <c r="O76" s="46"/>
      <c r="P76" s="46"/>
      <c r="Q76" s="46"/>
      <c r="R76" s="46"/>
      <c r="S76" s="46"/>
      <c r="T76" s="46"/>
      <c r="U76" s="46"/>
      <c r="V76" s="46"/>
      <c r="W76" s="46"/>
      <c r="X76" s="46"/>
      <c r="Y76" s="46"/>
      <c r="Z76" s="46"/>
      <c r="AA76" s="46"/>
      <c r="AB76" s="46"/>
      <c r="AC76" s="46"/>
      <c r="AD76" s="46"/>
      <c r="AE76" s="46"/>
      <c r="AF76" s="46"/>
      <c r="AG76" s="46"/>
      <c r="AH76" s="46"/>
      <c r="AI76" s="46"/>
      <c r="AJ76" s="46"/>
      <c r="AK76" s="46"/>
      <c r="AL76" s="46"/>
      <c r="AM76" s="46"/>
      <c r="AN76" s="46"/>
      <c r="AO76" s="46"/>
      <c r="AP76" s="46"/>
      <c r="AQ76" s="46"/>
      <c r="AR76" s="46"/>
      <c r="AS76" s="46"/>
      <c r="AT76" s="46"/>
      <c r="AU76" s="46"/>
      <c r="AV76" s="46"/>
      <c r="AW76" s="46"/>
      <c r="AX76" s="46"/>
      <c r="AY76" s="46"/>
      <c r="AZ76" s="46"/>
      <c r="BA76" s="46"/>
      <c r="BB76" s="46"/>
      <c r="BC76" s="46"/>
      <c r="BD76" s="46"/>
      <c r="BE76" s="46"/>
      <c r="BF76" s="46"/>
      <c r="BG76" s="46"/>
      <c r="BH76" s="46"/>
      <c r="BI76" s="46"/>
      <c r="BJ76" s="46"/>
      <c r="BK76" s="46"/>
      <c r="BL76" s="46"/>
      <c r="BM76" s="46"/>
      <c r="BN76" s="46"/>
      <c r="BO76" s="46"/>
      <c r="BP76" s="46"/>
      <c r="BQ76" s="46"/>
      <c r="BR76" s="46"/>
      <c r="BS76" s="46"/>
      <c r="BT76" s="46"/>
      <c r="BU76" s="46"/>
      <c r="BV76" s="46"/>
      <c r="BW76" s="46"/>
      <c r="BX76" s="46"/>
      <c r="BY76" s="46"/>
      <c r="BZ76" s="46"/>
      <c r="CA76" s="46"/>
      <c r="CB76" s="46"/>
      <c r="CC76" s="46"/>
      <c r="CD76" s="46"/>
      <c r="CE76" s="46"/>
      <c r="CF76" s="46"/>
      <c r="CG76" s="46"/>
      <c r="CH76" s="46"/>
      <c r="CI76" s="46"/>
      <c r="CJ76" s="46"/>
      <c r="CK76" s="46"/>
      <c r="CL76" s="46"/>
      <c r="CM76" s="46"/>
      <c r="CN76" s="46"/>
      <c r="CO76" s="46"/>
      <c r="CP76" s="46"/>
      <c r="CQ76" s="46"/>
      <c r="CR76" s="46"/>
      <c r="CS76" s="46"/>
      <c r="CT76" s="46"/>
      <c r="CU76" s="46"/>
      <c r="CV76" s="46"/>
      <c r="CW76" s="46"/>
      <c r="CX76" s="46"/>
      <c r="CY76" s="46"/>
      <c r="CZ76" s="46"/>
      <c r="DA76" s="46"/>
      <c r="DB76" s="46"/>
      <c r="DC76" s="46"/>
      <c r="DD76" s="46"/>
      <c r="DE76" s="46"/>
      <c r="DF76" s="46"/>
      <c r="DG76" s="46"/>
      <c r="DH76" s="46"/>
      <c r="DI76" s="46"/>
      <c r="DJ76" s="46"/>
      <c r="DK76" s="46"/>
      <c r="DL76" s="46"/>
      <c r="DM76" s="46"/>
      <c r="DN76" s="46"/>
      <c r="DO76" s="46"/>
      <c r="DP76" s="46"/>
      <c r="DQ76" s="46"/>
      <c r="DR76" s="46"/>
      <c r="DS76" s="46"/>
      <c r="DT76" s="46"/>
      <c r="DU76" s="46"/>
      <c r="DV76" s="46"/>
      <c r="DW76" s="46"/>
      <c r="DX76" s="46"/>
      <c r="DY76" s="46"/>
      <c r="DZ76" s="46"/>
      <c r="EA76" s="46"/>
      <c r="EB76" s="46"/>
      <c r="EC76" s="46"/>
      <c r="ED76" s="46"/>
      <c r="EE76" s="46"/>
      <c r="EF76" s="46"/>
      <c r="EG76" s="46"/>
      <c r="EH76" s="46"/>
      <c r="EI76" s="46"/>
      <c r="EJ76" s="46"/>
      <c r="EK76" s="46"/>
      <c r="EL76" s="46"/>
      <c r="EM76" s="46"/>
    </row>
    <row r="77" spans="1:143" ht="18" customHeight="1">
      <c r="A77" s="47"/>
      <c r="B77" s="51" t="str">
        <f t="shared" si="3"/>
        <v/>
      </c>
      <c r="C77" s="47"/>
      <c r="D77" s="67"/>
      <c r="E77" s="65"/>
      <c r="F77" s="47"/>
      <c r="G77" s="50"/>
      <c r="H77" s="48"/>
      <c r="I77" s="48"/>
      <c r="J77" s="47"/>
      <c r="K77" s="48"/>
      <c r="L77" s="65"/>
      <c r="M77" s="56"/>
      <c r="N77" s="56"/>
      <c r="O77" s="46"/>
      <c r="P77" s="46"/>
      <c r="Q77" s="46"/>
      <c r="R77" s="46"/>
      <c r="S77" s="46"/>
      <c r="T77" s="46"/>
      <c r="U77" s="46"/>
      <c r="V77" s="46"/>
      <c r="W77" s="46"/>
      <c r="X77" s="46"/>
      <c r="Y77" s="46"/>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c r="BF77" s="46"/>
      <c r="BG77" s="46"/>
      <c r="BH77" s="46"/>
      <c r="BI77" s="46"/>
      <c r="BJ77" s="46"/>
      <c r="BK77" s="46"/>
      <c r="BL77" s="46"/>
      <c r="BM77" s="46"/>
      <c r="BN77" s="46"/>
      <c r="BO77" s="46"/>
      <c r="BP77" s="46"/>
      <c r="BQ77" s="46"/>
      <c r="BR77" s="46"/>
      <c r="BS77" s="46"/>
      <c r="BT77" s="46"/>
      <c r="BU77" s="46"/>
      <c r="BV77" s="46"/>
      <c r="BW77" s="46"/>
      <c r="BX77" s="46"/>
      <c r="BY77" s="46"/>
      <c r="BZ77" s="46"/>
      <c r="CA77" s="46"/>
      <c r="CB77" s="46"/>
      <c r="CC77" s="46"/>
      <c r="CD77" s="46"/>
      <c r="CE77" s="46"/>
      <c r="CF77" s="46"/>
      <c r="CG77" s="46"/>
      <c r="CH77" s="46"/>
      <c r="CI77" s="46"/>
      <c r="CJ77" s="46"/>
      <c r="CK77" s="46"/>
      <c r="CL77" s="46"/>
      <c r="CM77" s="46"/>
      <c r="CN77" s="46"/>
      <c r="CO77" s="46"/>
      <c r="CP77" s="46"/>
      <c r="CQ77" s="46"/>
      <c r="CR77" s="46"/>
      <c r="CS77" s="46"/>
      <c r="CT77" s="46"/>
      <c r="CU77" s="46"/>
      <c r="CV77" s="46"/>
      <c r="CW77" s="46"/>
      <c r="CX77" s="46"/>
      <c r="CY77" s="46"/>
      <c r="CZ77" s="46"/>
      <c r="DA77" s="46"/>
      <c r="DB77" s="46"/>
      <c r="DC77" s="46"/>
      <c r="DD77" s="46"/>
      <c r="DE77" s="46"/>
      <c r="DF77" s="46"/>
      <c r="DG77" s="46"/>
      <c r="DH77" s="46"/>
      <c r="DI77" s="46"/>
      <c r="DJ77" s="46"/>
      <c r="DK77" s="46"/>
      <c r="DL77" s="46"/>
      <c r="DM77" s="46"/>
      <c r="DN77" s="46"/>
      <c r="DO77" s="46"/>
      <c r="DP77" s="46"/>
      <c r="DQ77" s="46"/>
      <c r="DR77" s="46"/>
      <c r="DS77" s="46"/>
      <c r="DT77" s="46"/>
      <c r="DU77" s="46"/>
      <c r="DV77" s="46"/>
      <c r="DW77" s="46"/>
      <c r="DX77" s="46"/>
      <c r="DY77" s="46"/>
      <c r="DZ77" s="46"/>
      <c r="EA77" s="46"/>
      <c r="EB77" s="46"/>
      <c r="EC77" s="46"/>
      <c r="ED77" s="46"/>
      <c r="EE77" s="46"/>
      <c r="EF77" s="46"/>
      <c r="EG77" s="46"/>
      <c r="EH77" s="46"/>
      <c r="EI77" s="46"/>
      <c r="EJ77" s="46"/>
      <c r="EK77" s="46"/>
      <c r="EL77" s="46"/>
      <c r="EM77" s="46"/>
    </row>
    <row r="78" spans="1:143" ht="18" customHeight="1">
      <c r="A78" s="47"/>
      <c r="B78" s="51" t="str">
        <f t="shared" si="3"/>
        <v/>
      </c>
      <c r="C78" s="47"/>
      <c r="D78" s="67"/>
      <c r="E78" s="65"/>
      <c r="F78" s="47"/>
      <c r="G78" s="50"/>
      <c r="H78" s="48"/>
      <c r="I78" s="48"/>
      <c r="J78" s="47"/>
      <c r="K78" s="48"/>
      <c r="L78" s="65"/>
      <c r="M78" s="56"/>
      <c r="N78" s="56"/>
      <c r="O78" s="46"/>
      <c r="P78" s="46"/>
      <c r="Q78" s="46"/>
      <c r="R78" s="46"/>
      <c r="S78" s="46"/>
      <c r="T78" s="46"/>
      <c r="U78" s="46"/>
      <c r="V78" s="46"/>
      <c r="W78" s="46"/>
      <c r="X78" s="46"/>
      <c r="Y78" s="46"/>
      <c r="Z78" s="46"/>
      <c r="AA78" s="46"/>
      <c r="AB78" s="46"/>
      <c r="AC78" s="46"/>
      <c r="AD78" s="46"/>
      <c r="AE78" s="46"/>
      <c r="AF78" s="46"/>
      <c r="AG78" s="46"/>
      <c r="AH78" s="46"/>
      <c r="AI78" s="46"/>
      <c r="AJ78" s="46"/>
      <c r="AK78" s="46"/>
      <c r="AL78" s="46"/>
      <c r="AM78" s="46"/>
      <c r="AN78" s="46"/>
      <c r="AO78" s="46"/>
      <c r="AP78" s="46"/>
      <c r="AQ78" s="46"/>
      <c r="AR78" s="46"/>
      <c r="AS78" s="46"/>
      <c r="AT78" s="46"/>
      <c r="AU78" s="46"/>
      <c r="AV78" s="46"/>
      <c r="AW78" s="46"/>
      <c r="AX78" s="46"/>
      <c r="AY78" s="46"/>
      <c r="AZ78" s="46"/>
      <c r="BA78" s="46"/>
      <c r="BB78" s="46"/>
      <c r="BC78" s="46"/>
      <c r="BD78" s="46"/>
      <c r="BE78" s="46"/>
      <c r="BF78" s="46"/>
      <c r="BG78" s="46"/>
      <c r="BH78" s="46"/>
      <c r="BI78" s="46"/>
      <c r="BJ78" s="46"/>
      <c r="BK78" s="46"/>
      <c r="BL78" s="46"/>
      <c r="BM78" s="46"/>
      <c r="BN78" s="46"/>
      <c r="BO78" s="46"/>
      <c r="BP78" s="46"/>
      <c r="BQ78" s="46"/>
      <c r="BR78" s="46"/>
      <c r="BS78" s="46"/>
      <c r="BT78" s="46"/>
      <c r="BU78" s="46"/>
      <c r="BV78" s="46"/>
      <c r="BW78" s="46"/>
      <c r="BX78" s="46"/>
      <c r="BY78" s="46"/>
      <c r="BZ78" s="46"/>
      <c r="CA78" s="46"/>
      <c r="CB78" s="46"/>
      <c r="CC78" s="46"/>
      <c r="CD78" s="46"/>
      <c r="CE78" s="46"/>
      <c r="CF78" s="46"/>
      <c r="CG78" s="46"/>
      <c r="CH78" s="46"/>
      <c r="CI78" s="46"/>
      <c r="CJ78" s="46"/>
      <c r="CK78" s="46"/>
      <c r="CL78" s="46"/>
      <c r="CM78" s="46"/>
      <c r="CN78" s="46"/>
      <c r="CO78" s="46"/>
      <c r="CP78" s="46"/>
      <c r="CQ78" s="46"/>
      <c r="CR78" s="46"/>
      <c r="CS78" s="46"/>
      <c r="CT78" s="46"/>
      <c r="CU78" s="46"/>
      <c r="CV78" s="46"/>
      <c r="CW78" s="46"/>
      <c r="CX78" s="46"/>
      <c r="CY78" s="46"/>
      <c r="CZ78" s="46"/>
      <c r="DA78" s="46"/>
      <c r="DB78" s="46"/>
      <c r="DC78" s="46"/>
      <c r="DD78" s="46"/>
      <c r="DE78" s="46"/>
      <c r="DF78" s="46"/>
      <c r="DG78" s="46"/>
      <c r="DH78" s="46"/>
      <c r="DI78" s="46"/>
      <c r="DJ78" s="46"/>
      <c r="DK78" s="46"/>
      <c r="DL78" s="46"/>
      <c r="DM78" s="46"/>
      <c r="DN78" s="46"/>
      <c r="DO78" s="46"/>
      <c r="DP78" s="46"/>
      <c r="DQ78" s="46"/>
      <c r="DR78" s="46"/>
      <c r="DS78" s="46"/>
      <c r="DT78" s="46"/>
      <c r="DU78" s="46"/>
      <c r="DV78" s="46"/>
      <c r="DW78" s="46"/>
      <c r="DX78" s="46"/>
      <c r="DY78" s="46"/>
      <c r="DZ78" s="46"/>
      <c r="EA78" s="46"/>
      <c r="EB78" s="46"/>
      <c r="EC78" s="46"/>
      <c r="ED78" s="46"/>
      <c r="EE78" s="46"/>
      <c r="EF78" s="46"/>
      <c r="EG78" s="46"/>
      <c r="EH78" s="46"/>
      <c r="EI78" s="46"/>
      <c r="EJ78" s="46"/>
      <c r="EK78" s="46"/>
      <c r="EL78" s="46"/>
      <c r="EM78" s="46"/>
    </row>
    <row r="79" spans="1:143" ht="18" customHeight="1">
      <c r="A79" s="47"/>
      <c r="B79" s="51" t="str">
        <f t="shared" si="3"/>
        <v/>
      </c>
      <c r="C79" s="47"/>
      <c r="D79" s="67"/>
      <c r="E79" s="65"/>
      <c r="F79" s="47"/>
      <c r="G79" s="50"/>
      <c r="H79" s="48"/>
      <c r="I79" s="48"/>
      <c r="J79" s="47"/>
      <c r="K79" s="48"/>
      <c r="L79" s="66"/>
      <c r="M79" s="56"/>
      <c r="N79" s="56"/>
      <c r="O79" s="46"/>
      <c r="P79" s="46"/>
      <c r="Q79" s="46"/>
      <c r="R79" s="46"/>
      <c r="S79" s="46"/>
      <c r="T79" s="46"/>
      <c r="U79" s="46"/>
      <c r="V79" s="46"/>
      <c r="W79" s="46"/>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46"/>
      <c r="AW79" s="46"/>
      <c r="AX79" s="46"/>
      <c r="AY79" s="46"/>
      <c r="AZ79" s="46"/>
      <c r="BA79" s="46"/>
      <c r="BB79" s="46"/>
      <c r="BC79" s="46"/>
      <c r="BD79" s="46"/>
      <c r="BE79" s="46"/>
      <c r="BF79" s="46"/>
      <c r="BG79" s="46"/>
      <c r="BH79" s="46"/>
      <c r="BI79" s="46"/>
      <c r="BJ79" s="46"/>
      <c r="BK79" s="46"/>
      <c r="BL79" s="46"/>
      <c r="BM79" s="46"/>
      <c r="BN79" s="46"/>
      <c r="BO79" s="46"/>
      <c r="BP79" s="46"/>
      <c r="BQ79" s="46"/>
      <c r="BR79" s="46"/>
      <c r="BS79" s="46"/>
      <c r="BT79" s="46"/>
      <c r="BU79" s="46"/>
      <c r="BV79" s="46"/>
      <c r="BW79" s="46"/>
      <c r="BX79" s="46"/>
      <c r="BY79" s="46"/>
      <c r="BZ79" s="46"/>
      <c r="CA79" s="46"/>
      <c r="CB79" s="46"/>
      <c r="CC79" s="46"/>
      <c r="CD79" s="46"/>
      <c r="CE79" s="46"/>
      <c r="CF79" s="46"/>
      <c r="CG79" s="46"/>
      <c r="CH79" s="46"/>
      <c r="CI79" s="46"/>
      <c r="CJ79" s="46"/>
      <c r="CK79" s="46"/>
      <c r="CL79" s="46"/>
      <c r="CM79" s="46"/>
      <c r="CN79" s="46"/>
      <c r="CO79" s="46"/>
      <c r="CP79" s="46"/>
      <c r="CQ79" s="46"/>
      <c r="CR79" s="46"/>
      <c r="CS79" s="46"/>
      <c r="CT79" s="46"/>
      <c r="CU79" s="46"/>
      <c r="CV79" s="46"/>
      <c r="CW79" s="46"/>
      <c r="CX79" s="46"/>
      <c r="CY79" s="46"/>
      <c r="CZ79" s="46"/>
      <c r="DA79" s="46"/>
      <c r="DB79" s="46"/>
      <c r="DC79" s="46"/>
      <c r="DD79" s="46"/>
      <c r="DE79" s="46"/>
      <c r="DF79" s="46"/>
      <c r="DG79" s="46"/>
      <c r="DH79" s="46"/>
      <c r="DI79" s="46"/>
      <c r="DJ79" s="46"/>
      <c r="DK79" s="46"/>
      <c r="DL79" s="46"/>
      <c r="DM79" s="46"/>
      <c r="DN79" s="46"/>
      <c r="DO79" s="46"/>
      <c r="DP79" s="46"/>
      <c r="DQ79" s="46"/>
      <c r="DR79" s="46"/>
      <c r="DS79" s="46"/>
      <c r="DT79" s="46"/>
      <c r="DU79" s="46"/>
      <c r="DV79" s="46"/>
      <c r="DW79" s="46"/>
      <c r="DX79" s="46"/>
      <c r="DY79" s="46"/>
      <c r="DZ79" s="46"/>
      <c r="EA79" s="46"/>
      <c r="EB79" s="46"/>
      <c r="EC79" s="46"/>
      <c r="ED79" s="46"/>
      <c r="EE79" s="46"/>
      <c r="EF79" s="46"/>
      <c r="EG79" s="46"/>
      <c r="EH79" s="46"/>
      <c r="EI79" s="46"/>
      <c r="EJ79" s="46"/>
      <c r="EK79" s="46"/>
      <c r="EL79" s="46"/>
      <c r="EM79" s="46"/>
    </row>
    <row r="80" spans="1:143" ht="18" customHeight="1">
      <c r="A80" s="47"/>
      <c r="B80" s="51" t="str">
        <f t="shared" si="3"/>
        <v/>
      </c>
      <c r="C80" s="47"/>
      <c r="D80" s="67"/>
      <c r="E80" s="68"/>
      <c r="F80" s="47"/>
      <c r="G80" s="50"/>
      <c r="H80" s="48"/>
      <c r="I80" s="48"/>
      <c r="J80" s="47"/>
      <c r="K80" s="48"/>
      <c r="L80" s="66"/>
      <c r="M80" s="56"/>
      <c r="N80" s="5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6"/>
      <c r="CA80" s="46"/>
      <c r="CB80" s="46"/>
      <c r="CC80" s="46"/>
      <c r="CD80" s="46"/>
      <c r="CE80" s="46"/>
      <c r="CF80" s="46"/>
      <c r="CG80" s="46"/>
      <c r="CH80" s="46"/>
      <c r="CI80" s="46"/>
      <c r="CJ80" s="46"/>
      <c r="CK80" s="46"/>
      <c r="CL80" s="46"/>
      <c r="CM80" s="46"/>
      <c r="CN80" s="46"/>
      <c r="CO80" s="46"/>
      <c r="CP80" s="46"/>
      <c r="CQ80" s="46"/>
      <c r="CR80" s="46"/>
      <c r="CS80" s="46"/>
      <c r="CT80" s="46"/>
      <c r="CU80" s="46"/>
      <c r="CV80" s="46"/>
      <c r="CW80" s="46"/>
      <c r="CX80" s="46"/>
      <c r="CY80" s="46"/>
      <c r="CZ80" s="46"/>
      <c r="DA80" s="46"/>
      <c r="DB80" s="46"/>
      <c r="DC80" s="46"/>
      <c r="DD80" s="46"/>
      <c r="DE80" s="46"/>
      <c r="DF80" s="46"/>
      <c r="DG80" s="46"/>
      <c r="DH80" s="46"/>
      <c r="DI80" s="46"/>
      <c r="DJ80" s="46"/>
      <c r="DK80" s="46"/>
      <c r="DL80" s="46"/>
      <c r="DM80" s="46"/>
      <c r="DN80" s="46"/>
      <c r="DO80" s="46"/>
      <c r="DP80" s="46"/>
      <c r="DQ80" s="46"/>
      <c r="DR80" s="46"/>
      <c r="DS80" s="46"/>
      <c r="DT80" s="46"/>
      <c r="DU80" s="46"/>
      <c r="DV80" s="46"/>
      <c r="DW80" s="46"/>
      <c r="DX80" s="46"/>
      <c r="DY80" s="46"/>
      <c r="DZ80" s="46"/>
      <c r="EA80" s="46"/>
      <c r="EB80" s="46"/>
      <c r="EC80" s="46"/>
      <c r="ED80" s="46"/>
      <c r="EE80" s="46"/>
      <c r="EF80" s="46"/>
      <c r="EG80" s="46"/>
      <c r="EH80" s="46"/>
      <c r="EI80" s="46"/>
      <c r="EJ80" s="46"/>
      <c r="EK80" s="46"/>
      <c r="EL80" s="46"/>
      <c r="EM80" s="46"/>
    </row>
    <row r="81" spans="1:143" ht="18" customHeight="1">
      <c r="A81" s="47"/>
      <c r="B81" s="51" t="str">
        <f t="shared" si="3"/>
        <v/>
      </c>
      <c r="C81" s="47"/>
      <c r="D81" s="47"/>
      <c r="E81" s="66"/>
      <c r="F81" s="47"/>
      <c r="G81" s="50"/>
      <c r="H81" s="48"/>
      <c r="I81" s="48"/>
      <c r="J81" s="47"/>
      <c r="K81" s="48"/>
      <c r="L81" s="66"/>
      <c r="M81" s="56"/>
      <c r="N81" s="56"/>
      <c r="O81" s="46"/>
      <c r="P81" s="46"/>
      <c r="Q81" s="46"/>
      <c r="R81" s="46"/>
      <c r="S81" s="46"/>
      <c r="T81" s="46"/>
      <c r="U81" s="46"/>
      <c r="V81" s="46"/>
      <c r="W81" s="46"/>
      <c r="X81" s="46"/>
      <c r="Y81" s="46"/>
      <c r="Z81" s="46"/>
      <c r="AA81" s="46"/>
      <c r="AB81" s="46"/>
      <c r="AC81" s="46"/>
      <c r="AD81" s="46"/>
      <c r="AE81" s="46"/>
      <c r="AF81" s="46"/>
      <c r="AG81" s="46"/>
      <c r="AH81" s="46"/>
      <c r="AI81" s="46"/>
      <c r="AJ81" s="46"/>
      <c r="AK81" s="46"/>
      <c r="AL81" s="46"/>
      <c r="AM81" s="46"/>
      <c r="AN81" s="46"/>
      <c r="AO81" s="46"/>
      <c r="AP81" s="46"/>
      <c r="AQ81" s="46"/>
      <c r="AR81" s="46"/>
      <c r="AS81" s="46"/>
      <c r="AT81" s="46"/>
      <c r="AU81" s="46"/>
      <c r="AV81" s="46"/>
      <c r="AW81" s="46"/>
      <c r="AX81" s="46"/>
      <c r="AY81" s="46"/>
      <c r="AZ81" s="46"/>
      <c r="BA81" s="46"/>
      <c r="BB81" s="46"/>
      <c r="BC81" s="46"/>
      <c r="BD81" s="46"/>
      <c r="BE81" s="46"/>
      <c r="BF81" s="46"/>
      <c r="BG81" s="46"/>
      <c r="BH81" s="46"/>
      <c r="BI81" s="46"/>
      <c r="BJ81" s="46"/>
      <c r="BK81" s="46"/>
      <c r="BL81" s="46"/>
      <c r="BM81" s="46"/>
      <c r="BN81" s="46"/>
      <c r="BO81" s="46"/>
      <c r="BP81" s="46"/>
      <c r="BQ81" s="46"/>
      <c r="BR81" s="46"/>
      <c r="BS81" s="46"/>
      <c r="BT81" s="46"/>
      <c r="BU81" s="46"/>
      <c r="BV81" s="46"/>
      <c r="BW81" s="46"/>
      <c r="BX81" s="46"/>
      <c r="BY81" s="46"/>
      <c r="BZ81" s="46"/>
      <c r="CA81" s="46"/>
      <c r="CB81" s="46"/>
      <c r="CC81" s="46"/>
      <c r="CD81" s="46"/>
      <c r="CE81" s="46"/>
      <c r="CF81" s="46"/>
      <c r="CG81" s="46"/>
      <c r="CH81" s="46"/>
      <c r="CI81" s="46"/>
      <c r="CJ81" s="46"/>
      <c r="CK81" s="46"/>
      <c r="CL81" s="46"/>
      <c r="CM81" s="46"/>
      <c r="CN81" s="46"/>
      <c r="CO81" s="46"/>
      <c r="CP81" s="46"/>
      <c r="CQ81" s="46"/>
      <c r="CR81" s="46"/>
      <c r="CS81" s="46"/>
      <c r="CT81" s="46"/>
      <c r="CU81" s="46"/>
      <c r="CV81" s="46"/>
      <c r="CW81" s="46"/>
      <c r="CX81" s="46"/>
      <c r="CY81" s="46"/>
      <c r="CZ81" s="46"/>
      <c r="DA81" s="46"/>
      <c r="DB81" s="46"/>
      <c r="DC81" s="46"/>
      <c r="DD81" s="46"/>
      <c r="DE81" s="46"/>
      <c r="DF81" s="46"/>
      <c r="DG81" s="46"/>
      <c r="DH81" s="46"/>
      <c r="DI81" s="46"/>
      <c r="DJ81" s="46"/>
      <c r="DK81" s="46"/>
      <c r="DL81" s="46"/>
      <c r="DM81" s="46"/>
      <c r="DN81" s="46"/>
      <c r="DO81" s="46"/>
      <c r="DP81" s="46"/>
      <c r="DQ81" s="46"/>
      <c r="DR81" s="46"/>
      <c r="DS81" s="46"/>
      <c r="DT81" s="46"/>
      <c r="DU81" s="46"/>
      <c r="DV81" s="46"/>
      <c r="DW81" s="46"/>
      <c r="DX81" s="46"/>
      <c r="DY81" s="46"/>
      <c r="DZ81" s="46"/>
      <c r="EA81" s="46"/>
      <c r="EB81" s="46"/>
      <c r="EC81" s="46"/>
      <c r="ED81" s="46"/>
      <c r="EE81" s="46"/>
      <c r="EF81" s="46"/>
      <c r="EG81" s="46"/>
      <c r="EH81" s="46"/>
      <c r="EI81" s="46"/>
      <c r="EJ81" s="46"/>
      <c r="EK81" s="46"/>
      <c r="EL81" s="46"/>
      <c r="EM81" s="46"/>
    </row>
    <row r="82" spans="1:143" ht="18" customHeight="1">
      <c r="A82" s="47"/>
      <c r="B82" s="51" t="str">
        <f t="shared" si="3"/>
        <v/>
      </c>
      <c r="C82" s="47"/>
      <c r="D82" s="47"/>
      <c r="E82" s="66"/>
      <c r="F82" s="47"/>
      <c r="G82" s="50"/>
      <c r="H82" s="48"/>
      <c r="I82" s="48"/>
      <c r="J82" s="47"/>
      <c r="K82" s="48"/>
      <c r="L82" s="66"/>
      <c r="M82" s="56"/>
      <c r="N82" s="56"/>
      <c r="O82" s="46"/>
      <c r="P82" s="46"/>
      <c r="Q82" s="46"/>
      <c r="R82" s="46"/>
      <c r="S82" s="46"/>
      <c r="T82" s="46"/>
      <c r="U82" s="46"/>
      <c r="V82" s="46"/>
      <c r="W82" s="46"/>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c r="AY82" s="46"/>
      <c r="AZ82" s="46"/>
      <c r="BA82" s="46"/>
      <c r="BB82" s="46"/>
      <c r="BC82" s="46"/>
      <c r="BD82" s="46"/>
      <c r="BE82" s="46"/>
      <c r="BF82" s="46"/>
      <c r="BG82" s="46"/>
      <c r="BH82" s="46"/>
      <c r="BI82" s="46"/>
      <c r="BJ82" s="46"/>
      <c r="BK82" s="46"/>
      <c r="BL82" s="46"/>
      <c r="BM82" s="46"/>
      <c r="BN82" s="46"/>
      <c r="BO82" s="46"/>
      <c r="BP82" s="46"/>
      <c r="BQ82" s="46"/>
      <c r="BR82" s="46"/>
      <c r="BS82" s="46"/>
      <c r="BT82" s="46"/>
      <c r="BU82" s="46"/>
      <c r="BV82" s="46"/>
      <c r="BW82" s="46"/>
      <c r="BX82" s="46"/>
      <c r="BY82" s="46"/>
      <c r="BZ82" s="46"/>
      <c r="CA82" s="46"/>
      <c r="CB82" s="46"/>
      <c r="CC82" s="46"/>
      <c r="CD82" s="46"/>
      <c r="CE82" s="46"/>
      <c r="CF82" s="46"/>
      <c r="CG82" s="46"/>
      <c r="CH82" s="46"/>
      <c r="CI82" s="46"/>
      <c r="CJ82" s="46"/>
      <c r="CK82" s="46"/>
      <c r="CL82" s="46"/>
      <c r="CM82" s="46"/>
      <c r="CN82" s="46"/>
      <c r="CO82" s="46"/>
      <c r="CP82" s="46"/>
      <c r="CQ82" s="46"/>
      <c r="CR82" s="46"/>
      <c r="CS82" s="46"/>
      <c r="CT82" s="46"/>
      <c r="CU82" s="46"/>
      <c r="CV82" s="46"/>
      <c r="CW82" s="46"/>
      <c r="CX82" s="46"/>
      <c r="CY82" s="46"/>
      <c r="CZ82" s="46"/>
      <c r="DA82" s="46"/>
      <c r="DB82" s="46"/>
      <c r="DC82" s="46"/>
      <c r="DD82" s="46"/>
      <c r="DE82" s="46"/>
      <c r="DF82" s="46"/>
      <c r="DG82" s="46"/>
      <c r="DH82" s="46"/>
      <c r="DI82" s="46"/>
      <c r="DJ82" s="46"/>
      <c r="DK82" s="46"/>
      <c r="DL82" s="46"/>
      <c r="DM82" s="46"/>
      <c r="DN82" s="46"/>
      <c r="DO82" s="46"/>
      <c r="DP82" s="46"/>
      <c r="DQ82" s="46"/>
      <c r="DR82" s="46"/>
      <c r="DS82" s="46"/>
      <c r="DT82" s="46"/>
      <c r="DU82" s="46"/>
      <c r="DV82" s="46"/>
      <c r="DW82" s="46"/>
      <c r="DX82" s="46"/>
      <c r="DY82" s="46"/>
      <c r="DZ82" s="46"/>
      <c r="EA82" s="46"/>
      <c r="EB82" s="46"/>
      <c r="EC82" s="46"/>
      <c r="ED82" s="46"/>
      <c r="EE82" s="46"/>
      <c r="EF82" s="46"/>
      <c r="EG82" s="46"/>
      <c r="EH82" s="46"/>
      <c r="EI82" s="46"/>
      <c r="EJ82" s="46"/>
      <c r="EK82" s="46"/>
      <c r="EL82" s="46"/>
      <c r="EM82" s="46"/>
    </row>
    <row r="83" spans="1:143" ht="18" customHeight="1">
      <c r="A83" s="47"/>
      <c r="B83" s="51" t="str">
        <f t="shared" si="3"/>
        <v/>
      </c>
      <c r="C83" s="47"/>
      <c r="D83" s="47"/>
      <c r="E83" s="66"/>
      <c r="F83" s="47"/>
      <c r="G83" s="50"/>
      <c r="H83" s="48"/>
      <c r="I83" s="48"/>
      <c r="J83" s="47"/>
      <c r="K83" s="48"/>
      <c r="L83" s="66"/>
      <c r="M83" s="56"/>
      <c r="N83" s="56"/>
      <c r="O83" s="46"/>
      <c r="P83" s="46"/>
      <c r="Q83" s="46"/>
      <c r="R83" s="46"/>
      <c r="S83" s="46"/>
      <c r="T83" s="46"/>
      <c r="U83" s="46"/>
      <c r="V83" s="46"/>
      <c r="W83" s="46"/>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46"/>
      <c r="AZ83" s="46"/>
      <c r="BA83" s="46"/>
      <c r="BB83" s="46"/>
      <c r="BC83" s="46"/>
      <c r="BD83" s="46"/>
      <c r="BE83" s="46"/>
      <c r="BF83" s="46"/>
      <c r="BG83" s="46"/>
      <c r="BH83" s="46"/>
      <c r="BI83" s="46"/>
      <c r="BJ83" s="46"/>
      <c r="BK83" s="46"/>
      <c r="BL83" s="46"/>
      <c r="BM83" s="46"/>
      <c r="BN83" s="46"/>
      <c r="BO83" s="46"/>
      <c r="BP83" s="46"/>
      <c r="BQ83" s="46"/>
      <c r="BR83" s="46"/>
      <c r="BS83" s="46"/>
      <c r="BT83" s="46"/>
      <c r="BU83" s="46"/>
      <c r="BV83" s="46"/>
      <c r="BW83" s="46"/>
      <c r="BX83" s="46"/>
      <c r="BY83" s="46"/>
      <c r="BZ83" s="46"/>
      <c r="CA83" s="46"/>
      <c r="CB83" s="46"/>
      <c r="CC83" s="46"/>
      <c r="CD83" s="46"/>
      <c r="CE83" s="46"/>
      <c r="CF83" s="46"/>
      <c r="CG83" s="46"/>
      <c r="CH83" s="46"/>
      <c r="CI83" s="46"/>
      <c r="CJ83" s="46"/>
      <c r="CK83" s="46"/>
      <c r="CL83" s="46"/>
      <c r="CM83" s="46"/>
      <c r="CN83" s="46"/>
      <c r="CO83" s="46"/>
      <c r="CP83" s="46"/>
      <c r="CQ83" s="46"/>
      <c r="CR83" s="46"/>
      <c r="CS83" s="46"/>
      <c r="CT83" s="46"/>
      <c r="CU83" s="46"/>
      <c r="CV83" s="46"/>
      <c r="CW83" s="46"/>
      <c r="CX83" s="46"/>
      <c r="CY83" s="46"/>
      <c r="CZ83" s="46"/>
      <c r="DA83" s="46"/>
      <c r="DB83" s="46"/>
      <c r="DC83" s="46"/>
      <c r="DD83" s="46"/>
      <c r="DE83" s="46"/>
      <c r="DF83" s="46"/>
      <c r="DG83" s="46"/>
      <c r="DH83" s="46"/>
      <c r="DI83" s="46"/>
      <c r="DJ83" s="46"/>
      <c r="DK83" s="46"/>
      <c r="DL83" s="46"/>
      <c r="DM83" s="46"/>
      <c r="DN83" s="46"/>
      <c r="DO83" s="46"/>
      <c r="DP83" s="46"/>
      <c r="DQ83" s="46"/>
      <c r="DR83" s="46"/>
      <c r="DS83" s="46"/>
      <c r="DT83" s="46"/>
      <c r="DU83" s="46"/>
      <c r="DV83" s="46"/>
      <c r="DW83" s="46"/>
      <c r="DX83" s="46"/>
      <c r="DY83" s="46"/>
      <c r="DZ83" s="46"/>
      <c r="EA83" s="46"/>
      <c r="EB83" s="46"/>
      <c r="EC83" s="46"/>
      <c r="ED83" s="46"/>
      <c r="EE83" s="46"/>
      <c r="EF83" s="46"/>
      <c r="EG83" s="46"/>
      <c r="EH83" s="46"/>
      <c r="EI83" s="46"/>
      <c r="EJ83" s="46"/>
      <c r="EK83" s="46"/>
      <c r="EL83" s="46"/>
      <c r="EM83" s="46"/>
    </row>
    <row r="84" spans="1:143" ht="18" customHeight="1">
      <c r="A84" s="47"/>
      <c r="B84" s="51" t="str">
        <f t="shared" si="3"/>
        <v/>
      </c>
      <c r="C84" s="47"/>
      <c r="D84" s="47"/>
      <c r="E84" s="66"/>
      <c r="F84" s="47"/>
      <c r="G84" s="50"/>
      <c r="H84" s="48"/>
      <c r="I84" s="48"/>
      <c r="J84" s="47"/>
      <c r="K84" s="48"/>
      <c r="L84" s="66"/>
      <c r="M84" s="56"/>
      <c r="N84" s="56"/>
      <c r="O84" s="46"/>
      <c r="P84" s="46"/>
      <c r="Q84" s="46"/>
      <c r="R84" s="46"/>
      <c r="S84" s="46"/>
      <c r="T84" s="46"/>
      <c r="U84" s="46"/>
      <c r="V84" s="46"/>
      <c r="W84" s="46"/>
      <c r="X84" s="46"/>
      <c r="Y84" s="46"/>
      <c r="Z84" s="46"/>
      <c r="AA84" s="46"/>
      <c r="AB84" s="46"/>
      <c r="AC84" s="46"/>
      <c r="AD84" s="46"/>
      <c r="AE84" s="46"/>
      <c r="AF84" s="46"/>
      <c r="AG84" s="46"/>
      <c r="AH84" s="46"/>
      <c r="AI84" s="46"/>
      <c r="AJ84" s="46"/>
      <c r="AK84" s="46"/>
      <c r="AL84" s="46"/>
      <c r="AM84" s="46"/>
      <c r="AN84" s="46"/>
      <c r="AO84" s="46"/>
      <c r="AP84" s="46"/>
      <c r="AQ84" s="46"/>
      <c r="AR84" s="46"/>
      <c r="AS84" s="46"/>
      <c r="AT84" s="46"/>
      <c r="AU84" s="46"/>
      <c r="AV84" s="46"/>
      <c r="AW84" s="46"/>
      <c r="AX84" s="46"/>
      <c r="AY84" s="46"/>
      <c r="AZ84" s="46"/>
      <c r="BA84" s="46"/>
      <c r="BB84" s="46"/>
      <c r="BC84" s="46"/>
      <c r="BD84" s="46"/>
      <c r="BE84" s="46"/>
      <c r="BF84" s="46"/>
      <c r="BG84" s="46"/>
      <c r="BH84" s="46"/>
      <c r="BI84" s="46"/>
      <c r="BJ84" s="46"/>
      <c r="BK84" s="46"/>
      <c r="BL84" s="46"/>
      <c r="BM84" s="46"/>
      <c r="BN84" s="46"/>
      <c r="BO84" s="46"/>
      <c r="BP84" s="46"/>
      <c r="BQ84" s="46"/>
      <c r="BR84" s="46"/>
      <c r="BS84" s="46"/>
      <c r="BT84" s="46"/>
      <c r="BU84" s="46"/>
      <c r="BV84" s="46"/>
      <c r="BW84" s="46"/>
      <c r="BX84" s="46"/>
      <c r="BY84" s="46"/>
      <c r="BZ84" s="46"/>
      <c r="CA84" s="46"/>
      <c r="CB84" s="46"/>
      <c r="CC84" s="46"/>
      <c r="CD84" s="46"/>
      <c r="CE84" s="46"/>
      <c r="CF84" s="46"/>
      <c r="CG84" s="46"/>
      <c r="CH84" s="46"/>
      <c r="CI84" s="46"/>
      <c r="CJ84" s="46"/>
      <c r="CK84" s="46"/>
      <c r="CL84" s="46"/>
      <c r="CM84" s="46"/>
      <c r="CN84" s="46"/>
      <c r="CO84" s="46"/>
      <c r="CP84" s="46"/>
      <c r="CQ84" s="46"/>
      <c r="CR84" s="46"/>
      <c r="CS84" s="46"/>
      <c r="CT84" s="46"/>
      <c r="CU84" s="46"/>
      <c r="CV84" s="46"/>
      <c r="CW84" s="46"/>
      <c r="CX84" s="46"/>
      <c r="CY84" s="46"/>
      <c r="CZ84" s="46"/>
      <c r="DA84" s="46"/>
      <c r="DB84" s="46"/>
      <c r="DC84" s="46"/>
      <c r="DD84" s="46"/>
      <c r="DE84" s="46"/>
      <c r="DF84" s="46"/>
      <c r="DG84" s="46"/>
      <c r="DH84" s="46"/>
      <c r="DI84" s="46"/>
      <c r="DJ84" s="46"/>
      <c r="DK84" s="46"/>
      <c r="DL84" s="46"/>
      <c r="DM84" s="46"/>
      <c r="DN84" s="46"/>
      <c r="DO84" s="46"/>
      <c r="DP84" s="46"/>
      <c r="DQ84" s="46"/>
      <c r="DR84" s="46"/>
      <c r="DS84" s="46"/>
      <c r="DT84" s="46"/>
      <c r="DU84" s="46"/>
      <c r="DV84" s="46"/>
      <c r="DW84" s="46"/>
      <c r="DX84" s="46"/>
      <c r="DY84" s="46"/>
      <c r="DZ84" s="46"/>
      <c r="EA84" s="46"/>
      <c r="EB84" s="46"/>
      <c r="EC84" s="46"/>
      <c r="ED84" s="46"/>
      <c r="EE84" s="46"/>
      <c r="EF84" s="46"/>
      <c r="EG84" s="46"/>
      <c r="EH84" s="46"/>
      <c r="EI84" s="46"/>
      <c r="EJ84" s="46"/>
      <c r="EK84" s="46"/>
      <c r="EL84" s="46"/>
      <c r="EM84" s="46"/>
    </row>
    <row r="85" spans="1:143" ht="18" customHeight="1">
      <c r="A85" s="47"/>
      <c r="B85" s="51" t="str">
        <f t="shared" si="3"/>
        <v/>
      </c>
      <c r="C85" s="47"/>
      <c r="D85" s="47"/>
      <c r="E85" s="66"/>
      <c r="F85" s="47"/>
      <c r="G85" s="50"/>
      <c r="H85" s="48"/>
      <c r="I85" s="48"/>
      <c r="J85" s="47"/>
      <c r="K85" s="48"/>
      <c r="L85" s="66"/>
      <c r="M85" s="56"/>
      <c r="N85" s="56"/>
      <c r="O85" s="46"/>
      <c r="P85" s="46"/>
      <c r="Q85" s="46"/>
      <c r="R85" s="46"/>
      <c r="S85" s="46"/>
      <c r="T85" s="46"/>
      <c r="U85" s="46"/>
      <c r="V85" s="46"/>
      <c r="W85" s="46"/>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c r="AY85" s="46"/>
      <c r="AZ85" s="46"/>
      <c r="BA85" s="46"/>
      <c r="BB85" s="46"/>
      <c r="BC85" s="46"/>
      <c r="BD85" s="46"/>
      <c r="BE85" s="46"/>
      <c r="BF85" s="46"/>
      <c r="BG85" s="46"/>
      <c r="BH85" s="46"/>
      <c r="BI85" s="46"/>
      <c r="BJ85" s="46"/>
      <c r="BK85" s="46"/>
      <c r="BL85" s="46"/>
      <c r="BM85" s="46"/>
      <c r="BN85" s="46"/>
      <c r="BO85" s="46"/>
      <c r="BP85" s="46"/>
      <c r="BQ85" s="46"/>
      <c r="BR85" s="46"/>
      <c r="BS85" s="46"/>
      <c r="BT85" s="46"/>
      <c r="BU85" s="46"/>
      <c r="BV85" s="46"/>
      <c r="BW85" s="46"/>
      <c r="BX85" s="46"/>
      <c r="BY85" s="46"/>
      <c r="BZ85" s="46"/>
      <c r="CA85" s="46"/>
      <c r="CB85" s="46"/>
      <c r="CC85" s="46"/>
      <c r="CD85" s="46"/>
      <c r="CE85" s="46"/>
      <c r="CF85" s="46"/>
      <c r="CG85" s="46"/>
      <c r="CH85" s="46"/>
      <c r="CI85" s="46"/>
      <c r="CJ85" s="46"/>
      <c r="CK85" s="46"/>
      <c r="CL85" s="46"/>
      <c r="CM85" s="46"/>
      <c r="CN85" s="46"/>
      <c r="CO85" s="46"/>
      <c r="CP85" s="46"/>
      <c r="CQ85" s="46"/>
      <c r="CR85" s="46"/>
      <c r="CS85" s="46"/>
      <c r="CT85" s="46"/>
      <c r="CU85" s="46"/>
      <c r="CV85" s="46"/>
      <c r="CW85" s="46"/>
      <c r="CX85" s="46"/>
      <c r="CY85" s="46"/>
      <c r="CZ85" s="46"/>
      <c r="DA85" s="46"/>
      <c r="DB85" s="46"/>
      <c r="DC85" s="46"/>
      <c r="DD85" s="46"/>
      <c r="DE85" s="46"/>
      <c r="DF85" s="46"/>
      <c r="DG85" s="46"/>
      <c r="DH85" s="46"/>
      <c r="DI85" s="46"/>
      <c r="DJ85" s="46"/>
      <c r="DK85" s="46"/>
      <c r="DL85" s="46"/>
      <c r="DM85" s="46"/>
      <c r="DN85" s="46"/>
      <c r="DO85" s="46"/>
      <c r="DP85" s="46"/>
      <c r="DQ85" s="46"/>
      <c r="DR85" s="46"/>
      <c r="DS85" s="46"/>
      <c r="DT85" s="46"/>
      <c r="DU85" s="46"/>
      <c r="DV85" s="46"/>
      <c r="DW85" s="46"/>
      <c r="DX85" s="46"/>
      <c r="DY85" s="46"/>
      <c r="DZ85" s="46"/>
      <c r="EA85" s="46"/>
      <c r="EB85" s="46"/>
      <c r="EC85" s="46"/>
      <c r="ED85" s="46"/>
      <c r="EE85" s="46"/>
      <c r="EF85" s="46"/>
      <c r="EG85" s="46"/>
      <c r="EH85" s="46"/>
      <c r="EI85" s="46"/>
      <c r="EJ85" s="46"/>
      <c r="EK85" s="46"/>
      <c r="EL85" s="46"/>
      <c r="EM85" s="46"/>
    </row>
    <row r="86" spans="1:143" ht="18" customHeight="1">
      <c r="A86" s="47"/>
      <c r="B86" s="51" t="str">
        <f t="shared" si="3"/>
        <v/>
      </c>
      <c r="C86" s="47"/>
      <c r="D86" s="47"/>
      <c r="E86" s="66"/>
      <c r="F86" s="47"/>
      <c r="G86" s="50"/>
      <c r="H86" s="48"/>
      <c r="I86" s="48"/>
      <c r="J86" s="47"/>
      <c r="K86" s="48"/>
      <c r="L86" s="66"/>
      <c r="M86" s="56"/>
      <c r="N86" s="5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46"/>
      <c r="AZ86" s="46"/>
      <c r="BA86" s="46"/>
      <c r="BB86" s="46"/>
      <c r="BC86" s="46"/>
      <c r="BD86" s="46"/>
      <c r="BE86" s="46"/>
      <c r="BF86" s="46"/>
      <c r="BG86" s="46"/>
      <c r="BH86" s="46"/>
      <c r="BI86" s="46"/>
      <c r="BJ86" s="46"/>
      <c r="BK86" s="46"/>
      <c r="BL86" s="46"/>
      <c r="BM86" s="46"/>
      <c r="BN86" s="46"/>
      <c r="BO86" s="46"/>
      <c r="BP86" s="46"/>
      <c r="BQ86" s="46"/>
      <c r="BR86" s="46"/>
      <c r="BS86" s="46"/>
      <c r="BT86" s="46"/>
      <c r="BU86" s="46"/>
      <c r="BV86" s="46"/>
      <c r="BW86" s="46"/>
      <c r="BX86" s="46"/>
      <c r="BY86" s="46"/>
      <c r="BZ86" s="46"/>
      <c r="CA86" s="46"/>
      <c r="CB86" s="46"/>
      <c r="CC86" s="46"/>
      <c r="CD86" s="46"/>
      <c r="CE86" s="46"/>
      <c r="CF86" s="46"/>
      <c r="CG86" s="46"/>
      <c r="CH86" s="46"/>
      <c r="CI86" s="46"/>
      <c r="CJ86" s="46"/>
      <c r="CK86" s="46"/>
      <c r="CL86" s="46"/>
      <c r="CM86" s="46"/>
      <c r="CN86" s="46"/>
      <c r="CO86" s="46"/>
      <c r="CP86" s="46"/>
      <c r="CQ86" s="46"/>
      <c r="CR86" s="46"/>
      <c r="CS86" s="46"/>
      <c r="CT86" s="46"/>
      <c r="CU86" s="46"/>
      <c r="CV86" s="46"/>
      <c r="CW86" s="46"/>
      <c r="CX86" s="46"/>
      <c r="CY86" s="46"/>
      <c r="CZ86" s="46"/>
      <c r="DA86" s="46"/>
      <c r="DB86" s="46"/>
      <c r="DC86" s="46"/>
      <c r="DD86" s="46"/>
      <c r="DE86" s="46"/>
      <c r="DF86" s="46"/>
      <c r="DG86" s="46"/>
      <c r="DH86" s="46"/>
      <c r="DI86" s="46"/>
      <c r="DJ86" s="46"/>
      <c r="DK86" s="46"/>
      <c r="DL86" s="46"/>
      <c r="DM86" s="46"/>
      <c r="DN86" s="46"/>
      <c r="DO86" s="46"/>
      <c r="DP86" s="46"/>
      <c r="DQ86" s="46"/>
      <c r="DR86" s="46"/>
      <c r="DS86" s="46"/>
      <c r="DT86" s="46"/>
      <c r="DU86" s="46"/>
      <c r="DV86" s="46"/>
      <c r="DW86" s="46"/>
      <c r="DX86" s="46"/>
      <c r="DY86" s="46"/>
      <c r="DZ86" s="46"/>
      <c r="EA86" s="46"/>
      <c r="EB86" s="46"/>
      <c r="EC86" s="46"/>
      <c r="ED86" s="46"/>
      <c r="EE86" s="46"/>
      <c r="EF86" s="46"/>
      <c r="EG86" s="46"/>
      <c r="EH86" s="46"/>
      <c r="EI86" s="46"/>
      <c r="EJ86" s="46"/>
      <c r="EK86" s="46"/>
      <c r="EL86" s="46"/>
      <c r="EM86" s="46"/>
    </row>
    <row r="87" spans="1:143" ht="18" customHeight="1">
      <c r="A87" s="47"/>
      <c r="B87" s="51" t="str">
        <f t="shared" si="3"/>
        <v/>
      </c>
      <c r="C87" s="47"/>
      <c r="D87" s="47"/>
      <c r="E87" s="66"/>
      <c r="F87" s="47"/>
      <c r="G87" s="50"/>
      <c r="H87" s="48"/>
      <c r="I87" s="48"/>
      <c r="J87" s="47"/>
      <c r="K87" s="48"/>
      <c r="L87" s="66"/>
      <c r="M87" s="56"/>
      <c r="N87" s="56"/>
      <c r="O87" s="46"/>
      <c r="P87" s="46"/>
      <c r="Q87" s="46"/>
      <c r="R87" s="46"/>
      <c r="S87" s="46"/>
      <c r="T87" s="46"/>
      <c r="U87" s="46"/>
      <c r="V87" s="46"/>
      <c r="W87" s="46"/>
      <c r="X87" s="46"/>
      <c r="Y87" s="46"/>
      <c r="Z87" s="46"/>
      <c r="AA87" s="46"/>
      <c r="AB87" s="46"/>
      <c r="AC87" s="46"/>
      <c r="AD87" s="46"/>
      <c r="AE87" s="46"/>
      <c r="AF87" s="46"/>
      <c r="AG87" s="46"/>
      <c r="AH87" s="46"/>
      <c r="AI87" s="46"/>
      <c r="AJ87" s="46"/>
      <c r="AK87" s="46"/>
      <c r="AL87" s="46"/>
      <c r="AM87" s="46"/>
      <c r="AN87" s="46"/>
      <c r="AO87" s="46"/>
      <c r="AP87" s="46"/>
      <c r="AQ87" s="46"/>
      <c r="AR87" s="46"/>
      <c r="AS87" s="46"/>
      <c r="AT87" s="46"/>
      <c r="AU87" s="46"/>
      <c r="AV87" s="46"/>
      <c r="AW87" s="46"/>
      <c r="AX87" s="46"/>
      <c r="AY87" s="46"/>
      <c r="AZ87" s="46"/>
      <c r="BA87" s="46"/>
      <c r="BB87" s="46"/>
      <c r="BC87" s="46"/>
      <c r="BD87" s="46"/>
      <c r="BE87" s="46"/>
      <c r="BF87" s="46"/>
      <c r="BG87" s="46"/>
      <c r="BH87" s="46"/>
      <c r="BI87" s="46"/>
      <c r="BJ87" s="46"/>
      <c r="BK87" s="46"/>
      <c r="BL87" s="46"/>
      <c r="BM87" s="46"/>
      <c r="BN87" s="46"/>
      <c r="BO87" s="46"/>
      <c r="BP87" s="46"/>
      <c r="BQ87" s="46"/>
      <c r="BR87" s="46"/>
      <c r="BS87" s="46"/>
      <c r="BT87" s="46"/>
      <c r="BU87" s="46"/>
      <c r="BV87" s="46"/>
      <c r="BW87" s="46"/>
      <c r="BX87" s="46"/>
      <c r="BY87" s="46"/>
      <c r="BZ87" s="46"/>
      <c r="CA87" s="46"/>
      <c r="CB87" s="46"/>
      <c r="CC87" s="46"/>
      <c r="CD87" s="46"/>
      <c r="CE87" s="46"/>
      <c r="CF87" s="46"/>
      <c r="CG87" s="46"/>
      <c r="CH87" s="46"/>
      <c r="CI87" s="46"/>
      <c r="CJ87" s="46"/>
      <c r="CK87" s="46"/>
      <c r="CL87" s="46"/>
      <c r="CM87" s="46"/>
      <c r="CN87" s="46"/>
      <c r="CO87" s="46"/>
      <c r="CP87" s="46"/>
      <c r="CQ87" s="46"/>
      <c r="CR87" s="46"/>
      <c r="CS87" s="46"/>
      <c r="CT87" s="46"/>
      <c r="CU87" s="46"/>
      <c r="CV87" s="46"/>
      <c r="CW87" s="46"/>
      <c r="CX87" s="46"/>
      <c r="CY87" s="46"/>
      <c r="CZ87" s="46"/>
      <c r="DA87" s="46"/>
      <c r="DB87" s="46"/>
      <c r="DC87" s="46"/>
      <c r="DD87" s="46"/>
      <c r="DE87" s="46"/>
      <c r="DF87" s="46"/>
      <c r="DG87" s="46"/>
      <c r="DH87" s="46"/>
      <c r="DI87" s="46"/>
      <c r="DJ87" s="46"/>
      <c r="DK87" s="46"/>
      <c r="DL87" s="46"/>
      <c r="DM87" s="46"/>
      <c r="DN87" s="46"/>
      <c r="DO87" s="46"/>
      <c r="DP87" s="46"/>
      <c r="DQ87" s="46"/>
      <c r="DR87" s="46"/>
      <c r="DS87" s="46"/>
      <c r="DT87" s="46"/>
      <c r="DU87" s="46"/>
      <c r="DV87" s="46"/>
      <c r="DW87" s="46"/>
      <c r="DX87" s="46"/>
      <c r="DY87" s="46"/>
      <c r="DZ87" s="46"/>
      <c r="EA87" s="46"/>
      <c r="EB87" s="46"/>
      <c r="EC87" s="46"/>
      <c r="ED87" s="46"/>
      <c r="EE87" s="46"/>
      <c r="EF87" s="46"/>
      <c r="EG87" s="46"/>
      <c r="EH87" s="46"/>
      <c r="EI87" s="46"/>
      <c r="EJ87" s="46"/>
      <c r="EK87" s="46"/>
      <c r="EL87" s="46"/>
      <c r="EM87" s="46"/>
    </row>
    <row r="88" spans="1:143" ht="18" customHeight="1">
      <c r="A88" s="47"/>
      <c r="B88" s="51" t="str">
        <f t="shared" si="3"/>
        <v/>
      </c>
      <c r="C88" s="47"/>
      <c r="D88" s="47"/>
      <c r="E88" s="66"/>
      <c r="F88" s="47"/>
      <c r="G88" s="50"/>
      <c r="H88" s="48"/>
      <c r="I88" s="48"/>
      <c r="J88" s="47"/>
      <c r="K88" s="48"/>
      <c r="L88" s="66"/>
      <c r="M88" s="56"/>
      <c r="N88" s="56"/>
      <c r="O88" s="46"/>
      <c r="P88" s="46"/>
      <c r="Q88" s="46"/>
      <c r="R88" s="46"/>
      <c r="S88" s="46"/>
      <c r="T88" s="46"/>
      <c r="U88" s="46"/>
      <c r="V88" s="46"/>
      <c r="W88" s="46"/>
      <c r="X88" s="46"/>
      <c r="Y88" s="46"/>
      <c r="Z88" s="46"/>
      <c r="AA88" s="46"/>
      <c r="AB88" s="46"/>
      <c r="AC88" s="46"/>
      <c r="AD88" s="46"/>
      <c r="AE88" s="46"/>
      <c r="AF88" s="46"/>
      <c r="AG88" s="46"/>
      <c r="AH88" s="46"/>
      <c r="AI88" s="46"/>
      <c r="AJ88" s="46"/>
      <c r="AK88" s="46"/>
      <c r="AL88" s="46"/>
      <c r="AM88" s="46"/>
      <c r="AN88" s="46"/>
      <c r="AO88" s="46"/>
      <c r="AP88" s="46"/>
      <c r="AQ88" s="46"/>
      <c r="AR88" s="46"/>
      <c r="AS88" s="46"/>
      <c r="AT88" s="46"/>
      <c r="AU88" s="46"/>
      <c r="AV88" s="46"/>
      <c r="AW88" s="46"/>
      <c r="AX88" s="46"/>
      <c r="AY88" s="46"/>
      <c r="AZ88" s="46"/>
      <c r="BA88" s="46"/>
      <c r="BB88" s="46"/>
      <c r="BC88" s="46"/>
      <c r="BD88" s="46"/>
      <c r="BE88" s="46"/>
      <c r="BF88" s="46"/>
      <c r="BG88" s="46"/>
      <c r="BH88" s="46"/>
      <c r="BI88" s="46"/>
      <c r="BJ88" s="46"/>
      <c r="BK88" s="46"/>
      <c r="BL88" s="46"/>
      <c r="BM88" s="46"/>
      <c r="BN88" s="46"/>
      <c r="BO88" s="46"/>
      <c r="BP88" s="46"/>
      <c r="BQ88" s="46"/>
      <c r="BR88" s="46"/>
      <c r="BS88" s="46"/>
      <c r="BT88" s="46"/>
      <c r="BU88" s="46"/>
      <c r="BV88" s="46"/>
      <c r="BW88" s="46"/>
      <c r="BX88" s="46"/>
      <c r="BY88" s="46"/>
      <c r="BZ88" s="46"/>
      <c r="CA88" s="46"/>
      <c r="CB88" s="46"/>
      <c r="CC88" s="46"/>
      <c r="CD88" s="46"/>
      <c r="CE88" s="46"/>
      <c r="CF88" s="46"/>
      <c r="CG88" s="46"/>
      <c r="CH88" s="46"/>
      <c r="CI88" s="46"/>
      <c r="CJ88" s="46"/>
      <c r="CK88" s="46"/>
      <c r="CL88" s="46"/>
      <c r="CM88" s="46"/>
      <c r="CN88" s="46"/>
      <c r="CO88" s="46"/>
      <c r="CP88" s="46"/>
      <c r="CQ88" s="46"/>
      <c r="CR88" s="46"/>
      <c r="CS88" s="46"/>
      <c r="CT88" s="46"/>
      <c r="CU88" s="46"/>
      <c r="CV88" s="46"/>
      <c r="CW88" s="46"/>
      <c r="CX88" s="46"/>
      <c r="CY88" s="46"/>
      <c r="CZ88" s="46"/>
      <c r="DA88" s="46"/>
      <c r="DB88" s="46"/>
      <c r="DC88" s="46"/>
      <c r="DD88" s="46"/>
      <c r="DE88" s="46"/>
      <c r="DF88" s="46"/>
      <c r="DG88" s="46"/>
      <c r="DH88" s="46"/>
      <c r="DI88" s="46"/>
      <c r="DJ88" s="46"/>
      <c r="DK88" s="46"/>
      <c r="DL88" s="46"/>
      <c r="DM88" s="46"/>
      <c r="DN88" s="46"/>
      <c r="DO88" s="46"/>
      <c r="DP88" s="46"/>
      <c r="DQ88" s="46"/>
      <c r="DR88" s="46"/>
      <c r="DS88" s="46"/>
      <c r="DT88" s="46"/>
      <c r="DU88" s="46"/>
      <c r="DV88" s="46"/>
      <c r="DW88" s="46"/>
      <c r="DX88" s="46"/>
      <c r="DY88" s="46"/>
      <c r="DZ88" s="46"/>
      <c r="EA88" s="46"/>
      <c r="EB88" s="46"/>
      <c r="EC88" s="46"/>
      <c r="ED88" s="46"/>
      <c r="EE88" s="46"/>
      <c r="EF88" s="46"/>
      <c r="EG88" s="46"/>
      <c r="EH88" s="46"/>
      <c r="EI88" s="46"/>
      <c r="EJ88" s="46"/>
      <c r="EK88" s="46"/>
      <c r="EL88" s="46"/>
      <c r="EM88" s="46"/>
    </row>
    <row r="89" spans="1:143" ht="18" customHeight="1">
      <c r="A89" s="47"/>
      <c r="B89" s="51" t="str">
        <f t="shared" si="3"/>
        <v/>
      </c>
      <c r="C89" s="47"/>
      <c r="D89" s="47"/>
      <c r="E89" s="66"/>
      <c r="F89" s="47"/>
      <c r="G89" s="50"/>
      <c r="H89" s="48"/>
      <c r="I89" s="48"/>
      <c r="J89" s="47"/>
      <c r="K89" s="48"/>
      <c r="L89" s="66"/>
      <c r="M89" s="56"/>
      <c r="N89" s="56"/>
      <c r="O89" s="46"/>
      <c r="P89" s="46"/>
      <c r="Q89" s="46"/>
      <c r="R89" s="46"/>
      <c r="S89" s="46"/>
      <c r="T89" s="46"/>
      <c r="U89" s="46"/>
      <c r="V89" s="46"/>
      <c r="W89" s="46"/>
      <c r="X89" s="46"/>
      <c r="Y89" s="46"/>
      <c r="Z89" s="46"/>
      <c r="AA89" s="46"/>
      <c r="AB89" s="46"/>
      <c r="AC89" s="46"/>
      <c r="AD89" s="46"/>
      <c r="AE89" s="46"/>
      <c r="AF89" s="46"/>
      <c r="AG89" s="46"/>
      <c r="AH89" s="46"/>
      <c r="AI89" s="46"/>
      <c r="AJ89" s="46"/>
      <c r="AK89" s="46"/>
      <c r="AL89" s="46"/>
      <c r="AM89" s="46"/>
      <c r="AN89" s="46"/>
      <c r="AO89" s="46"/>
      <c r="AP89" s="46"/>
      <c r="AQ89" s="46"/>
      <c r="AR89" s="46"/>
      <c r="AS89" s="46"/>
      <c r="AT89" s="46"/>
      <c r="AU89" s="46"/>
      <c r="AV89" s="46"/>
      <c r="AW89" s="46"/>
      <c r="AX89" s="46"/>
      <c r="AY89" s="46"/>
      <c r="AZ89" s="46"/>
      <c r="BA89" s="46"/>
      <c r="BB89" s="46"/>
      <c r="BC89" s="46"/>
      <c r="BD89" s="46"/>
      <c r="BE89" s="46"/>
      <c r="BF89" s="46"/>
      <c r="BG89" s="46"/>
      <c r="BH89" s="46"/>
      <c r="BI89" s="46"/>
      <c r="BJ89" s="46"/>
      <c r="BK89" s="46"/>
      <c r="BL89" s="46"/>
      <c r="BM89" s="46"/>
      <c r="BN89" s="46"/>
      <c r="BO89" s="46"/>
      <c r="BP89" s="46"/>
      <c r="BQ89" s="46"/>
      <c r="BR89" s="46"/>
      <c r="BS89" s="46"/>
      <c r="BT89" s="46"/>
      <c r="BU89" s="46"/>
      <c r="BV89" s="46"/>
      <c r="BW89" s="46"/>
      <c r="BX89" s="46"/>
      <c r="BY89" s="46"/>
      <c r="BZ89" s="46"/>
      <c r="CA89" s="46"/>
      <c r="CB89" s="46"/>
      <c r="CC89" s="46"/>
      <c r="CD89" s="46"/>
      <c r="CE89" s="46"/>
      <c r="CF89" s="46"/>
      <c r="CG89" s="46"/>
      <c r="CH89" s="46"/>
      <c r="CI89" s="46"/>
      <c r="CJ89" s="46"/>
      <c r="CK89" s="46"/>
      <c r="CL89" s="46"/>
      <c r="CM89" s="46"/>
      <c r="CN89" s="46"/>
      <c r="CO89" s="46"/>
      <c r="CP89" s="46"/>
      <c r="CQ89" s="46"/>
      <c r="CR89" s="46"/>
      <c r="CS89" s="46"/>
      <c r="CT89" s="46"/>
      <c r="CU89" s="46"/>
      <c r="CV89" s="46"/>
      <c r="CW89" s="46"/>
      <c r="CX89" s="46"/>
      <c r="CY89" s="46"/>
      <c r="CZ89" s="46"/>
      <c r="DA89" s="46"/>
      <c r="DB89" s="46"/>
      <c r="DC89" s="46"/>
      <c r="DD89" s="46"/>
      <c r="DE89" s="46"/>
      <c r="DF89" s="46"/>
      <c r="DG89" s="46"/>
      <c r="DH89" s="46"/>
      <c r="DI89" s="46"/>
      <c r="DJ89" s="46"/>
      <c r="DK89" s="46"/>
      <c r="DL89" s="46"/>
      <c r="DM89" s="46"/>
      <c r="DN89" s="46"/>
      <c r="DO89" s="46"/>
      <c r="DP89" s="46"/>
      <c r="DQ89" s="46"/>
      <c r="DR89" s="46"/>
      <c r="DS89" s="46"/>
      <c r="DT89" s="46"/>
      <c r="DU89" s="46"/>
      <c r="DV89" s="46"/>
      <c r="DW89" s="46"/>
      <c r="DX89" s="46"/>
      <c r="DY89" s="46"/>
      <c r="DZ89" s="46"/>
      <c r="EA89" s="46"/>
      <c r="EB89" s="46"/>
      <c r="EC89" s="46"/>
      <c r="ED89" s="46"/>
      <c r="EE89" s="46"/>
      <c r="EF89" s="46"/>
      <c r="EG89" s="46"/>
      <c r="EH89" s="46"/>
      <c r="EI89" s="46"/>
      <c r="EJ89" s="46"/>
      <c r="EK89" s="46"/>
      <c r="EL89" s="46"/>
      <c r="EM89" s="46"/>
    </row>
    <row r="90" spans="1:143" ht="18" customHeight="1">
      <c r="A90" s="47"/>
      <c r="B90" s="51" t="str">
        <f t="shared" si="3"/>
        <v/>
      </c>
      <c r="C90" s="47"/>
      <c r="D90" s="47"/>
      <c r="E90" s="66"/>
      <c r="F90" s="47"/>
      <c r="G90" s="50"/>
      <c r="H90" s="48"/>
      <c r="I90" s="48"/>
      <c r="J90" s="47"/>
      <c r="K90" s="48"/>
      <c r="L90" s="66"/>
      <c r="M90" s="56"/>
      <c r="N90" s="56"/>
      <c r="O90" s="46"/>
      <c r="P90" s="46"/>
      <c r="Q90" s="46"/>
      <c r="R90" s="46"/>
      <c r="S90" s="46"/>
      <c r="T90" s="46"/>
      <c r="U90" s="46"/>
      <c r="V90" s="46"/>
      <c r="W90" s="46"/>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c r="BF90" s="46"/>
      <c r="BG90" s="46"/>
      <c r="BH90" s="46"/>
      <c r="BI90" s="46"/>
      <c r="BJ90" s="46"/>
      <c r="BK90" s="46"/>
      <c r="BL90" s="46"/>
      <c r="BM90" s="46"/>
      <c r="BN90" s="46"/>
      <c r="BO90" s="46"/>
      <c r="BP90" s="46"/>
      <c r="BQ90" s="46"/>
      <c r="BR90" s="46"/>
      <c r="BS90" s="46"/>
      <c r="BT90" s="46"/>
      <c r="BU90" s="46"/>
      <c r="BV90" s="46"/>
      <c r="BW90" s="46"/>
      <c r="BX90" s="46"/>
      <c r="BY90" s="46"/>
      <c r="BZ90" s="46"/>
      <c r="CA90" s="46"/>
      <c r="CB90" s="46"/>
      <c r="CC90" s="46"/>
      <c r="CD90" s="46"/>
      <c r="CE90" s="46"/>
      <c r="CF90" s="46"/>
      <c r="CG90" s="46"/>
      <c r="CH90" s="46"/>
      <c r="CI90" s="46"/>
      <c r="CJ90" s="46"/>
      <c r="CK90" s="46"/>
      <c r="CL90" s="46"/>
      <c r="CM90" s="46"/>
      <c r="CN90" s="46"/>
      <c r="CO90" s="46"/>
      <c r="CP90" s="46"/>
      <c r="CQ90" s="46"/>
      <c r="CR90" s="46"/>
      <c r="CS90" s="46"/>
      <c r="CT90" s="46"/>
      <c r="CU90" s="46"/>
      <c r="CV90" s="46"/>
      <c r="CW90" s="46"/>
      <c r="CX90" s="46"/>
      <c r="CY90" s="46"/>
      <c r="CZ90" s="46"/>
      <c r="DA90" s="46"/>
      <c r="DB90" s="46"/>
      <c r="DC90" s="46"/>
      <c r="DD90" s="46"/>
      <c r="DE90" s="46"/>
      <c r="DF90" s="46"/>
      <c r="DG90" s="46"/>
      <c r="DH90" s="46"/>
      <c r="DI90" s="46"/>
      <c r="DJ90" s="46"/>
      <c r="DK90" s="46"/>
      <c r="DL90" s="46"/>
      <c r="DM90" s="46"/>
      <c r="DN90" s="46"/>
      <c r="DO90" s="46"/>
      <c r="DP90" s="46"/>
      <c r="DQ90" s="46"/>
      <c r="DR90" s="46"/>
      <c r="DS90" s="46"/>
      <c r="DT90" s="46"/>
      <c r="DU90" s="46"/>
      <c r="DV90" s="46"/>
      <c r="DW90" s="46"/>
      <c r="DX90" s="46"/>
      <c r="DY90" s="46"/>
      <c r="DZ90" s="46"/>
      <c r="EA90" s="46"/>
      <c r="EB90" s="46"/>
      <c r="EC90" s="46"/>
      <c r="ED90" s="46"/>
      <c r="EE90" s="46"/>
      <c r="EF90" s="46"/>
      <c r="EG90" s="46"/>
      <c r="EH90" s="46"/>
      <c r="EI90" s="46"/>
      <c r="EJ90" s="46"/>
      <c r="EK90" s="46"/>
      <c r="EL90" s="46"/>
      <c r="EM90" s="46"/>
    </row>
    <row r="91" spans="1:143" ht="18" customHeight="1">
      <c r="A91" s="47"/>
      <c r="B91" s="51" t="str">
        <f t="shared" si="3"/>
        <v/>
      </c>
      <c r="C91" s="47"/>
      <c r="D91" s="47"/>
      <c r="E91" s="66"/>
      <c r="F91" s="47"/>
      <c r="G91" s="50"/>
      <c r="H91" s="48"/>
      <c r="I91" s="48"/>
      <c r="J91" s="47"/>
      <c r="K91" s="48"/>
      <c r="L91" s="66"/>
      <c r="M91" s="56"/>
      <c r="N91" s="56"/>
      <c r="O91" s="46"/>
      <c r="P91" s="46"/>
      <c r="Q91" s="46"/>
      <c r="R91" s="46"/>
      <c r="S91" s="46"/>
      <c r="T91" s="46"/>
      <c r="U91" s="46"/>
      <c r="V91" s="46"/>
      <c r="W91" s="46"/>
      <c r="X91" s="46"/>
      <c r="Y91" s="46"/>
      <c r="Z91" s="46"/>
      <c r="AA91" s="46"/>
      <c r="AB91" s="46"/>
      <c r="AC91" s="46"/>
      <c r="AD91" s="46"/>
      <c r="AE91" s="46"/>
      <c r="AF91" s="46"/>
      <c r="AG91" s="46"/>
      <c r="AH91" s="46"/>
      <c r="AI91" s="46"/>
      <c r="AJ91" s="46"/>
      <c r="AK91" s="46"/>
      <c r="AL91" s="46"/>
      <c r="AM91" s="46"/>
      <c r="AN91" s="46"/>
      <c r="AO91" s="46"/>
      <c r="AP91" s="46"/>
      <c r="AQ91" s="46"/>
      <c r="AR91" s="46"/>
      <c r="AS91" s="46"/>
      <c r="AT91" s="46"/>
      <c r="AU91" s="46"/>
      <c r="AV91" s="46"/>
      <c r="AW91" s="46"/>
      <c r="AX91" s="46"/>
      <c r="AY91" s="46"/>
      <c r="AZ91" s="46"/>
      <c r="BA91" s="46"/>
      <c r="BB91" s="46"/>
      <c r="BC91" s="46"/>
      <c r="BD91" s="46"/>
      <c r="BE91" s="46"/>
      <c r="BF91" s="46"/>
      <c r="BG91" s="46"/>
      <c r="BH91" s="46"/>
      <c r="BI91" s="46"/>
      <c r="BJ91" s="46"/>
      <c r="BK91" s="46"/>
      <c r="BL91" s="46"/>
      <c r="BM91" s="46"/>
      <c r="BN91" s="46"/>
      <c r="BO91" s="46"/>
      <c r="BP91" s="46"/>
      <c r="BQ91" s="46"/>
      <c r="BR91" s="46"/>
      <c r="BS91" s="46"/>
      <c r="BT91" s="46"/>
      <c r="BU91" s="46"/>
      <c r="BV91" s="46"/>
      <c r="BW91" s="46"/>
      <c r="BX91" s="46"/>
      <c r="BY91" s="46"/>
      <c r="BZ91" s="46"/>
      <c r="CA91" s="46"/>
      <c r="CB91" s="46"/>
      <c r="CC91" s="46"/>
      <c r="CD91" s="46"/>
      <c r="CE91" s="46"/>
      <c r="CF91" s="46"/>
      <c r="CG91" s="46"/>
      <c r="CH91" s="46"/>
      <c r="CI91" s="46"/>
      <c r="CJ91" s="46"/>
      <c r="CK91" s="46"/>
      <c r="CL91" s="46"/>
      <c r="CM91" s="46"/>
      <c r="CN91" s="46"/>
      <c r="CO91" s="46"/>
      <c r="CP91" s="46"/>
      <c r="CQ91" s="46"/>
      <c r="CR91" s="46"/>
      <c r="CS91" s="46"/>
      <c r="CT91" s="46"/>
      <c r="CU91" s="46"/>
      <c r="CV91" s="46"/>
      <c r="CW91" s="46"/>
      <c r="CX91" s="46"/>
      <c r="CY91" s="46"/>
      <c r="CZ91" s="46"/>
      <c r="DA91" s="46"/>
      <c r="DB91" s="46"/>
      <c r="DC91" s="46"/>
      <c r="DD91" s="46"/>
      <c r="DE91" s="46"/>
      <c r="DF91" s="46"/>
      <c r="DG91" s="46"/>
      <c r="DH91" s="46"/>
      <c r="DI91" s="46"/>
      <c r="DJ91" s="46"/>
      <c r="DK91" s="46"/>
      <c r="DL91" s="46"/>
      <c r="DM91" s="46"/>
      <c r="DN91" s="46"/>
      <c r="DO91" s="46"/>
      <c r="DP91" s="46"/>
      <c r="DQ91" s="46"/>
      <c r="DR91" s="46"/>
      <c r="DS91" s="46"/>
      <c r="DT91" s="46"/>
      <c r="DU91" s="46"/>
      <c r="DV91" s="46"/>
      <c r="DW91" s="46"/>
      <c r="DX91" s="46"/>
      <c r="DY91" s="46"/>
      <c r="DZ91" s="46"/>
      <c r="EA91" s="46"/>
      <c r="EB91" s="46"/>
      <c r="EC91" s="46"/>
      <c r="ED91" s="46"/>
      <c r="EE91" s="46"/>
      <c r="EF91" s="46"/>
      <c r="EG91" s="46"/>
      <c r="EH91" s="46"/>
      <c r="EI91" s="46"/>
      <c r="EJ91" s="46"/>
      <c r="EK91" s="46"/>
      <c r="EL91" s="46"/>
      <c r="EM91" s="46"/>
    </row>
    <row r="92" spans="1:143" ht="18" customHeight="1">
      <c r="A92" s="47"/>
      <c r="B92" s="51" t="str">
        <f t="shared" si="3"/>
        <v/>
      </c>
      <c r="C92" s="47"/>
      <c r="D92" s="47"/>
      <c r="E92" s="66"/>
      <c r="F92" s="47"/>
      <c r="G92" s="50"/>
      <c r="H92" s="48"/>
      <c r="I92" s="48"/>
      <c r="J92" s="47"/>
      <c r="K92" s="48"/>
      <c r="L92" s="66"/>
      <c r="M92" s="56"/>
      <c r="N92" s="5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c r="AW92" s="46"/>
      <c r="AX92" s="46"/>
      <c r="AY92" s="46"/>
      <c r="AZ92" s="46"/>
      <c r="BA92" s="46"/>
      <c r="BB92" s="46"/>
      <c r="BC92" s="46"/>
      <c r="BD92" s="46"/>
      <c r="BE92" s="46"/>
      <c r="BF92" s="46"/>
      <c r="BG92" s="46"/>
      <c r="BH92" s="46"/>
      <c r="BI92" s="46"/>
      <c r="BJ92" s="46"/>
      <c r="BK92" s="46"/>
      <c r="BL92" s="46"/>
      <c r="BM92" s="46"/>
      <c r="BN92" s="46"/>
      <c r="BO92" s="46"/>
      <c r="BP92" s="46"/>
      <c r="BQ92" s="46"/>
      <c r="BR92" s="46"/>
      <c r="BS92" s="46"/>
      <c r="BT92" s="46"/>
      <c r="BU92" s="46"/>
      <c r="BV92" s="46"/>
      <c r="BW92" s="46"/>
      <c r="BX92" s="46"/>
      <c r="BY92" s="46"/>
      <c r="BZ92" s="46"/>
      <c r="CA92" s="46"/>
      <c r="CB92" s="46"/>
      <c r="CC92" s="46"/>
      <c r="CD92" s="46"/>
      <c r="CE92" s="46"/>
      <c r="CF92" s="46"/>
      <c r="CG92" s="46"/>
      <c r="CH92" s="46"/>
      <c r="CI92" s="46"/>
      <c r="CJ92" s="46"/>
      <c r="CK92" s="46"/>
      <c r="CL92" s="46"/>
      <c r="CM92" s="46"/>
      <c r="CN92" s="46"/>
      <c r="CO92" s="46"/>
      <c r="CP92" s="46"/>
      <c r="CQ92" s="46"/>
      <c r="CR92" s="46"/>
      <c r="CS92" s="46"/>
      <c r="CT92" s="46"/>
      <c r="CU92" s="46"/>
      <c r="CV92" s="46"/>
      <c r="CW92" s="46"/>
      <c r="CX92" s="46"/>
      <c r="CY92" s="46"/>
      <c r="CZ92" s="46"/>
      <c r="DA92" s="46"/>
      <c r="DB92" s="46"/>
      <c r="DC92" s="46"/>
      <c r="DD92" s="46"/>
      <c r="DE92" s="46"/>
      <c r="DF92" s="46"/>
      <c r="DG92" s="46"/>
      <c r="DH92" s="46"/>
      <c r="DI92" s="46"/>
      <c r="DJ92" s="46"/>
      <c r="DK92" s="46"/>
      <c r="DL92" s="46"/>
      <c r="DM92" s="46"/>
      <c r="DN92" s="46"/>
      <c r="DO92" s="46"/>
      <c r="DP92" s="46"/>
      <c r="DQ92" s="46"/>
      <c r="DR92" s="46"/>
      <c r="DS92" s="46"/>
      <c r="DT92" s="46"/>
      <c r="DU92" s="46"/>
      <c r="DV92" s="46"/>
      <c r="DW92" s="46"/>
      <c r="DX92" s="46"/>
      <c r="DY92" s="46"/>
      <c r="DZ92" s="46"/>
      <c r="EA92" s="46"/>
      <c r="EB92" s="46"/>
      <c r="EC92" s="46"/>
      <c r="ED92" s="46"/>
      <c r="EE92" s="46"/>
      <c r="EF92" s="46"/>
      <c r="EG92" s="46"/>
      <c r="EH92" s="46"/>
      <c r="EI92" s="46"/>
      <c r="EJ92" s="46"/>
      <c r="EK92" s="46"/>
      <c r="EL92" s="46"/>
      <c r="EM92" s="46"/>
    </row>
    <row r="93" spans="1:143" ht="18" customHeight="1">
      <c r="A93" s="47"/>
      <c r="B93" s="51" t="str">
        <f t="shared" si="3"/>
        <v/>
      </c>
      <c r="C93" s="47"/>
      <c r="D93" s="47"/>
      <c r="E93" s="66"/>
      <c r="F93" s="47"/>
      <c r="G93" s="50"/>
      <c r="H93" s="48"/>
      <c r="I93" s="48"/>
      <c r="J93" s="47"/>
      <c r="K93" s="48"/>
      <c r="L93" s="66"/>
      <c r="M93" s="56"/>
      <c r="N93" s="5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c r="AW93" s="46"/>
      <c r="AX93" s="46"/>
      <c r="AY93" s="46"/>
      <c r="AZ93" s="46"/>
      <c r="BA93" s="46"/>
      <c r="BB93" s="46"/>
      <c r="BC93" s="46"/>
      <c r="BD93" s="46"/>
      <c r="BE93" s="46"/>
      <c r="BF93" s="46"/>
      <c r="BG93" s="46"/>
      <c r="BH93" s="46"/>
      <c r="BI93" s="46"/>
      <c r="BJ93" s="46"/>
      <c r="BK93" s="46"/>
      <c r="BL93" s="46"/>
      <c r="BM93" s="46"/>
      <c r="BN93" s="46"/>
      <c r="BO93" s="46"/>
      <c r="BP93" s="46"/>
      <c r="BQ93" s="46"/>
      <c r="BR93" s="46"/>
      <c r="BS93" s="46"/>
      <c r="BT93" s="46"/>
      <c r="BU93" s="46"/>
      <c r="BV93" s="46"/>
      <c r="BW93" s="46"/>
      <c r="BX93" s="46"/>
      <c r="BY93" s="46"/>
      <c r="BZ93" s="46"/>
      <c r="CA93" s="46"/>
      <c r="CB93" s="46"/>
      <c r="CC93" s="46"/>
      <c r="CD93" s="46"/>
      <c r="CE93" s="46"/>
      <c r="CF93" s="46"/>
      <c r="CG93" s="46"/>
      <c r="CH93" s="46"/>
      <c r="CI93" s="46"/>
      <c r="CJ93" s="46"/>
      <c r="CK93" s="46"/>
      <c r="CL93" s="46"/>
      <c r="CM93" s="46"/>
      <c r="CN93" s="46"/>
      <c r="CO93" s="46"/>
      <c r="CP93" s="46"/>
      <c r="CQ93" s="46"/>
      <c r="CR93" s="46"/>
      <c r="CS93" s="46"/>
      <c r="CT93" s="46"/>
      <c r="CU93" s="46"/>
      <c r="CV93" s="46"/>
      <c r="CW93" s="46"/>
      <c r="CX93" s="46"/>
      <c r="CY93" s="46"/>
      <c r="CZ93" s="46"/>
      <c r="DA93" s="46"/>
      <c r="DB93" s="46"/>
      <c r="DC93" s="46"/>
      <c r="DD93" s="46"/>
      <c r="DE93" s="46"/>
      <c r="DF93" s="46"/>
      <c r="DG93" s="46"/>
      <c r="DH93" s="46"/>
      <c r="DI93" s="46"/>
      <c r="DJ93" s="46"/>
      <c r="DK93" s="46"/>
      <c r="DL93" s="46"/>
      <c r="DM93" s="46"/>
      <c r="DN93" s="46"/>
      <c r="DO93" s="46"/>
      <c r="DP93" s="46"/>
      <c r="DQ93" s="46"/>
      <c r="DR93" s="46"/>
      <c r="DS93" s="46"/>
      <c r="DT93" s="46"/>
      <c r="DU93" s="46"/>
      <c r="DV93" s="46"/>
      <c r="DW93" s="46"/>
      <c r="DX93" s="46"/>
      <c r="DY93" s="46"/>
      <c r="DZ93" s="46"/>
      <c r="EA93" s="46"/>
      <c r="EB93" s="46"/>
      <c r="EC93" s="46"/>
      <c r="ED93" s="46"/>
      <c r="EE93" s="46"/>
      <c r="EF93" s="46"/>
      <c r="EG93" s="46"/>
      <c r="EH93" s="46"/>
      <c r="EI93" s="46"/>
      <c r="EJ93" s="46"/>
      <c r="EK93" s="46"/>
      <c r="EL93" s="46"/>
      <c r="EM93" s="46"/>
    </row>
    <row r="94" spans="1:143" ht="18" customHeight="1">
      <c r="A94" s="47"/>
      <c r="B94" s="51" t="str">
        <f t="shared" si="3"/>
        <v/>
      </c>
      <c r="C94" s="47"/>
      <c r="D94" s="47"/>
      <c r="E94" s="66"/>
      <c r="F94" s="47"/>
      <c r="G94" s="50"/>
      <c r="H94" s="48"/>
      <c r="I94" s="48"/>
      <c r="J94" s="47"/>
      <c r="K94" s="48"/>
      <c r="L94" s="66"/>
      <c r="M94" s="56"/>
      <c r="N94" s="5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c r="AW94" s="46"/>
      <c r="AX94" s="46"/>
      <c r="AY94" s="46"/>
      <c r="AZ94" s="46"/>
      <c r="BA94" s="46"/>
      <c r="BB94" s="46"/>
      <c r="BC94" s="46"/>
      <c r="BD94" s="46"/>
      <c r="BE94" s="46"/>
      <c r="BF94" s="46"/>
      <c r="BG94" s="46"/>
      <c r="BH94" s="46"/>
      <c r="BI94" s="46"/>
      <c r="BJ94" s="46"/>
      <c r="BK94" s="46"/>
      <c r="BL94" s="46"/>
      <c r="BM94" s="46"/>
      <c r="BN94" s="46"/>
      <c r="BO94" s="46"/>
      <c r="BP94" s="46"/>
      <c r="BQ94" s="46"/>
      <c r="BR94" s="46"/>
      <c r="BS94" s="46"/>
      <c r="BT94" s="46"/>
      <c r="BU94" s="46"/>
      <c r="BV94" s="46"/>
      <c r="BW94" s="46"/>
      <c r="BX94" s="46"/>
      <c r="BY94" s="46"/>
      <c r="BZ94" s="46"/>
      <c r="CA94" s="46"/>
      <c r="CB94" s="46"/>
      <c r="CC94" s="46"/>
      <c r="CD94" s="46"/>
      <c r="CE94" s="46"/>
      <c r="CF94" s="46"/>
      <c r="CG94" s="46"/>
      <c r="CH94" s="46"/>
      <c r="CI94" s="46"/>
      <c r="CJ94" s="46"/>
      <c r="CK94" s="46"/>
      <c r="CL94" s="46"/>
      <c r="CM94" s="46"/>
      <c r="CN94" s="46"/>
      <c r="CO94" s="46"/>
      <c r="CP94" s="46"/>
      <c r="CQ94" s="46"/>
      <c r="CR94" s="46"/>
      <c r="CS94" s="46"/>
      <c r="CT94" s="46"/>
      <c r="CU94" s="46"/>
      <c r="CV94" s="46"/>
      <c r="CW94" s="46"/>
      <c r="CX94" s="46"/>
      <c r="CY94" s="46"/>
      <c r="CZ94" s="46"/>
      <c r="DA94" s="46"/>
      <c r="DB94" s="46"/>
      <c r="DC94" s="46"/>
      <c r="DD94" s="46"/>
      <c r="DE94" s="46"/>
      <c r="DF94" s="46"/>
      <c r="DG94" s="46"/>
      <c r="DH94" s="46"/>
      <c r="DI94" s="46"/>
      <c r="DJ94" s="46"/>
      <c r="DK94" s="46"/>
      <c r="DL94" s="46"/>
      <c r="DM94" s="46"/>
      <c r="DN94" s="46"/>
      <c r="DO94" s="46"/>
      <c r="DP94" s="46"/>
      <c r="DQ94" s="46"/>
      <c r="DR94" s="46"/>
      <c r="DS94" s="46"/>
      <c r="DT94" s="46"/>
      <c r="DU94" s="46"/>
      <c r="DV94" s="46"/>
      <c r="DW94" s="46"/>
      <c r="DX94" s="46"/>
      <c r="DY94" s="46"/>
      <c r="DZ94" s="46"/>
      <c r="EA94" s="46"/>
      <c r="EB94" s="46"/>
      <c r="EC94" s="46"/>
      <c r="ED94" s="46"/>
      <c r="EE94" s="46"/>
      <c r="EF94" s="46"/>
      <c r="EG94" s="46"/>
      <c r="EH94" s="46"/>
      <c r="EI94" s="46"/>
      <c r="EJ94" s="46"/>
      <c r="EK94" s="46"/>
      <c r="EL94" s="46"/>
      <c r="EM94" s="46"/>
    </row>
    <row r="95" spans="1:143" ht="18" customHeight="1">
      <c r="A95" s="47"/>
      <c r="B95" s="51" t="str">
        <f t="shared" si="3"/>
        <v/>
      </c>
      <c r="C95" s="47"/>
      <c r="D95" s="47"/>
      <c r="E95" s="66"/>
      <c r="F95" s="47"/>
      <c r="G95" s="50"/>
      <c r="H95" s="48"/>
      <c r="I95" s="48"/>
      <c r="J95" s="47"/>
      <c r="K95" s="48"/>
      <c r="L95" s="66"/>
      <c r="M95" s="56"/>
      <c r="N95" s="5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c r="BF95" s="46"/>
      <c r="BG95" s="46"/>
      <c r="BH95" s="46"/>
      <c r="BI95" s="46"/>
      <c r="BJ95" s="46"/>
      <c r="BK95" s="46"/>
      <c r="BL95" s="46"/>
      <c r="BM95" s="46"/>
      <c r="BN95" s="46"/>
      <c r="BO95" s="46"/>
      <c r="BP95" s="46"/>
      <c r="BQ95" s="46"/>
      <c r="BR95" s="46"/>
      <c r="BS95" s="46"/>
      <c r="BT95" s="46"/>
      <c r="BU95" s="46"/>
      <c r="BV95" s="46"/>
      <c r="BW95" s="46"/>
      <c r="BX95" s="46"/>
      <c r="BY95" s="46"/>
      <c r="BZ95" s="46"/>
      <c r="CA95" s="46"/>
      <c r="CB95" s="46"/>
      <c r="CC95" s="46"/>
      <c r="CD95" s="46"/>
      <c r="CE95" s="46"/>
      <c r="CF95" s="46"/>
      <c r="CG95" s="46"/>
      <c r="CH95" s="46"/>
      <c r="CI95" s="46"/>
      <c r="CJ95" s="46"/>
      <c r="CK95" s="46"/>
      <c r="CL95" s="46"/>
      <c r="CM95" s="46"/>
      <c r="CN95" s="46"/>
      <c r="CO95" s="46"/>
      <c r="CP95" s="46"/>
      <c r="CQ95" s="46"/>
      <c r="CR95" s="46"/>
      <c r="CS95" s="46"/>
      <c r="CT95" s="46"/>
      <c r="CU95" s="46"/>
      <c r="CV95" s="46"/>
      <c r="CW95" s="46"/>
      <c r="CX95" s="46"/>
      <c r="CY95" s="46"/>
      <c r="CZ95" s="46"/>
      <c r="DA95" s="46"/>
      <c r="DB95" s="46"/>
      <c r="DC95" s="46"/>
      <c r="DD95" s="46"/>
      <c r="DE95" s="46"/>
      <c r="DF95" s="46"/>
      <c r="DG95" s="46"/>
      <c r="DH95" s="46"/>
      <c r="DI95" s="46"/>
      <c r="DJ95" s="46"/>
      <c r="DK95" s="46"/>
      <c r="DL95" s="46"/>
      <c r="DM95" s="46"/>
      <c r="DN95" s="46"/>
      <c r="DO95" s="46"/>
      <c r="DP95" s="46"/>
      <c r="DQ95" s="46"/>
      <c r="DR95" s="46"/>
      <c r="DS95" s="46"/>
      <c r="DT95" s="46"/>
      <c r="DU95" s="46"/>
      <c r="DV95" s="46"/>
      <c r="DW95" s="46"/>
      <c r="DX95" s="46"/>
      <c r="DY95" s="46"/>
      <c r="DZ95" s="46"/>
      <c r="EA95" s="46"/>
      <c r="EB95" s="46"/>
      <c r="EC95" s="46"/>
      <c r="ED95" s="46"/>
      <c r="EE95" s="46"/>
      <c r="EF95" s="46"/>
      <c r="EG95" s="46"/>
      <c r="EH95" s="46"/>
      <c r="EI95" s="46"/>
      <c r="EJ95" s="46"/>
      <c r="EK95" s="46"/>
      <c r="EL95" s="46"/>
      <c r="EM95" s="46"/>
    </row>
    <row r="96" spans="1:143" ht="18" customHeight="1">
      <c r="A96" s="47"/>
      <c r="B96" s="51" t="str">
        <f t="shared" si="3"/>
        <v/>
      </c>
      <c r="C96" s="47"/>
      <c r="D96" s="47"/>
      <c r="E96" s="66"/>
      <c r="F96" s="47"/>
      <c r="G96" s="50"/>
      <c r="H96" s="48"/>
      <c r="I96" s="48"/>
      <c r="J96" s="47"/>
      <c r="K96" s="48"/>
      <c r="L96" s="66"/>
      <c r="M96" s="56"/>
      <c r="N96" s="5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c r="AW96" s="46"/>
      <c r="AX96" s="46"/>
      <c r="AY96" s="46"/>
      <c r="AZ96" s="46"/>
      <c r="BA96" s="46"/>
      <c r="BB96" s="46"/>
      <c r="BC96" s="46"/>
      <c r="BD96" s="46"/>
      <c r="BE96" s="46"/>
      <c r="BF96" s="46"/>
      <c r="BG96" s="46"/>
      <c r="BH96" s="46"/>
      <c r="BI96" s="46"/>
      <c r="BJ96" s="46"/>
      <c r="BK96" s="46"/>
      <c r="BL96" s="46"/>
      <c r="BM96" s="46"/>
      <c r="BN96" s="46"/>
      <c r="BO96" s="46"/>
      <c r="BP96" s="46"/>
      <c r="BQ96" s="46"/>
      <c r="BR96" s="46"/>
      <c r="BS96" s="46"/>
      <c r="BT96" s="46"/>
      <c r="BU96" s="46"/>
      <c r="BV96" s="46"/>
      <c r="BW96" s="46"/>
      <c r="BX96" s="46"/>
      <c r="BY96" s="46"/>
      <c r="BZ96" s="46"/>
      <c r="CA96" s="46"/>
      <c r="CB96" s="46"/>
      <c r="CC96" s="46"/>
      <c r="CD96" s="46"/>
      <c r="CE96" s="46"/>
      <c r="CF96" s="46"/>
      <c r="CG96" s="46"/>
      <c r="CH96" s="46"/>
      <c r="CI96" s="46"/>
      <c r="CJ96" s="46"/>
      <c r="CK96" s="46"/>
      <c r="CL96" s="46"/>
      <c r="CM96" s="46"/>
      <c r="CN96" s="46"/>
      <c r="CO96" s="46"/>
      <c r="CP96" s="46"/>
      <c r="CQ96" s="46"/>
      <c r="CR96" s="46"/>
      <c r="CS96" s="46"/>
      <c r="CT96" s="46"/>
      <c r="CU96" s="46"/>
      <c r="CV96" s="46"/>
      <c r="CW96" s="46"/>
      <c r="CX96" s="46"/>
      <c r="CY96" s="46"/>
      <c r="CZ96" s="46"/>
      <c r="DA96" s="46"/>
      <c r="DB96" s="46"/>
      <c r="DC96" s="46"/>
      <c r="DD96" s="46"/>
      <c r="DE96" s="46"/>
      <c r="DF96" s="46"/>
      <c r="DG96" s="46"/>
      <c r="DH96" s="46"/>
      <c r="DI96" s="46"/>
      <c r="DJ96" s="46"/>
      <c r="DK96" s="46"/>
      <c r="DL96" s="46"/>
      <c r="DM96" s="46"/>
      <c r="DN96" s="46"/>
      <c r="DO96" s="46"/>
      <c r="DP96" s="46"/>
      <c r="DQ96" s="46"/>
      <c r="DR96" s="46"/>
      <c r="DS96" s="46"/>
      <c r="DT96" s="46"/>
      <c r="DU96" s="46"/>
      <c r="DV96" s="46"/>
      <c r="DW96" s="46"/>
      <c r="DX96" s="46"/>
      <c r="DY96" s="46"/>
      <c r="DZ96" s="46"/>
      <c r="EA96" s="46"/>
      <c r="EB96" s="46"/>
      <c r="EC96" s="46"/>
      <c r="ED96" s="46"/>
      <c r="EE96" s="46"/>
      <c r="EF96" s="46"/>
      <c r="EG96" s="46"/>
      <c r="EH96" s="46"/>
      <c r="EI96" s="46"/>
      <c r="EJ96" s="46"/>
      <c r="EK96" s="46"/>
      <c r="EL96" s="46"/>
      <c r="EM96" s="46"/>
    </row>
    <row r="97" spans="1:143" ht="18" customHeight="1">
      <c r="A97" s="47"/>
      <c r="B97" s="51" t="str">
        <f t="shared" si="3"/>
        <v/>
      </c>
      <c r="C97" s="47"/>
      <c r="D97" s="47"/>
      <c r="E97" s="66"/>
      <c r="F97" s="47"/>
      <c r="G97" s="50"/>
      <c r="H97" s="48"/>
      <c r="I97" s="48"/>
      <c r="J97" s="47"/>
      <c r="K97" s="48"/>
      <c r="L97" s="66"/>
      <c r="M97" s="56"/>
      <c r="N97" s="5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c r="AW97" s="46"/>
      <c r="AX97" s="46"/>
      <c r="AY97" s="46"/>
      <c r="AZ97" s="46"/>
      <c r="BA97" s="46"/>
      <c r="BB97" s="46"/>
      <c r="BC97" s="46"/>
      <c r="BD97" s="46"/>
      <c r="BE97" s="46"/>
      <c r="BF97" s="46"/>
      <c r="BG97" s="46"/>
      <c r="BH97" s="46"/>
      <c r="BI97" s="46"/>
      <c r="BJ97" s="46"/>
      <c r="BK97" s="46"/>
      <c r="BL97" s="46"/>
      <c r="BM97" s="46"/>
      <c r="BN97" s="46"/>
      <c r="BO97" s="46"/>
      <c r="BP97" s="46"/>
      <c r="BQ97" s="46"/>
      <c r="BR97" s="46"/>
      <c r="BS97" s="46"/>
      <c r="BT97" s="46"/>
      <c r="BU97" s="46"/>
      <c r="BV97" s="46"/>
      <c r="BW97" s="46"/>
      <c r="BX97" s="46"/>
      <c r="BY97" s="46"/>
      <c r="BZ97" s="46"/>
      <c r="CA97" s="46"/>
      <c r="CB97" s="46"/>
      <c r="CC97" s="46"/>
      <c r="CD97" s="46"/>
      <c r="CE97" s="46"/>
      <c r="CF97" s="46"/>
      <c r="CG97" s="46"/>
      <c r="CH97" s="46"/>
      <c r="CI97" s="46"/>
      <c r="CJ97" s="46"/>
      <c r="CK97" s="46"/>
      <c r="CL97" s="46"/>
      <c r="CM97" s="46"/>
      <c r="CN97" s="46"/>
      <c r="CO97" s="46"/>
      <c r="CP97" s="46"/>
      <c r="CQ97" s="46"/>
      <c r="CR97" s="46"/>
      <c r="CS97" s="46"/>
      <c r="CT97" s="46"/>
      <c r="CU97" s="46"/>
      <c r="CV97" s="46"/>
      <c r="CW97" s="46"/>
      <c r="CX97" s="46"/>
      <c r="CY97" s="46"/>
      <c r="CZ97" s="46"/>
      <c r="DA97" s="46"/>
      <c r="DB97" s="46"/>
      <c r="DC97" s="46"/>
      <c r="DD97" s="46"/>
      <c r="DE97" s="46"/>
      <c r="DF97" s="46"/>
      <c r="DG97" s="46"/>
      <c r="DH97" s="46"/>
      <c r="DI97" s="46"/>
      <c r="DJ97" s="46"/>
      <c r="DK97" s="46"/>
      <c r="DL97" s="46"/>
      <c r="DM97" s="46"/>
      <c r="DN97" s="46"/>
      <c r="DO97" s="46"/>
      <c r="DP97" s="46"/>
      <c r="DQ97" s="46"/>
      <c r="DR97" s="46"/>
      <c r="DS97" s="46"/>
      <c r="DT97" s="46"/>
      <c r="DU97" s="46"/>
      <c r="DV97" s="46"/>
      <c r="DW97" s="46"/>
      <c r="DX97" s="46"/>
      <c r="DY97" s="46"/>
      <c r="DZ97" s="46"/>
      <c r="EA97" s="46"/>
      <c r="EB97" s="46"/>
      <c r="EC97" s="46"/>
      <c r="ED97" s="46"/>
      <c r="EE97" s="46"/>
      <c r="EF97" s="46"/>
      <c r="EG97" s="46"/>
      <c r="EH97" s="46"/>
      <c r="EI97" s="46"/>
      <c r="EJ97" s="46"/>
      <c r="EK97" s="46"/>
      <c r="EL97" s="46"/>
      <c r="EM97" s="46"/>
    </row>
    <row r="98" spans="1:143" ht="18" customHeight="1">
      <c r="A98" s="47"/>
      <c r="B98" s="51" t="str">
        <f t="shared" si="3"/>
        <v/>
      </c>
      <c r="C98" s="47"/>
      <c r="D98" s="47"/>
      <c r="E98" s="66"/>
      <c r="F98" s="47"/>
      <c r="G98" s="50"/>
      <c r="H98" s="48"/>
      <c r="I98" s="48"/>
      <c r="J98" s="47"/>
      <c r="K98" s="48"/>
      <c r="L98" s="66"/>
      <c r="M98" s="56"/>
      <c r="N98" s="5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c r="AW98" s="46"/>
      <c r="AX98" s="46"/>
      <c r="AY98" s="46"/>
      <c r="AZ98" s="46"/>
      <c r="BA98" s="46"/>
      <c r="BB98" s="46"/>
      <c r="BC98" s="46"/>
      <c r="BD98" s="46"/>
      <c r="BE98" s="46"/>
      <c r="BF98" s="46"/>
      <c r="BG98" s="46"/>
      <c r="BH98" s="46"/>
      <c r="BI98" s="46"/>
      <c r="BJ98" s="46"/>
      <c r="BK98" s="46"/>
      <c r="BL98" s="46"/>
      <c r="BM98" s="46"/>
      <c r="BN98" s="46"/>
      <c r="BO98" s="46"/>
      <c r="BP98" s="46"/>
      <c r="BQ98" s="46"/>
      <c r="BR98" s="46"/>
      <c r="BS98" s="46"/>
      <c r="BT98" s="46"/>
      <c r="BU98" s="46"/>
      <c r="BV98" s="46"/>
      <c r="BW98" s="46"/>
      <c r="BX98" s="46"/>
      <c r="BY98" s="46"/>
      <c r="BZ98" s="46"/>
      <c r="CA98" s="46"/>
      <c r="CB98" s="46"/>
      <c r="CC98" s="46"/>
      <c r="CD98" s="46"/>
      <c r="CE98" s="46"/>
      <c r="CF98" s="46"/>
      <c r="CG98" s="46"/>
      <c r="CH98" s="46"/>
      <c r="CI98" s="46"/>
      <c r="CJ98" s="46"/>
      <c r="CK98" s="46"/>
      <c r="CL98" s="46"/>
      <c r="CM98" s="46"/>
      <c r="CN98" s="46"/>
      <c r="CO98" s="46"/>
      <c r="CP98" s="46"/>
      <c r="CQ98" s="46"/>
      <c r="CR98" s="46"/>
      <c r="CS98" s="46"/>
      <c r="CT98" s="46"/>
      <c r="CU98" s="46"/>
      <c r="CV98" s="46"/>
      <c r="CW98" s="46"/>
      <c r="CX98" s="46"/>
      <c r="CY98" s="46"/>
      <c r="CZ98" s="46"/>
      <c r="DA98" s="46"/>
      <c r="DB98" s="46"/>
      <c r="DC98" s="46"/>
      <c r="DD98" s="46"/>
      <c r="DE98" s="46"/>
      <c r="DF98" s="46"/>
      <c r="DG98" s="46"/>
      <c r="DH98" s="46"/>
      <c r="DI98" s="46"/>
      <c r="DJ98" s="46"/>
      <c r="DK98" s="46"/>
      <c r="DL98" s="46"/>
      <c r="DM98" s="46"/>
      <c r="DN98" s="46"/>
      <c r="DO98" s="46"/>
      <c r="DP98" s="46"/>
      <c r="DQ98" s="46"/>
      <c r="DR98" s="46"/>
      <c r="DS98" s="46"/>
      <c r="DT98" s="46"/>
      <c r="DU98" s="46"/>
      <c r="DV98" s="46"/>
      <c r="DW98" s="46"/>
      <c r="DX98" s="46"/>
      <c r="DY98" s="46"/>
      <c r="DZ98" s="46"/>
      <c r="EA98" s="46"/>
      <c r="EB98" s="46"/>
      <c r="EC98" s="46"/>
      <c r="ED98" s="46"/>
      <c r="EE98" s="46"/>
      <c r="EF98" s="46"/>
      <c r="EG98" s="46"/>
      <c r="EH98" s="46"/>
      <c r="EI98" s="46"/>
      <c r="EJ98" s="46"/>
      <c r="EK98" s="46"/>
      <c r="EL98" s="46"/>
      <c r="EM98" s="46"/>
    </row>
    <row r="99" spans="1:143" ht="18" customHeight="1">
      <c r="A99" s="47"/>
      <c r="B99" s="51" t="str">
        <f t="shared" si="3"/>
        <v/>
      </c>
      <c r="C99" s="47"/>
      <c r="D99" s="47"/>
      <c r="E99" s="66"/>
      <c r="F99" s="47"/>
      <c r="G99" s="50"/>
      <c r="H99" s="48"/>
      <c r="I99" s="48"/>
      <c r="J99" s="47"/>
      <c r="K99" s="48"/>
      <c r="L99" s="66"/>
      <c r="M99" s="56"/>
      <c r="N99" s="5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c r="BF99" s="46"/>
      <c r="BG99" s="46"/>
      <c r="BH99" s="46"/>
      <c r="BI99" s="46"/>
      <c r="BJ99" s="46"/>
      <c r="BK99" s="46"/>
      <c r="BL99" s="46"/>
      <c r="BM99" s="46"/>
      <c r="BN99" s="46"/>
      <c r="BO99" s="46"/>
      <c r="BP99" s="46"/>
      <c r="BQ99" s="46"/>
      <c r="BR99" s="46"/>
      <c r="BS99" s="46"/>
      <c r="BT99" s="46"/>
      <c r="BU99" s="46"/>
      <c r="BV99" s="46"/>
      <c r="BW99" s="46"/>
      <c r="BX99" s="46"/>
      <c r="BY99" s="46"/>
      <c r="BZ99" s="46"/>
      <c r="CA99" s="46"/>
      <c r="CB99" s="46"/>
      <c r="CC99" s="46"/>
      <c r="CD99" s="46"/>
      <c r="CE99" s="46"/>
      <c r="CF99" s="46"/>
      <c r="CG99" s="46"/>
      <c r="CH99" s="46"/>
      <c r="CI99" s="46"/>
      <c r="CJ99" s="46"/>
      <c r="CK99" s="46"/>
      <c r="CL99" s="46"/>
      <c r="CM99" s="46"/>
      <c r="CN99" s="46"/>
      <c r="CO99" s="46"/>
      <c r="CP99" s="46"/>
      <c r="CQ99" s="46"/>
      <c r="CR99" s="46"/>
      <c r="CS99" s="46"/>
      <c r="CT99" s="46"/>
      <c r="CU99" s="46"/>
      <c r="CV99" s="46"/>
      <c r="CW99" s="46"/>
      <c r="CX99" s="46"/>
      <c r="CY99" s="46"/>
      <c r="CZ99" s="46"/>
      <c r="DA99" s="46"/>
      <c r="DB99" s="46"/>
      <c r="DC99" s="46"/>
      <c r="DD99" s="46"/>
      <c r="DE99" s="46"/>
      <c r="DF99" s="46"/>
      <c r="DG99" s="46"/>
      <c r="DH99" s="46"/>
      <c r="DI99" s="46"/>
      <c r="DJ99" s="46"/>
      <c r="DK99" s="46"/>
      <c r="DL99" s="46"/>
      <c r="DM99" s="46"/>
      <c r="DN99" s="46"/>
      <c r="DO99" s="46"/>
      <c r="DP99" s="46"/>
      <c r="DQ99" s="46"/>
      <c r="DR99" s="46"/>
      <c r="DS99" s="46"/>
      <c r="DT99" s="46"/>
      <c r="DU99" s="46"/>
      <c r="DV99" s="46"/>
      <c r="DW99" s="46"/>
      <c r="DX99" s="46"/>
      <c r="DY99" s="46"/>
      <c r="DZ99" s="46"/>
      <c r="EA99" s="46"/>
      <c r="EB99" s="46"/>
      <c r="EC99" s="46"/>
      <c r="ED99" s="46"/>
      <c r="EE99" s="46"/>
      <c r="EF99" s="46"/>
      <c r="EG99" s="46"/>
      <c r="EH99" s="46"/>
      <c r="EI99" s="46"/>
      <c r="EJ99" s="46"/>
      <c r="EK99" s="46"/>
      <c r="EL99" s="46"/>
      <c r="EM99" s="46"/>
    </row>
    <row r="100" spans="1:143" ht="18" customHeight="1">
      <c r="A100" s="47"/>
      <c r="B100" s="51" t="str">
        <f t="shared" si="3"/>
        <v/>
      </c>
      <c r="C100" s="47"/>
      <c r="D100" s="47"/>
      <c r="E100" s="66"/>
      <c r="F100" s="47"/>
      <c r="G100" s="50"/>
      <c r="H100" s="48"/>
      <c r="I100" s="48"/>
      <c r="J100" s="47"/>
      <c r="K100" s="48"/>
      <c r="L100" s="66"/>
      <c r="M100" s="56"/>
      <c r="N100" s="5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c r="BF100" s="46"/>
      <c r="BG100" s="46"/>
      <c r="BH100" s="46"/>
      <c r="BI100" s="46"/>
      <c r="BJ100" s="46"/>
      <c r="BK100" s="46"/>
      <c r="BL100" s="46"/>
      <c r="BM100" s="46"/>
      <c r="BN100" s="46"/>
      <c r="BO100" s="46"/>
      <c r="BP100" s="46"/>
      <c r="BQ100" s="46"/>
      <c r="BR100" s="46"/>
      <c r="BS100" s="46"/>
      <c r="BT100" s="46"/>
      <c r="BU100" s="46"/>
      <c r="BV100" s="46"/>
      <c r="BW100" s="46"/>
      <c r="BX100" s="46"/>
      <c r="BY100" s="46"/>
      <c r="BZ100" s="46"/>
      <c r="CA100" s="46"/>
      <c r="CB100" s="46"/>
      <c r="CC100" s="46"/>
      <c r="CD100" s="46"/>
      <c r="CE100" s="46"/>
      <c r="CF100" s="46"/>
      <c r="CG100" s="46"/>
      <c r="CH100" s="46"/>
      <c r="CI100" s="46"/>
      <c r="CJ100" s="46"/>
      <c r="CK100" s="46"/>
      <c r="CL100" s="46"/>
      <c r="CM100" s="46"/>
      <c r="CN100" s="46"/>
      <c r="CO100" s="46"/>
      <c r="CP100" s="46"/>
      <c r="CQ100" s="46"/>
      <c r="CR100" s="46"/>
      <c r="CS100" s="46"/>
      <c r="CT100" s="46"/>
      <c r="CU100" s="46"/>
      <c r="CV100" s="46"/>
      <c r="CW100" s="46"/>
      <c r="CX100" s="46"/>
      <c r="CY100" s="46"/>
      <c r="CZ100" s="46"/>
      <c r="DA100" s="46"/>
      <c r="DB100" s="46"/>
      <c r="DC100" s="46"/>
      <c r="DD100" s="46"/>
      <c r="DE100" s="46"/>
      <c r="DF100" s="46"/>
      <c r="DG100" s="46"/>
      <c r="DH100" s="46"/>
      <c r="DI100" s="46"/>
      <c r="DJ100" s="46"/>
      <c r="DK100" s="46"/>
      <c r="DL100" s="46"/>
      <c r="DM100" s="46"/>
      <c r="DN100" s="46"/>
      <c r="DO100" s="46"/>
      <c r="DP100" s="46"/>
      <c r="DQ100" s="46"/>
      <c r="DR100" s="46"/>
      <c r="DS100" s="46"/>
      <c r="DT100" s="46"/>
      <c r="DU100" s="46"/>
      <c r="DV100" s="46"/>
      <c r="DW100" s="46"/>
      <c r="DX100" s="46"/>
      <c r="DY100" s="46"/>
      <c r="DZ100" s="46"/>
      <c r="EA100" s="46"/>
      <c r="EB100" s="46"/>
      <c r="EC100" s="46"/>
      <c r="ED100" s="46"/>
      <c r="EE100" s="46"/>
      <c r="EF100" s="46"/>
      <c r="EG100" s="46"/>
      <c r="EH100" s="46"/>
      <c r="EI100" s="46"/>
      <c r="EJ100" s="46"/>
      <c r="EK100" s="46"/>
      <c r="EL100" s="46"/>
      <c r="EM100" s="46"/>
    </row>
    <row r="101" spans="1:143" ht="18" customHeight="1">
      <c r="A101" s="47"/>
      <c r="B101" s="51" t="str">
        <f t="shared" si="3"/>
        <v/>
      </c>
      <c r="C101" s="47"/>
      <c r="D101" s="47"/>
      <c r="E101" s="66"/>
      <c r="F101" s="47"/>
      <c r="G101" s="50"/>
      <c r="H101" s="48"/>
      <c r="I101" s="48"/>
      <c r="J101" s="47"/>
      <c r="K101" s="48"/>
      <c r="L101" s="66"/>
      <c r="M101" s="56"/>
      <c r="N101" s="56"/>
      <c r="O101" s="46"/>
      <c r="P101" s="46"/>
      <c r="Q101" s="46"/>
      <c r="R101" s="46"/>
      <c r="S101" s="46"/>
      <c r="T101" s="46"/>
      <c r="U101" s="46"/>
      <c r="V101" s="46"/>
      <c r="W101" s="46"/>
      <c r="X101" s="46"/>
      <c r="Y101" s="46"/>
      <c r="Z101" s="46"/>
      <c r="AA101" s="46"/>
      <c r="AB101" s="46"/>
      <c r="AC101" s="46"/>
      <c r="AD101" s="46"/>
      <c r="AE101" s="46"/>
      <c r="AF101" s="46"/>
      <c r="AG101" s="46"/>
      <c r="AH101" s="46"/>
      <c r="AI101" s="46"/>
      <c r="AJ101" s="46"/>
      <c r="AK101" s="46"/>
      <c r="AL101" s="46"/>
      <c r="AM101" s="46"/>
      <c r="AN101" s="46"/>
      <c r="AO101" s="46"/>
      <c r="AP101" s="46"/>
      <c r="AQ101" s="46"/>
      <c r="AR101" s="46"/>
      <c r="AS101" s="46"/>
      <c r="AT101" s="46"/>
      <c r="AU101" s="46"/>
      <c r="AV101" s="46"/>
      <c r="AW101" s="46"/>
      <c r="AX101" s="46"/>
      <c r="AY101" s="46"/>
      <c r="AZ101" s="46"/>
      <c r="BA101" s="46"/>
      <c r="BB101" s="46"/>
      <c r="BC101" s="46"/>
      <c r="BD101" s="46"/>
      <c r="BE101" s="46"/>
      <c r="BF101" s="46"/>
      <c r="BG101" s="46"/>
      <c r="BH101" s="46"/>
      <c r="BI101" s="46"/>
      <c r="BJ101" s="46"/>
      <c r="BK101" s="46"/>
      <c r="BL101" s="46"/>
      <c r="BM101" s="46"/>
      <c r="BN101" s="46"/>
      <c r="BO101" s="46"/>
      <c r="BP101" s="46"/>
      <c r="BQ101" s="46"/>
      <c r="BR101" s="46"/>
      <c r="BS101" s="46"/>
      <c r="BT101" s="46"/>
      <c r="BU101" s="46"/>
      <c r="BV101" s="46"/>
      <c r="BW101" s="46"/>
      <c r="BX101" s="46"/>
      <c r="BY101" s="46"/>
      <c r="BZ101" s="46"/>
      <c r="CA101" s="46"/>
      <c r="CB101" s="46"/>
      <c r="CC101" s="46"/>
      <c r="CD101" s="46"/>
      <c r="CE101" s="46"/>
      <c r="CF101" s="46"/>
      <c r="CG101" s="46"/>
      <c r="CH101" s="46"/>
      <c r="CI101" s="46"/>
      <c r="CJ101" s="46"/>
      <c r="CK101" s="46"/>
      <c r="CL101" s="46"/>
      <c r="CM101" s="46"/>
      <c r="CN101" s="46"/>
      <c r="CO101" s="46"/>
      <c r="CP101" s="46"/>
      <c r="CQ101" s="46"/>
      <c r="CR101" s="46"/>
      <c r="CS101" s="46"/>
      <c r="CT101" s="46"/>
      <c r="CU101" s="46"/>
      <c r="CV101" s="46"/>
      <c r="CW101" s="46"/>
      <c r="CX101" s="46"/>
      <c r="CY101" s="46"/>
      <c r="CZ101" s="46"/>
      <c r="DA101" s="46"/>
      <c r="DB101" s="46"/>
      <c r="DC101" s="46"/>
      <c r="DD101" s="46"/>
      <c r="DE101" s="46"/>
      <c r="DF101" s="46"/>
      <c r="DG101" s="46"/>
      <c r="DH101" s="46"/>
      <c r="DI101" s="46"/>
      <c r="DJ101" s="46"/>
      <c r="DK101" s="46"/>
      <c r="DL101" s="46"/>
      <c r="DM101" s="46"/>
      <c r="DN101" s="46"/>
      <c r="DO101" s="46"/>
      <c r="DP101" s="46"/>
      <c r="DQ101" s="46"/>
      <c r="DR101" s="46"/>
      <c r="DS101" s="46"/>
      <c r="DT101" s="46"/>
      <c r="DU101" s="46"/>
      <c r="DV101" s="46"/>
      <c r="DW101" s="46"/>
      <c r="DX101" s="46"/>
      <c r="DY101" s="46"/>
      <c r="DZ101" s="46"/>
      <c r="EA101" s="46"/>
      <c r="EB101" s="46"/>
      <c r="EC101" s="46"/>
      <c r="ED101" s="46"/>
      <c r="EE101" s="46"/>
      <c r="EF101" s="46"/>
      <c r="EG101" s="46"/>
      <c r="EH101" s="46"/>
      <c r="EI101" s="46"/>
      <c r="EJ101" s="46"/>
      <c r="EK101" s="46"/>
      <c r="EL101" s="46"/>
      <c r="EM101" s="46"/>
    </row>
    <row r="102" spans="1:143" ht="18" customHeight="1">
      <c r="A102" s="47"/>
      <c r="B102" s="51" t="str">
        <f t="shared" si="3"/>
        <v/>
      </c>
      <c r="C102" s="47"/>
      <c r="D102" s="47"/>
      <c r="E102" s="66"/>
      <c r="F102" s="47"/>
      <c r="G102" s="50"/>
      <c r="H102" s="48"/>
      <c r="I102" s="48"/>
      <c r="J102" s="47"/>
      <c r="K102" s="48"/>
      <c r="L102" s="66"/>
      <c r="M102" s="56"/>
      <c r="N102" s="56"/>
      <c r="O102" s="46"/>
      <c r="P102" s="46"/>
      <c r="Q102" s="46"/>
      <c r="R102" s="46"/>
      <c r="S102" s="46"/>
      <c r="T102" s="46"/>
      <c r="U102" s="46"/>
      <c r="V102" s="46"/>
      <c r="W102" s="46"/>
      <c r="X102" s="46"/>
      <c r="Y102" s="46"/>
      <c r="Z102" s="46"/>
      <c r="AA102" s="46"/>
      <c r="AB102" s="46"/>
      <c r="AC102" s="46"/>
      <c r="AD102" s="46"/>
      <c r="AE102" s="46"/>
      <c r="AF102" s="46"/>
      <c r="AG102" s="46"/>
      <c r="AH102" s="46"/>
      <c r="AI102" s="46"/>
      <c r="AJ102" s="46"/>
      <c r="AK102" s="46"/>
      <c r="AL102" s="46"/>
      <c r="AM102" s="46"/>
      <c r="AN102" s="46"/>
      <c r="AO102" s="46"/>
      <c r="AP102" s="46"/>
      <c r="AQ102" s="46"/>
      <c r="AR102" s="46"/>
      <c r="AS102" s="46"/>
      <c r="AT102" s="46"/>
      <c r="AU102" s="46"/>
      <c r="AV102" s="46"/>
      <c r="AW102" s="46"/>
      <c r="AX102" s="46"/>
      <c r="AY102" s="46"/>
      <c r="AZ102" s="46"/>
      <c r="BA102" s="46"/>
      <c r="BB102" s="46"/>
      <c r="BC102" s="46"/>
      <c r="BD102" s="46"/>
      <c r="BE102" s="46"/>
      <c r="BF102" s="46"/>
      <c r="BG102" s="46"/>
      <c r="BH102" s="46"/>
      <c r="BI102" s="46"/>
      <c r="BJ102" s="46"/>
      <c r="BK102" s="46"/>
      <c r="BL102" s="46"/>
      <c r="BM102" s="46"/>
      <c r="BN102" s="46"/>
      <c r="BO102" s="46"/>
      <c r="BP102" s="46"/>
      <c r="BQ102" s="46"/>
      <c r="BR102" s="46"/>
      <c r="BS102" s="46"/>
      <c r="BT102" s="46"/>
      <c r="BU102" s="46"/>
      <c r="BV102" s="46"/>
      <c r="BW102" s="46"/>
      <c r="BX102" s="46"/>
      <c r="BY102" s="46"/>
      <c r="BZ102" s="46"/>
      <c r="CA102" s="46"/>
      <c r="CB102" s="46"/>
      <c r="CC102" s="46"/>
      <c r="CD102" s="46"/>
      <c r="CE102" s="46"/>
      <c r="CF102" s="46"/>
      <c r="CG102" s="46"/>
      <c r="CH102" s="46"/>
      <c r="CI102" s="46"/>
      <c r="CJ102" s="46"/>
      <c r="CK102" s="46"/>
      <c r="CL102" s="46"/>
      <c r="CM102" s="46"/>
      <c r="CN102" s="46"/>
      <c r="CO102" s="46"/>
      <c r="CP102" s="46"/>
      <c r="CQ102" s="46"/>
      <c r="CR102" s="46"/>
      <c r="CS102" s="46"/>
      <c r="CT102" s="46"/>
      <c r="CU102" s="46"/>
      <c r="CV102" s="46"/>
      <c r="CW102" s="46"/>
      <c r="CX102" s="46"/>
      <c r="CY102" s="46"/>
      <c r="CZ102" s="46"/>
      <c r="DA102" s="46"/>
      <c r="DB102" s="46"/>
      <c r="DC102" s="46"/>
      <c r="DD102" s="46"/>
      <c r="DE102" s="46"/>
      <c r="DF102" s="46"/>
      <c r="DG102" s="46"/>
      <c r="DH102" s="46"/>
      <c r="DI102" s="46"/>
      <c r="DJ102" s="46"/>
      <c r="DK102" s="46"/>
      <c r="DL102" s="46"/>
      <c r="DM102" s="46"/>
      <c r="DN102" s="46"/>
      <c r="DO102" s="46"/>
      <c r="DP102" s="46"/>
      <c r="DQ102" s="46"/>
      <c r="DR102" s="46"/>
      <c r="DS102" s="46"/>
      <c r="DT102" s="46"/>
      <c r="DU102" s="46"/>
      <c r="DV102" s="46"/>
      <c r="DW102" s="46"/>
      <c r="DX102" s="46"/>
      <c r="DY102" s="46"/>
      <c r="DZ102" s="46"/>
      <c r="EA102" s="46"/>
      <c r="EB102" s="46"/>
      <c r="EC102" s="46"/>
      <c r="ED102" s="46"/>
      <c r="EE102" s="46"/>
      <c r="EF102" s="46"/>
      <c r="EG102" s="46"/>
      <c r="EH102" s="46"/>
      <c r="EI102" s="46"/>
      <c r="EJ102" s="46"/>
      <c r="EK102" s="46"/>
      <c r="EL102" s="46"/>
      <c r="EM102" s="46"/>
    </row>
    <row r="103" spans="1:143" ht="18" customHeight="1">
      <c r="A103" s="47"/>
      <c r="B103" s="51" t="str">
        <f t="shared" si="3"/>
        <v/>
      </c>
      <c r="C103" s="47"/>
      <c r="D103" s="47"/>
      <c r="E103" s="66"/>
      <c r="F103" s="47"/>
      <c r="G103" s="50"/>
      <c r="H103" s="48"/>
      <c r="I103" s="48"/>
      <c r="J103" s="47"/>
      <c r="K103" s="48"/>
      <c r="L103" s="66"/>
      <c r="M103" s="56"/>
      <c r="N103" s="56"/>
      <c r="O103" s="46"/>
      <c r="P103" s="46"/>
      <c r="Q103" s="46"/>
      <c r="R103" s="46"/>
      <c r="S103" s="46"/>
      <c r="T103" s="46"/>
      <c r="U103" s="46"/>
      <c r="V103" s="46"/>
      <c r="W103" s="46"/>
      <c r="X103" s="46"/>
      <c r="Y103" s="46"/>
      <c r="Z103" s="46"/>
      <c r="AA103" s="46"/>
      <c r="AB103" s="46"/>
      <c r="AC103" s="46"/>
      <c r="AD103" s="46"/>
      <c r="AE103" s="46"/>
      <c r="AF103" s="46"/>
      <c r="AG103" s="46"/>
      <c r="AH103" s="46"/>
      <c r="AI103" s="46"/>
      <c r="AJ103" s="46"/>
      <c r="AK103" s="46"/>
      <c r="AL103" s="46"/>
      <c r="AM103" s="46"/>
      <c r="AN103" s="46"/>
      <c r="AO103" s="46"/>
      <c r="AP103" s="46"/>
      <c r="AQ103" s="46"/>
      <c r="AR103" s="46"/>
      <c r="AS103" s="46"/>
      <c r="AT103" s="46"/>
      <c r="AU103" s="46"/>
      <c r="AV103" s="46"/>
      <c r="AW103" s="46"/>
      <c r="AX103" s="46"/>
      <c r="AY103" s="46"/>
      <c r="AZ103" s="46"/>
      <c r="BA103" s="46"/>
      <c r="BB103" s="46"/>
      <c r="BC103" s="46"/>
      <c r="BD103" s="46"/>
      <c r="BE103" s="46"/>
      <c r="BF103" s="46"/>
      <c r="BG103" s="46"/>
      <c r="BH103" s="46"/>
      <c r="BI103" s="46"/>
      <c r="BJ103" s="46"/>
      <c r="BK103" s="46"/>
      <c r="BL103" s="46"/>
      <c r="BM103" s="46"/>
      <c r="BN103" s="46"/>
      <c r="BO103" s="46"/>
      <c r="BP103" s="46"/>
      <c r="BQ103" s="46"/>
      <c r="BR103" s="46"/>
      <c r="BS103" s="46"/>
      <c r="BT103" s="46"/>
      <c r="BU103" s="46"/>
      <c r="BV103" s="46"/>
      <c r="BW103" s="46"/>
      <c r="BX103" s="46"/>
      <c r="BY103" s="46"/>
      <c r="BZ103" s="46"/>
      <c r="CA103" s="46"/>
      <c r="CB103" s="46"/>
      <c r="CC103" s="46"/>
      <c r="CD103" s="46"/>
      <c r="CE103" s="46"/>
      <c r="CF103" s="46"/>
      <c r="CG103" s="46"/>
      <c r="CH103" s="46"/>
      <c r="CI103" s="46"/>
      <c r="CJ103" s="46"/>
      <c r="CK103" s="46"/>
      <c r="CL103" s="46"/>
      <c r="CM103" s="46"/>
      <c r="CN103" s="46"/>
      <c r="CO103" s="46"/>
      <c r="CP103" s="46"/>
      <c r="CQ103" s="46"/>
      <c r="CR103" s="46"/>
      <c r="CS103" s="46"/>
      <c r="CT103" s="46"/>
      <c r="CU103" s="46"/>
      <c r="CV103" s="46"/>
      <c r="CW103" s="46"/>
      <c r="CX103" s="46"/>
      <c r="CY103" s="46"/>
      <c r="CZ103" s="46"/>
      <c r="DA103" s="46"/>
      <c r="DB103" s="46"/>
      <c r="DC103" s="46"/>
      <c r="DD103" s="46"/>
      <c r="DE103" s="46"/>
      <c r="DF103" s="46"/>
      <c r="DG103" s="46"/>
      <c r="DH103" s="46"/>
      <c r="DI103" s="46"/>
      <c r="DJ103" s="46"/>
      <c r="DK103" s="46"/>
      <c r="DL103" s="46"/>
      <c r="DM103" s="46"/>
      <c r="DN103" s="46"/>
      <c r="DO103" s="46"/>
      <c r="DP103" s="46"/>
      <c r="DQ103" s="46"/>
      <c r="DR103" s="46"/>
      <c r="DS103" s="46"/>
      <c r="DT103" s="46"/>
      <c r="DU103" s="46"/>
      <c r="DV103" s="46"/>
      <c r="DW103" s="46"/>
      <c r="DX103" s="46"/>
      <c r="DY103" s="46"/>
      <c r="DZ103" s="46"/>
      <c r="EA103" s="46"/>
      <c r="EB103" s="46"/>
      <c r="EC103" s="46"/>
      <c r="ED103" s="46"/>
      <c r="EE103" s="46"/>
      <c r="EF103" s="46"/>
      <c r="EG103" s="46"/>
      <c r="EH103" s="46"/>
      <c r="EI103" s="46"/>
      <c r="EJ103" s="46"/>
      <c r="EK103" s="46"/>
      <c r="EL103" s="46"/>
      <c r="EM103" s="46"/>
    </row>
    <row r="104" spans="1:143" ht="18" customHeight="1">
      <c r="A104" s="47"/>
      <c r="B104" s="51" t="str">
        <f t="shared" si="3"/>
        <v/>
      </c>
      <c r="C104" s="47"/>
      <c r="D104" s="47"/>
      <c r="E104" s="66"/>
      <c r="F104" s="47"/>
      <c r="G104" s="50"/>
      <c r="H104" s="48"/>
      <c r="I104" s="48"/>
      <c r="J104" s="47"/>
      <c r="K104" s="48"/>
      <c r="L104" s="66"/>
      <c r="M104" s="56"/>
      <c r="N104" s="5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c r="BF104" s="46"/>
      <c r="BG104" s="46"/>
      <c r="BH104" s="46"/>
      <c r="BI104" s="46"/>
      <c r="BJ104" s="46"/>
      <c r="BK104" s="46"/>
      <c r="BL104" s="46"/>
      <c r="BM104" s="46"/>
      <c r="BN104" s="46"/>
      <c r="BO104" s="46"/>
      <c r="BP104" s="46"/>
      <c r="BQ104" s="46"/>
      <c r="BR104" s="46"/>
      <c r="BS104" s="46"/>
      <c r="BT104" s="46"/>
      <c r="BU104" s="46"/>
      <c r="BV104" s="46"/>
      <c r="BW104" s="46"/>
      <c r="BX104" s="46"/>
      <c r="BY104" s="46"/>
      <c r="BZ104" s="46"/>
      <c r="CA104" s="46"/>
      <c r="CB104" s="46"/>
      <c r="CC104" s="46"/>
      <c r="CD104" s="46"/>
      <c r="CE104" s="46"/>
      <c r="CF104" s="46"/>
      <c r="CG104" s="46"/>
      <c r="CH104" s="46"/>
      <c r="CI104" s="46"/>
      <c r="CJ104" s="46"/>
      <c r="CK104" s="46"/>
      <c r="CL104" s="46"/>
      <c r="CM104" s="46"/>
      <c r="CN104" s="46"/>
      <c r="CO104" s="46"/>
      <c r="CP104" s="46"/>
      <c r="CQ104" s="46"/>
      <c r="CR104" s="46"/>
      <c r="CS104" s="46"/>
      <c r="CT104" s="46"/>
      <c r="CU104" s="46"/>
      <c r="CV104" s="46"/>
      <c r="CW104" s="46"/>
      <c r="CX104" s="46"/>
      <c r="CY104" s="46"/>
      <c r="CZ104" s="46"/>
      <c r="DA104" s="46"/>
      <c r="DB104" s="46"/>
      <c r="DC104" s="46"/>
      <c r="DD104" s="46"/>
      <c r="DE104" s="46"/>
      <c r="DF104" s="46"/>
      <c r="DG104" s="46"/>
      <c r="DH104" s="46"/>
      <c r="DI104" s="46"/>
      <c r="DJ104" s="46"/>
      <c r="DK104" s="46"/>
      <c r="DL104" s="46"/>
      <c r="DM104" s="46"/>
      <c r="DN104" s="46"/>
      <c r="DO104" s="46"/>
      <c r="DP104" s="46"/>
      <c r="DQ104" s="46"/>
      <c r="DR104" s="46"/>
      <c r="DS104" s="46"/>
      <c r="DT104" s="46"/>
      <c r="DU104" s="46"/>
      <c r="DV104" s="46"/>
      <c r="DW104" s="46"/>
      <c r="DX104" s="46"/>
      <c r="DY104" s="46"/>
      <c r="DZ104" s="46"/>
      <c r="EA104" s="46"/>
      <c r="EB104" s="46"/>
      <c r="EC104" s="46"/>
      <c r="ED104" s="46"/>
      <c r="EE104" s="46"/>
      <c r="EF104" s="46"/>
      <c r="EG104" s="46"/>
      <c r="EH104" s="46"/>
      <c r="EI104" s="46"/>
      <c r="EJ104" s="46"/>
      <c r="EK104" s="46"/>
      <c r="EL104" s="46"/>
      <c r="EM104" s="46"/>
    </row>
    <row r="105" spans="1:143" ht="18" customHeight="1">
      <c r="A105" s="47"/>
      <c r="B105" s="51" t="str">
        <f t="shared" si="3"/>
        <v/>
      </c>
      <c r="C105" s="47"/>
      <c r="D105" s="47"/>
      <c r="E105" s="66"/>
      <c r="F105" s="47"/>
      <c r="G105" s="50"/>
      <c r="H105" s="48"/>
      <c r="I105" s="48"/>
      <c r="J105" s="47"/>
      <c r="K105" s="48"/>
      <c r="L105" s="66"/>
      <c r="M105" s="56"/>
      <c r="N105" s="5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c r="BF105" s="46"/>
      <c r="BG105" s="46"/>
      <c r="BH105" s="46"/>
      <c r="BI105" s="46"/>
      <c r="BJ105" s="46"/>
      <c r="BK105" s="46"/>
      <c r="BL105" s="46"/>
      <c r="BM105" s="46"/>
      <c r="BN105" s="46"/>
      <c r="BO105" s="46"/>
      <c r="BP105" s="46"/>
      <c r="BQ105" s="46"/>
      <c r="BR105" s="46"/>
      <c r="BS105" s="46"/>
      <c r="BT105" s="46"/>
      <c r="BU105" s="46"/>
      <c r="BV105" s="46"/>
      <c r="BW105" s="46"/>
      <c r="BX105" s="46"/>
      <c r="BY105" s="46"/>
      <c r="BZ105" s="46"/>
      <c r="CA105" s="46"/>
      <c r="CB105" s="46"/>
      <c r="CC105" s="46"/>
      <c r="CD105" s="46"/>
      <c r="CE105" s="46"/>
      <c r="CF105" s="46"/>
      <c r="CG105" s="46"/>
      <c r="CH105" s="46"/>
      <c r="CI105" s="46"/>
      <c r="CJ105" s="46"/>
      <c r="CK105" s="46"/>
      <c r="CL105" s="46"/>
      <c r="CM105" s="46"/>
      <c r="CN105" s="46"/>
      <c r="CO105" s="46"/>
      <c r="CP105" s="46"/>
      <c r="CQ105" s="46"/>
      <c r="CR105" s="46"/>
      <c r="CS105" s="46"/>
      <c r="CT105" s="46"/>
      <c r="CU105" s="46"/>
      <c r="CV105" s="46"/>
      <c r="CW105" s="46"/>
      <c r="CX105" s="46"/>
      <c r="CY105" s="46"/>
      <c r="CZ105" s="46"/>
      <c r="DA105" s="46"/>
      <c r="DB105" s="46"/>
      <c r="DC105" s="46"/>
      <c r="DD105" s="46"/>
      <c r="DE105" s="46"/>
      <c r="DF105" s="46"/>
      <c r="DG105" s="46"/>
      <c r="DH105" s="46"/>
      <c r="DI105" s="46"/>
      <c r="DJ105" s="46"/>
      <c r="DK105" s="46"/>
      <c r="DL105" s="46"/>
      <c r="DM105" s="46"/>
      <c r="DN105" s="46"/>
      <c r="DO105" s="46"/>
      <c r="DP105" s="46"/>
      <c r="DQ105" s="46"/>
      <c r="DR105" s="46"/>
      <c r="DS105" s="46"/>
      <c r="DT105" s="46"/>
      <c r="DU105" s="46"/>
      <c r="DV105" s="46"/>
      <c r="DW105" s="46"/>
      <c r="DX105" s="46"/>
      <c r="DY105" s="46"/>
      <c r="DZ105" s="46"/>
      <c r="EA105" s="46"/>
      <c r="EB105" s="46"/>
      <c r="EC105" s="46"/>
      <c r="ED105" s="46"/>
      <c r="EE105" s="46"/>
      <c r="EF105" s="46"/>
      <c r="EG105" s="46"/>
      <c r="EH105" s="46"/>
      <c r="EI105" s="46"/>
      <c r="EJ105" s="46"/>
      <c r="EK105" s="46"/>
      <c r="EL105" s="46"/>
      <c r="EM105" s="46"/>
    </row>
    <row r="106" spans="1:143" ht="18" customHeight="1">
      <c r="A106" s="47"/>
      <c r="B106" s="51" t="str">
        <f t="shared" si="3"/>
        <v/>
      </c>
      <c r="C106" s="47"/>
      <c r="D106" s="47"/>
      <c r="E106" s="66"/>
      <c r="F106" s="47"/>
      <c r="G106" s="50"/>
      <c r="H106" s="48"/>
      <c r="I106" s="48"/>
      <c r="J106" s="47"/>
      <c r="K106" s="48"/>
      <c r="L106" s="66"/>
      <c r="M106" s="56"/>
      <c r="N106" s="56"/>
      <c r="O106" s="46"/>
      <c r="P106" s="46"/>
      <c r="Q106" s="46"/>
      <c r="R106" s="46"/>
      <c r="S106" s="46"/>
      <c r="T106" s="46"/>
      <c r="U106" s="46"/>
      <c r="V106" s="46"/>
      <c r="W106" s="46"/>
      <c r="X106" s="46"/>
      <c r="Y106" s="46"/>
      <c r="Z106" s="46"/>
      <c r="AA106" s="46"/>
      <c r="AB106" s="46"/>
      <c r="AC106" s="46"/>
      <c r="AD106" s="46"/>
      <c r="AE106" s="46"/>
      <c r="AF106" s="46"/>
      <c r="AG106" s="46"/>
      <c r="AH106" s="46"/>
      <c r="AI106" s="46"/>
      <c r="AJ106" s="46"/>
      <c r="AK106" s="46"/>
      <c r="AL106" s="46"/>
      <c r="AM106" s="46"/>
      <c r="AN106" s="46"/>
      <c r="AO106" s="46"/>
      <c r="AP106" s="46"/>
      <c r="AQ106" s="46"/>
      <c r="AR106" s="46"/>
      <c r="AS106" s="46"/>
      <c r="AT106" s="46"/>
      <c r="AU106" s="46"/>
      <c r="AV106" s="46"/>
      <c r="AW106" s="46"/>
      <c r="AX106" s="46"/>
      <c r="AY106" s="46"/>
      <c r="AZ106" s="46"/>
      <c r="BA106" s="46"/>
      <c r="BB106" s="46"/>
      <c r="BC106" s="46"/>
      <c r="BD106" s="46"/>
      <c r="BE106" s="46"/>
      <c r="BF106" s="46"/>
      <c r="BG106" s="46"/>
      <c r="BH106" s="46"/>
      <c r="BI106" s="46"/>
      <c r="BJ106" s="46"/>
      <c r="BK106" s="46"/>
      <c r="BL106" s="46"/>
      <c r="BM106" s="46"/>
      <c r="BN106" s="46"/>
      <c r="BO106" s="46"/>
      <c r="BP106" s="46"/>
      <c r="BQ106" s="46"/>
      <c r="BR106" s="46"/>
      <c r="BS106" s="46"/>
      <c r="BT106" s="46"/>
      <c r="BU106" s="46"/>
      <c r="BV106" s="46"/>
      <c r="BW106" s="46"/>
      <c r="BX106" s="46"/>
      <c r="BY106" s="46"/>
      <c r="BZ106" s="46"/>
      <c r="CA106" s="46"/>
      <c r="CB106" s="46"/>
      <c r="CC106" s="46"/>
      <c r="CD106" s="46"/>
      <c r="CE106" s="46"/>
      <c r="CF106" s="46"/>
      <c r="CG106" s="46"/>
      <c r="CH106" s="46"/>
      <c r="CI106" s="46"/>
      <c r="CJ106" s="46"/>
      <c r="CK106" s="46"/>
      <c r="CL106" s="46"/>
      <c r="CM106" s="46"/>
      <c r="CN106" s="46"/>
      <c r="CO106" s="46"/>
      <c r="CP106" s="46"/>
      <c r="CQ106" s="46"/>
      <c r="CR106" s="46"/>
      <c r="CS106" s="46"/>
      <c r="CT106" s="46"/>
      <c r="CU106" s="46"/>
      <c r="CV106" s="46"/>
      <c r="CW106" s="46"/>
      <c r="CX106" s="46"/>
      <c r="CY106" s="46"/>
      <c r="CZ106" s="46"/>
      <c r="DA106" s="46"/>
      <c r="DB106" s="46"/>
      <c r="DC106" s="46"/>
      <c r="DD106" s="46"/>
      <c r="DE106" s="46"/>
      <c r="DF106" s="46"/>
      <c r="DG106" s="46"/>
      <c r="DH106" s="46"/>
      <c r="DI106" s="46"/>
      <c r="DJ106" s="46"/>
      <c r="DK106" s="46"/>
      <c r="DL106" s="46"/>
      <c r="DM106" s="46"/>
      <c r="DN106" s="46"/>
      <c r="DO106" s="46"/>
      <c r="DP106" s="46"/>
      <c r="DQ106" s="46"/>
      <c r="DR106" s="46"/>
      <c r="DS106" s="46"/>
      <c r="DT106" s="46"/>
      <c r="DU106" s="46"/>
      <c r="DV106" s="46"/>
      <c r="DW106" s="46"/>
      <c r="DX106" s="46"/>
      <c r="DY106" s="46"/>
      <c r="DZ106" s="46"/>
      <c r="EA106" s="46"/>
      <c r="EB106" s="46"/>
      <c r="EC106" s="46"/>
      <c r="ED106" s="46"/>
      <c r="EE106" s="46"/>
      <c r="EF106" s="46"/>
      <c r="EG106" s="46"/>
      <c r="EH106" s="46"/>
      <c r="EI106" s="46"/>
      <c r="EJ106" s="46"/>
      <c r="EK106" s="46"/>
      <c r="EL106" s="46"/>
      <c r="EM106" s="46"/>
    </row>
    <row r="107" spans="1:143" ht="18" customHeight="1">
      <c r="A107" s="47"/>
      <c r="B107" s="51" t="str">
        <f t="shared" si="3"/>
        <v/>
      </c>
      <c r="C107" s="47"/>
      <c r="D107" s="47"/>
      <c r="E107" s="66"/>
      <c r="F107" s="47"/>
      <c r="G107" s="50"/>
      <c r="H107" s="48"/>
      <c r="I107" s="48"/>
      <c r="J107" s="47"/>
      <c r="K107" s="48"/>
      <c r="L107" s="66"/>
      <c r="M107" s="56"/>
      <c r="N107" s="56"/>
      <c r="O107" s="46"/>
      <c r="P107" s="46"/>
      <c r="Q107" s="46"/>
      <c r="R107" s="46"/>
      <c r="S107" s="46"/>
      <c r="T107" s="46"/>
      <c r="U107" s="46"/>
      <c r="V107" s="46"/>
      <c r="W107" s="46"/>
      <c r="X107" s="46"/>
      <c r="Y107" s="46"/>
      <c r="Z107" s="46"/>
      <c r="AA107" s="46"/>
      <c r="AB107" s="46"/>
      <c r="AC107" s="46"/>
      <c r="AD107" s="46"/>
      <c r="AE107" s="46"/>
      <c r="AF107" s="46"/>
      <c r="AG107" s="46"/>
      <c r="AH107" s="46"/>
      <c r="AI107" s="46"/>
      <c r="AJ107" s="46"/>
      <c r="AK107" s="46"/>
      <c r="AL107" s="46"/>
      <c r="AM107" s="46"/>
      <c r="AN107" s="46"/>
      <c r="AO107" s="46"/>
      <c r="AP107" s="46"/>
      <c r="AQ107" s="46"/>
      <c r="AR107" s="46"/>
      <c r="AS107" s="46"/>
      <c r="AT107" s="46"/>
      <c r="AU107" s="46"/>
      <c r="AV107" s="46"/>
      <c r="AW107" s="46"/>
      <c r="AX107" s="46"/>
      <c r="AY107" s="46"/>
      <c r="AZ107" s="46"/>
      <c r="BA107" s="46"/>
      <c r="BB107" s="46"/>
      <c r="BC107" s="46"/>
      <c r="BD107" s="46"/>
      <c r="BE107" s="46"/>
      <c r="BF107" s="46"/>
      <c r="BG107" s="46"/>
      <c r="BH107" s="46"/>
      <c r="BI107" s="46"/>
      <c r="BJ107" s="46"/>
      <c r="BK107" s="46"/>
      <c r="BL107" s="46"/>
      <c r="BM107" s="46"/>
      <c r="BN107" s="46"/>
      <c r="BO107" s="46"/>
      <c r="BP107" s="46"/>
      <c r="BQ107" s="46"/>
      <c r="BR107" s="46"/>
      <c r="BS107" s="46"/>
      <c r="BT107" s="46"/>
      <c r="BU107" s="46"/>
      <c r="BV107" s="46"/>
      <c r="BW107" s="46"/>
      <c r="BX107" s="46"/>
      <c r="BY107" s="46"/>
      <c r="BZ107" s="46"/>
      <c r="CA107" s="46"/>
      <c r="CB107" s="46"/>
      <c r="CC107" s="46"/>
      <c r="CD107" s="46"/>
      <c r="CE107" s="46"/>
      <c r="CF107" s="46"/>
      <c r="CG107" s="46"/>
      <c r="CH107" s="46"/>
      <c r="CI107" s="46"/>
      <c r="CJ107" s="46"/>
      <c r="CK107" s="46"/>
      <c r="CL107" s="46"/>
      <c r="CM107" s="46"/>
      <c r="CN107" s="46"/>
      <c r="CO107" s="46"/>
      <c r="CP107" s="46"/>
      <c r="CQ107" s="46"/>
      <c r="CR107" s="46"/>
      <c r="CS107" s="46"/>
      <c r="CT107" s="46"/>
      <c r="CU107" s="46"/>
      <c r="CV107" s="46"/>
      <c r="CW107" s="46"/>
      <c r="CX107" s="46"/>
      <c r="CY107" s="46"/>
      <c r="CZ107" s="46"/>
      <c r="DA107" s="46"/>
      <c r="DB107" s="46"/>
      <c r="DC107" s="46"/>
      <c r="DD107" s="46"/>
      <c r="DE107" s="46"/>
      <c r="DF107" s="46"/>
      <c r="DG107" s="46"/>
      <c r="DH107" s="46"/>
      <c r="DI107" s="46"/>
      <c r="DJ107" s="46"/>
      <c r="DK107" s="46"/>
      <c r="DL107" s="46"/>
      <c r="DM107" s="46"/>
      <c r="DN107" s="46"/>
      <c r="DO107" s="46"/>
      <c r="DP107" s="46"/>
      <c r="DQ107" s="46"/>
      <c r="DR107" s="46"/>
      <c r="DS107" s="46"/>
      <c r="DT107" s="46"/>
      <c r="DU107" s="46"/>
      <c r="DV107" s="46"/>
      <c r="DW107" s="46"/>
      <c r="DX107" s="46"/>
      <c r="DY107" s="46"/>
      <c r="DZ107" s="46"/>
      <c r="EA107" s="46"/>
      <c r="EB107" s="46"/>
      <c r="EC107" s="46"/>
      <c r="ED107" s="46"/>
      <c r="EE107" s="46"/>
      <c r="EF107" s="46"/>
      <c r="EG107" s="46"/>
      <c r="EH107" s="46"/>
      <c r="EI107" s="46"/>
      <c r="EJ107" s="46"/>
      <c r="EK107" s="46"/>
      <c r="EL107" s="46"/>
      <c r="EM107" s="46"/>
    </row>
    <row r="108" spans="1:143" ht="18" customHeight="1">
      <c r="A108" s="47"/>
      <c r="B108" s="51" t="str">
        <f t="shared" si="3"/>
        <v/>
      </c>
      <c r="C108" s="47"/>
      <c r="D108" s="47"/>
      <c r="E108" s="66"/>
      <c r="F108" s="47"/>
      <c r="G108" s="50"/>
      <c r="H108" s="48"/>
      <c r="I108" s="48"/>
      <c r="J108" s="47"/>
      <c r="K108" s="48"/>
      <c r="L108" s="66"/>
      <c r="M108" s="56"/>
      <c r="N108" s="56"/>
      <c r="O108" s="46"/>
      <c r="P108" s="46"/>
      <c r="Q108" s="46"/>
      <c r="R108" s="46"/>
      <c r="S108" s="46"/>
      <c r="T108" s="46"/>
      <c r="U108" s="46"/>
      <c r="V108" s="46"/>
      <c r="W108" s="46"/>
      <c r="X108" s="46"/>
      <c r="Y108" s="46"/>
      <c r="Z108" s="46"/>
      <c r="AA108" s="46"/>
      <c r="AB108" s="46"/>
      <c r="AC108" s="46"/>
      <c r="AD108" s="46"/>
      <c r="AE108" s="46"/>
      <c r="AF108" s="46"/>
      <c r="AG108" s="46"/>
      <c r="AH108" s="46"/>
      <c r="AI108" s="46"/>
      <c r="AJ108" s="46"/>
      <c r="AK108" s="46"/>
      <c r="AL108" s="46"/>
      <c r="AM108" s="46"/>
      <c r="AN108" s="46"/>
      <c r="AO108" s="46"/>
      <c r="AP108" s="46"/>
      <c r="AQ108" s="46"/>
      <c r="AR108" s="46"/>
      <c r="AS108" s="46"/>
      <c r="AT108" s="46"/>
      <c r="AU108" s="46"/>
      <c r="AV108" s="46"/>
      <c r="AW108" s="46"/>
      <c r="AX108" s="46"/>
      <c r="AY108" s="46"/>
      <c r="AZ108" s="46"/>
      <c r="BA108" s="46"/>
      <c r="BB108" s="46"/>
      <c r="BC108" s="46"/>
      <c r="BD108" s="46"/>
      <c r="BE108" s="46"/>
      <c r="BF108" s="46"/>
      <c r="BG108" s="46"/>
      <c r="BH108" s="46"/>
      <c r="BI108" s="46"/>
      <c r="BJ108" s="46"/>
      <c r="BK108" s="46"/>
      <c r="BL108" s="46"/>
      <c r="BM108" s="46"/>
      <c r="BN108" s="46"/>
      <c r="BO108" s="46"/>
      <c r="BP108" s="46"/>
      <c r="BQ108" s="46"/>
      <c r="BR108" s="46"/>
      <c r="BS108" s="46"/>
      <c r="BT108" s="46"/>
      <c r="BU108" s="46"/>
      <c r="BV108" s="46"/>
      <c r="BW108" s="46"/>
      <c r="BX108" s="46"/>
      <c r="BY108" s="46"/>
      <c r="BZ108" s="46"/>
      <c r="CA108" s="46"/>
      <c r="CB108" s="46"/>
      <c r="CC108" s="46"/>
      <c r="CD108" s="46"/>
      <c r="CE108" s="46"/>
      <c r="CF108" s="46"/>
      <c r="CG108" s="46"/>
      <c r="CH108" s="46"/>
      <c r="CI108" s="46"/>
      <c r="CJ108" s="46"/>
      <c r="CK108" s="46"/>
      <c r="CL108" s="46"/>
      <c r="CM108" s="46"/>
      <c r="CN108" s="46"/>
      <c r="CO108" s="46"/>
      <c r="CP108" s="46"/>
      <c r="CQ108" s="46"/>
      <c r="CR108" s="46"/>
      <c r="CS108" s="46"/>
      <c r="CT108" s="46"/>
      <c r="CU108" s="46"/>
      <c r="CV108" s="46"/>
      <c r="CW108" s="46"/>
      <c r="CX108" s="46"/>
      <c r="CY108" s="46"/>
      <c r="CZ108" s="46"/>
      <c r="DA108" s="46"/>
      <c r="DB108" s="46"/>
      <c r="DC108" s="46"/>
      <c r="DD108" s="46"/>
      <c r="DE108" s="46"/>
      <c r="DF108" s="46"/>
      <c r="DG108" s="46"/>
      <c r="DH108" s="46"/>
      <c r="DI108" s="46"/>
      <c r="DJ108" s="46"/>
      <c r="DK108" s="46"/>
      <c r="DL108" s="46"/>
      <c r="DM108" s="46"/>
      <c r="DN108" s="46"/>
      <c r="DO108" s="46"/>
      <c r="DP108" s="46"/>
      <c r="DQ108" s="46"/>
      <c r="DR108" s="46"/>
      <c r="DS108" s="46"/>
      <c r="DT108" s="46"/>
      <c r="DU108" s="46"/>
      <c r="DV108" s="46"/>
      <c r="DW108" s="46"/>
      <c r="DX108" s="46"/>
      <c r="DY108" s="46"/>
      <c r="DZ108" s="46"/>
      <c r="EA108" s="46"/>
      <c r="EB108" s="46"/>
      <c r="EC108" s="46"/>
      <c r="ED108" s="46"/>
      <c r="EE108" s="46"/>
      <c r="EF108" s="46"/>
      <c r="EG108" s="46"/>
      <c r="EH108" s="46"/>
      <c r="EI108" s="46"/>
      <c r="EJ108" s="46"/>
      <c r="EK108" s="46"/>
      <c r="EL108" s="46"/>
      <c r="EM108" s="46"/>
    </row>
    <row r="109" spans="1:143" ht="18" customHeight="1">
      <c r="A109" s="47"/>
      <c r="B109" s="51" t="str">
        <f t="shared" si="3"/>
        <v/>
      </c>
      <c r="C109" s="47"/>
      <c r="D109" s="47"/>
      <c r="E109" s="66"/>
      <c r="F109" s="47"/>
      <c r="G109" s="50"/>
      <c r="H109" s="48"/>
      <c r="I109" s="48"/>
      <c r="J109" s="47"/>
      <c r="K109" s="48"/>
      <c r="L109" s="66"/>
      <c r="M109" s="56"/>
      <c r="N109" s="56"/>
      <c r="O109" s="46"/>
      <c r="P109" s="46"/>
      <c r="Q109" s="46"/>
      <c r="R109" s="46"/>
      <c r="S109" s="46"/>
      <c r="T109" s="46"/>
      <c r="U109" s="46"/>
      <c r="V109" s="46"/>
      <c r="W109" s="46"/>
      <c r="X109" s="46"/>
      <c r="Y109" s="46"/>
      <c r="Z109" s="46"/>
      <c r="AA109" s="46"/>
      <c r="AB109" s="46"/>
      <c r="AC109" s="46"/>
      <c r="AD109" s="46"/>
      <c r="AE109" s="46"/>
      <c r="AF109" s="46"/>
      <c r="AG109" s="46"/>
      <c r="AH109" s="46"/>
      <c r="AI109" s="46"/>
      <c r="AJ109" s="46"/>
      <c r="AK109" s="46"/>
      <c r="AL109" s="46"/>
      <c r="AM109" s="46"/>
      <c r="AN109" s="46"/>
      <c r="AO109" s="46"/>
      <c r="AP109" s="46"/>
      <c r="AQ109" s="46"/>
      <c r="AR109" s="46"/>
      <c r="AS109" s="46"/>
      <c r="AT109" s="46"/>
      <c r="AU109" s="46"/>
      <c r="AV109" s="46"/>
      <c r="AW109" s="46"/>
      <c r="AX109" s="46"/>
      <c r="AY109" s="46"/>
      <c r="AZ109" s="46"/>
      <c r="BA109" s="46"/>
      <c r="BB109" s="46"/>
      <c r="BC109" s="46"/>
      <c r="BD109" s="46"/>
      <c r="BE109" s="46"/>
      <c r="BF109" s="46"/>
      <c r="BG109" s="46"/>
      <c r="BH109" s="46"/>
      <c r="BI109" s="46"/>
      <c r="BJ109" s="46"/>
      <c r="BK109" s="46"/>
      <c r="BL109" s="46"/>
      <c r="BM109" s="46"/>
      <c r="BN109" s="46"/>
      <c r="BO109" s="46"/>
      <c r="BP109" s="46"/>
      <c r="BQ109" s="46"/>
      <c r="BR109" s="46"/>
      <c r="BS109" s="46"/>
      <c r="BT109" s="46"/>
      <c r="BU109" s="46"/>
      <c r="BV109" s="46"/>
      <c r="BW109" s="46"/>
      <c r="BX109" s="46"/>
      <c r="BY109" s="46"/>
      <c r="BZ109" s="46"/>
      <c r="CA109" s="46"/>
      <c r="CB109" s="46"/>
      <c r="CC109" s="46"/>
      <c r="CD109" s="46"/>
      <c r="CE109" s="46"/>
      <c r="CF109" s="46"/>
      <c r="CG109" s="46"/>
      <c r="CH109" s="46"/>
      <c r="CI109" s="46"/>
      <c r="CJ109" s="46"/>
      <c r="CK109" s="46"/>
      <c r="CL109" s="46"/>
      <c r="CM109" s="46"/>
      <c r="CN109" s="46"/>
      <c r="CO109" s="46"/>
      <c r="CP109" s="46"/>
      <c r="CQ109" s="46"/>
      <c r="CR109" s="46"/>
      <c r="CS109" s="46"/>
      <c r="CT109" s="46"/>
      <c r="CU109" s="46"/>
      <c r="CV109" s="46"/>
      <c r="CW109" s="46"/>
      <c r="CX109" s="46"/>
      <c r="CY109" s="46"/>
      <c r="CZ109" s="46"/>
      <c r="DA109" s="46"/>
      <c r="DB109" s="46"/>
      <c r="DC109" s="46"/>
      <c r="DD109" s="46"/>
      <c r="DE109" s="46"/>
      <c r="DF109" s="46"/>
      <c r="DG109" s="46"/>
      <c r="DH109" s="46"/>
      <c r="DI109" s="46"/>
      <c r="DJ109" s="46"/>
      <c r="DK109" s="46"/>
      <c r="DL109" s="46"/>
      <c r="DM109" s="46"/>
      <c r="DN109" s="46"/>
      <c r="DO109" s="46"/>
      <c r="DP109" s="46"/>
      <c r="DQ109" s="46"/>
      <c r="DR109" s="46"/>
      <c r="DS109" s="46"/>
      <c r="DT109" s="46"/>
      <c r="DU109" s="46"/>
      <c r="DV109" s="46"/>
      <c r="DW109" s="46"/>
      <c r="DX109" s="46"/>
      <c r="DY109" s="46"/>
      <c r="DZ109" s="46"/>
      <c r="EA109" s="46"/>
      <c r="EB109" s="46"/>
      <c r="EC109" s="46"/>
      <c r="ED109" s="46"/>
      <c r="EE109" s="46"/>
      <c r="EF109" s="46"/>
      <c r="EG109" s="46"/>
      <c r="EH109" s="46"/>
      <c r="EI109" s="46"/>
      <c r="EJ109" s="46"/>
      <c r="EK109" s="46"/>
      <c r="EL109" s="46"/>
      <c r="EM109" s="46"/>
    </row>
    <row r="110" spans="1:143" ht="18" customHeight="1">
      <c r="A110" s="47"/>
      <c r="B110" s="51" t="str">
        <f t="shared" si="3"/>
        <v/>
      </c>
      <c r="C110" s="47"/>
      <c r="D110" s="47"/>
      <c r="E110" s="66"/>
      <c r="F110" s="47"/>
      <c r="G110" s="50"/>
      <c r="H110" s="48"/>
      <c r="I110" s="48"/>
      <c r="J110" s="47"/>
      <c r="K110" s="48"/>
      <c r="L110" s="66"/>
      <c r="M110" s="56"/>
      <c r="N110" s="56"/>
      <c r="O110" s="46"/>
      <c r="P110" s="46"/>
      <c r="Q110" s="46"/>
      <c r="R110" s="46"/>
      <c r="S110" s="46"/>
      <c r="T110" s="46"/>
      <c r="U110" s="46"/>
      <c r="V110" s="46"/>
      <c r="W110" s="46"/>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c r="BF110" s="46"/>
      <c r="BG110" s="46"/>
      <c r="BH110" s="46"/>
      <c r="BI110" s="46"/>
      <c r="BJ110" s="46"/>
      <c r="BK110" s="46"/>
      <c r="BL110" s="46"/>
      <c r="BM110" s="46"/>
      <c r="BN110" s="46"/>
      <c r="BO110" s="46"/>
      <c r="BP110" s="46"/>
      <c r="BQ110" s="46"/>
      <c r="BR110" s="46"/>
      <c r="BS110" s="46"/>
      <c r="BT110" s="46"/>
      <c r="BU110" s="46"/>
      <c r="BV110" s="46"/>
      <c r="BW110" s="46"/>
      <c r="BX110" s="46"/>
      <c r="BY110" s="46"/>
      <c r="BZ110" s="46"/>
      <c r="CA110" s="46"/>
      <c r="CB110" s="46"/>
      <c r="CC110" s="46"/>
      <c r="CD110" s="46"/>
      <c r="CE110" s="46"/>
      <c r="CF110" s="46"/>
      <c r="CG110" s="46"/>
      <c r="CH110" s="46"/>
      <c r="CI110" s="46"/>
      <c r="CJ110" s="46"/>
      <c r="CK110" s="46"/>
      <c r="CL110" s="46"/>
      <c r="CM110" s="46"/>
      <c r="CN110" s="46"/>
      <c r="CO110" s="46"/>
      <c r="CP110" s="46"/>
      <c r="CQ110" s="46"/>
      <c r="CR110" s="46"/>
      <c r="CS110" s="46"/>
      <c r="CT110" s="46"/>
      <c r="CU110" s="46"/>
      <c r="CV110" s="46"/>
      <c r="CW110" s="46"/>
      <c r="CX110" s="46"/>
      <c r="CY110" s="46"/>
      <c r="CZ110" s="46"/>
      <c r="DA110" s="46"/>
      <c r="DB110" s="46"/>
      <c r="DC110" s="46"/>
      <c r="DD110" s="46"/>
      <c r="DE110" s="46"/>
      <c r="DF110" s="46"/>
      <c r="DG110" s="46"/>
      <c r="DH110" s="46"/>
      <c r="DI110" s="46"/>
      <c r="DJ110" s="46"/>
      <c r="DK110" s="46"/>
      <c r="DL110" s="46"/>
      <c r="DM110" s="46"/>
      <c r="DN110" s="46"/>
      <c r="DO110" s="46"/>
      <c r="DP110" s="46"/>
      <c r="DQ110" s="46"/>
      <c r="DR110" s="46"/>
      <c r="DS110" s="46"/>
      <c r="DT110" s="46"/>
      <c r="DU110" s="46"/>
      <c r="DV110" s="46"/>
      <c r="DW110" s="46"/>
      <c r="DX110" s="46"/>
      <c r="DY110" s="46"/>
      <c r="DZ110" s="46"/>
      <c r="EA110" s="46"/>
      <c r="EB110" s="46"/>
      <c r="EC110" s="46"/>
      <c r="ED110" s="46"/>
      <c r="EE110" s="46"/>
      <c r="EF110" s="46"/>
      <c r="EG110" s="46"/>
      <c r="EH110" s="46"/>
      <c r="EI110" s="46"/>
      <c r="EJ110" s="46"/>
      <c r="EK110" s="46"/>
      <c r="EL110" s="46"/>
      <c r="EM110" s="46"/>
    </row>
    <row r="111" spans="1:143" ht="18" customHeight="1">
      <c r="A111" s="47"/>
      <c r="B111" s="51" t="str">
        <f t="shared" si="3"/>
        <v/>
      </c>
      <c r="C111" s="47"/>
      <c r="D111" s="47"/>
      <c r="E111" s="66"/>
      <c r="F111" s="47"/>
      <c r="G111" s="50"/>
      <c r="H111" s="48"/>
      <c r="I111" s="48"/>
      <c r="J111" s="47"/>
      <c r="K111" s="48"/>
      <c r="L111" s="66"/>
      <c r="M111" s="56"/>
      <c r="N111" s="56"/>
      <c r="O111" s="46"/>
      <c r="P111" s="46"/>
      <c r="Q111" s="46"/>
      <c r="R111" s="46"/>
      <c r="S111" s="46"/>
      <c r="T111" s="46"/>
      <c r="U111" s="46"/>
      <c r="V111" s="46"/>
      <c r="W111" s="46"/>
      <c r="X111" s="46"/>
      <c r="Y111" s="46"/>
      <c r="Z111" s="46"/>
      <c r="AA111" s="46"/>
      <c r="AB111" s="46"/>
      <c r="AC111" s="46"/>
      <c r="AD111" s="46"/>
      <c r="AE111" s="46"/>
      <c r="AF111" s="46"/>
      <c r="AG111" s="46"/>
      <c r="AH111" s="46"/>
      <c r="AI111" s="46"/>
      <c r="AJ111" s="46"/>
      <c r="AK111" s="46"/>
      <c r="AL111" s="46"/>
      <c r="AM111" s="46"/>
      <c r="AN111" s="46"/>
      <c r="AO111" s="46"/>
      <c r="AP111" s="46"/>
      <c r="AQ111" s="46"/>
      <c r="AR111" s="46"/>
      <c r="AS111" s="46"/>
      <c r="AT111" s="46"/>
      <c r="AU111" s="46"/>
      <c r="AV111" s="46"/>
      <c r="AW111" s="46"/>
      <c r="AX111" s="46"/>
      <c r="AY111" s="46"/>
      <c r="AZ111" s="46"/>
      <c r="BA111" s="46"/>
      <c r="BB111" s="46"/>
      <c r="BC111" s="46"/>
      <c r="BD111" s="46"/>
      <c r="BE111" s="46"/>
      <c r="BF111" s="46"/>
      <c r="BG111" s="46"/>
      <c r="BH111" s="46"/>
      <c r="BI111" s="46"/>
      <c r="BJ111" s="46"/>
      <c r="BK111" s="46"/>
      <c r="BL111" s="46"/>
      <c r="BM111" s="46"/>
      <c r="BN111" s="46"/>
      <c r="BO111" s="46"/>
      <c r="BP111" s="46"/>
      <c r="BQ111" s="46"/>
      <c r="BR111" s="46"/>
      <c r="BS111" s="46"/>
      <c r="BT111" s="46"/>
      <c r="BU111" s="46"/>
      <c r="BV111" s="46"/>
      <c r="BW111" s="46"/>
      <c r="BX111" s="46"/>
      <c r="BY111" s="46"/>
      <c r="BZ111" s="46"/>
      <c r="CA111" s="46"/>
      <c r="CB111" s="46"/>
      <c r="CC111" s="46"/>
      <c r="CD111" s="46"/>
      <c r="CE111" s="46"/>
      <c r="CF111" s="46"/>
      <c r="CG111" s="46"/>
      <c r="CH111" s="46"/>
      <c r="CI111" s="46"/>
      <c r="CJ111" s="46"/>
      <c r="CK111" s="46"/>
      <c r="CL111" s="46"/>
      <c r="CM111" s="46"/>
      <c r="CN111" s="46"/>
      <c r="CO111" s="46"/>
      <c r="CP111" s="46"/>
      <c r="CQ111" s="46"/>
      <c r="CR111" s="46"/>
      <c r="CS111" s="46"/>
      <c r="CT111" s="46"/>
      <c r="CU111" s="46"/>
      <c r="CV111" s="46"/>
      <c r="CW111" s="46"/>
      <c r="CX111" s="46"/>
      <c r="CY111" s="46"/>
      <c r="CZ111" s="46"/>
      <c r="DA111" s="46"/>
      <c r="DB111" s="46"/>
      <c r="DC111" s="46"/>
      <c r="DD111" s="46"/>
      <c r="DE111" s="46"/>
      <c r="DF111" s="46"/>
      <c r="DG111" s="46"/>
      <c r="DH111" s="46"/>
      <c r="DI111" s="46"/>
      <c r="DJ111" s="46"/>
      <c r="DK111" s="46"/>
      <c r="DL111" s="46"/>
      <c r="DM111" s="46"/>
      <c r="DN111" s="46"/>
      <c r="DO111" s="46"/>
      <c r="DP111" s="46"/>
      <c r="DQ111" s="46"/>
      <c r="DR111" s="46"/>
      <c r="DS111" s="46"/>
      <c r="DT111" s="46"/>
      <c r="DU111" s="46"/>
      <c r="DV111" s="46"/>
      <c r="DW111" s="46"/>
      <c r="DX111" s="46"/>
      <c r="DY111" s="46"/>
      <c r="DZ111" s="46"/>
      <c r="EA111" s="46"/>
      <c r="EB111" s="46"/>
      <c r="EC111" s="46"/>
      <c r="ED111" s="46"/>
      <c r="EE111" s="46"/>
      <c r="EF111" s="46"/>
      <c r="EG111" s="46"/>
      <c r="EH111" s="46"/>
      <c r="EI111" s="46"/>
      <c r="EJ111" s="46"/>
      <c r="EK111" s="46"/>
      <c r="EL111" s="46"/>
      <c r="EM111" s="46"/>
    </row>
    <row r="112" spans="1:143" ht="18" customHeight="1">
      <c r="A112" s="47"/>
      <c r="B112" s="51" t="str">
        <f t="shared" si="3"/>
        <v/>
      </c>
      <c r="C112" s="47"/>
      <c r="D112" s="47"/>
      <c r="E112" s="66"/>
      <c r="F112" s="47"/>
      <c r="G112" s="50"/>
      <c r="H112" s="48"/>
      <c r="I112" s="48"/>
      <c r="J112" s="47"/>
      <c r="K112" s="48"/>
      <c r="L112" s="66"/>
      <c r="M112" s="56"/>
      <c r="N112" s="56"/>
      <c r="O112" s="46"/>
      <c r="P112" s="46"/>
      <c r="Q112" s="46"/>
      <c r="R112" s="46"/>
      <c r="S112" s="46"/>
      <c r="T112" s="46"/>
      <c r="U112" s="46"/>
      <c r="V112" s="46"/>
      <c r="W112" s="46"/>
      <c r="X112" s="46"/>
      <c r="Y112" s="46"/>
      <c r="Z112" s="46"/>
      <c r="AA112" s="46"/>
      <c r="AB112" s="46"/>
      <c r="AC112" s="46"/>
      <c r="AD112" s="46"/>
      <c r="AE112" s="46"/>
      <c r="AF112" s="46"/>
      <c r="AG112" s="46"/>
      <c r="AH112" s="46"/>
      <c r="AI112" s="46"/>
      <c r="AJ112" s="46"/>
      <c r="AK112" s="46"/>
      <c r="AL112" s="46"/>
      <c r="AM112" s="46"/>
      <c r="AN112" s="46"/>
      <c r="AO112" s="46"/>
      <c r="AP112" s="46"/>
      <c r="AQ112" s="46"/>
      <c r="AR112" s="46"/>
      <c r="AS112" s="46"/>
      <c r="AT112" s="46"/>
      <c r="AU112" s="46"/>
      <c r="AV112" s="46"/>
      <c r="AW112" s="46"/>
      <c r="AX112" s="46"/>
      <c r="AY112" s="46"/>
      <c r="AZ112" s="46"/>
      <c r="BA112" s="46"/>
      <c r="BB112" s="46"/>
      <c r="BC112" s="46"/>
      <c r="BD112" s="46"/>
      <c r="BE112" s="46"/>
      <c r="BF112" s="46"/>
      <c r="BG112" s="46"/>
      <c r="BH112" s="46"/>
      <c r="BI112" s="46"/>
      <c r="BJ112" s="46"/>
      <c r="BK112" s="46"/>
      <c r="BL112" s="46"/>
      <c r="BM112" s="46"/>
      <c r="BN112" s="46"/>
      <c r="BO112" s="46"/>
      <c r="BP112" s="46"/>
      <c r="BQ112" s="46"/>
      <c r="BR112" s="46"/>
      <c r="BS112" s="46"/>
      <c r="BT112" s="46"/>
      <c r="BU112" s="46"/>
      <c r="BV112" s="46"/>
      <c r="BW112" s="46"/>
      <c r="BX112" s="46"/>
      <c r="BY112" s="46"/>
      <c r="BZ112" s="46"/>
      <c r="CA112" s="46"/>
      <c r="CB112" s="46"/>
      <c r="CC112" s="46"/>
      <c r="CD112" s="46"/>
      <c r="CE112" s="46"/>
      <c r="CF112" s="46"/>
      <c r="CG112" s="46"/>
      <c r="CH112" s="46"/>
      <c r="CI112" s="46"/>
      <c r="CJ112" s="46"/>
      <c r="CK112" s="46"/>
      <c r="CL112" s="46"/>
      <c r="CM112" s="46"/>
      <c r="CN112" s="46"/>
      <c r="CO112" s="46"/>
      <c r="CP112" s="46"/>
      <c r="CQ112" s="46"/>
      <c r="CR112" s="46"/>
      <c r="CS112" s="46"/>
      <c r="CT112" s="46"/>
      <c r="CU112" s="46"/>
      <c r="CV112" s="46"/>
      <c r="CW112" s="46"/>
      <c r="CX112" s="46"/>
      <c r="CY112" s="46"/>
      <c r="CZ112" s="46"/>
      <c r="DA112" s="46"/>
      <c r="DB112" s="46"/>
      <c r="DC112" s="46"/>
      <c r="DD112" s="46"/>
      <c r="DE112" s="46"/>
      <c r="DF112" s="46"/>
      <c r="DG112" s="46"/>
      <c r="DH112" s="46"/>
      <c r="DI112" s="46"/>
      <c r="DJ112" s="46"/>
      <c r="DK112" s="46"/>
      <c r="DL112" s="46"/>
      <c r="DM112" s="46"/>
      <c r="DN112" s="46"/>
      <c r="DO112" s="46"/>
      <c r="DP112" s="46"/>
      <c r="DQ112" s="46"/>
      <c r="DR112" s="46"/>
      <c r="DS112" s="46"/>
      <c r="DT112" s="46"/>
      <c r="DU112" s="46"/>
      <c r="DV112" s="46"/>
      <c r="DW112" s="46"/>
      <c r="DX112" s="46"/>
      <c r="DY112" s="46"/>
      <c r="DZ112" s="46"/>
      <c r="EA112" s="46"/>
      <c r="EB112" s="46"/>
      <c r="EC112" s="46"/>
      <c r="ED112" s="46"/>
      <c r="EE112" s="46"/>
      <c r="EF112" s="46"/>
      <c r="EG112" s="46"/>
      <c r="EH112" s="46"/>
      <c r="EI112" s="46"/>
      <c r="EJ112" s="46"/>
      <c r="EK112" s="46"/>
      <c r="EL112" s="46"/>
      <c r="EM112" s="46"/>
    </row>
    <row r="113" spans="1:143" ht="18" customHeight="1">
      <c r="A113" s="47"/>
      <c r="B113" s="51" t="str">
        <f t="shared" si="3"/>
        <v/>
      </c>
      <c r="C113" s="47"/>
      <c r="D113" s="47"/>
      <c r="E113" s="66"/>
      <c r="F113" s="47"/>
      <c r="G113" s="50"/>
      <c r="H113" s="48"/>
      <c r="I113" s="48"/>
      <c r="J113" s="47"/>
      <c r="K113" s="48"/>
      <c r="L113" s="66"/>
      <c r="M113" s="56"/>
      <c r="N113" s="56"/>
      <c r="O113" s="46"/>
      <c r="P113" s="46"/>
      <c r="Q113" s="46"/>
      <c r="R113" s="46"/>
      <c r="S113" s="46"/>
      <c r="T113" s="46"/>
      <c r="U113" s="46"/>
      <c r="V113" s="46"/>
      <c r="W113" s="46"/>
      <c r="X113" s="46"/>
      <c r="Y113" s="46"/>
      <c r="Z113" s="46"/>
      <c r="AA113" s="46"/>
      <c r="AB113" s="46"/>
      <c r="AC113" s="46"/>
      <c r="AD113" s="46"/>
      <c r="AE113" s="46"/>
      <c r="AF113" s="46"/>
      <c r="AG113" s="46"/>
      <c r="AH113" s="46"/>
      <c r="AI113" s="46"/>
      <c r="AJ113" s="46"/>
      <c r="AK113" s="46"/>
      <c r="AL113" s="46"/>
      <c r="AM113" s="46"/>
      <c r="AN113" s="46"/>
      <c r="AO113" s="46"/>
      <c r="AP113" s="46"/>
      <c r="AQ113" s="46"/>
      <c r="AR113" s="46"/>
      <c r="AS113" s="46"/>
      <c r="AT113" s="46"/>
      <c r="AU113" s="46"/>
      <c r="AV113" s="46"/>
      <c r="AW113" s="46"/>
      <c r="AX113" s="46"/>
      <c r="AY113" s="46"/>
      <c r="AZ113" s="46"/>
      <c r="BA113" s="46"/>
      <c r="BB113" s="46"/>
      <c r="BC113" s="46"/>
      <c r="BD113" s="46"/>
      <c r="BE113" s="46"/>
      <c r="BF113" s="46"/>
      <c r="BG113" s="46"/>
      <c r="BH113" s="46"/>
      <c r="BI113" s="46"/>
      <c r="BJ113" s="46"/>
      <c r="BK113" s="46"/>
      <c r="BL113" s="46"/>
      <c r="BM113" s="46"/>
      <c r="BN113" s="46"/>
      <c r="BO113" s="46"/>
      <c r="BP113" s="46"/>
      <c r="BQ113" s="46"/>
      <c r="BR113" s="46"/>
      <c r="BS113" s="46"/>
      <c r="BT113" s="46"/>
      <c r="BU113" s="46"/>
      <c r="BV113" s="46"/>
      <c r="BW113" s="46"/>
      <c r="BX113" s="46"/>
      <c r="BY113" s="46"/>
      <c r="BZ113" s="46"/>
      <c r="CA113" s="46"/>
      <c r="CB113" s="46"/>
      <c r="CC113" s="46"/>
      <c r="CD113" s="46"/>
      <c r="CE113" s="46"/>
      <c r="CF113" s="46"/>
      <c r="CG113" s="46"/>
      <c r="CH113" s="46"/>
      <c r="CI113" s="46"/>
      <c r="CJ113" s="46"/>
      <c r="CK113" s="46"/>
      <c r="CL113" s="46"/>
      <c r="CM113" s="46"/>
      <c r="CN113" s="46"/>
      <c r="CO113" s="46"/>
      <c r="CP113" s="46"/>
      <c r="CQ113" s="46"/>
      <c r="CR113" s="46"/>
      <c r="CS113" s="46"/>
      <c r="CT113" s="46"/>
      <c r="CU113" s="46"/>
      <c r="CV113" s="46"/>
      <c r="CW113" s="46"/>
      <c r="CX113" s="46"/>
      <c r="CY113" s="46"/>
      <c r="CZ113" s="46"/>
      <c r="DA113" s="46"/>
      <c r="DB113" s="46"/>
      <c r="DC113" s="46"/>
      <c r="DD113" s="46"/>
      <c r="DE113" s="46"/>
      <c r="DF113" s="46"/>
      <c r="DG113" s="46"/>
      <c r="DH113" s="46"/>
      <c r="DI113" s="46"/>
      <c r="DJ113" s="46"/>
      <c r="DK113" s="46"/>
      <c r="DL113" s="46"/>
      <c r="DM113" s="46"/>
      <c r="DN113" s="46"/>
      <c r="DO113" s="46"/>
      <c r="DP113" s="46"/>
      <c r="DQ113" s="46"/>
      <c r="DR113" s="46"/>
      <c r="DS113" s="46"/>
      <c r="DT113" s="46"/>
      <c r="DU113" s="46"/>
      <c r="DV113" s="46"/>
      <c r="DW113" s="46"/>
      <c r="DX113" s="46"/>
      <c r="DY113" s="46"/>
      <c r="DZ113" s="46"/>
      <c r="EA113" s="46"/>
      <c r="EB113" s="46"/>
      <c r="EC113" s="46"/>
      <c r="ED113" s="46"/>
      <c r="EE113" s="46"/>
      <c r="EF113" s="46"/>
      <c r="EG113" s="46"/>
      <c r="EH113" s="46"/>
      <c r="EI113" s="46"/>
      <c r="EJ113" s="46"/>
      <c r="EK113" s="46"/>
      <c r="EL113" s="46"/>
      <c r="EM113" s="46"/>
    </row>
    <row r="114" spans="1:143" ht="18" customHeight="1">
      <c r="A114" s="47"/>
      <c r="B114" s="51" t="str">
        <f t="shared" si="3"/>
        <v/>
      </c>
      <c r="C114" s="47"/>
      <c r="D114" s="47"/>
      <c r="E114" s="66"/>
      <c r="F114" s="47"/>
      <c r="G114" s="50"/>
      <c r="H114" s="48"/>
      <c r="I114" s="48"/>
      <c r="J114" s="47"/>
      <c r="K114" s="48"/>
      <c r="L114" s="66"/>
      <c r="M114" s="56"/>
      <c r="N114" s="56"/>
      <c r="O114" s="46"/>
      <c r="P114" s="46"/>
      <c r="Q114" s="46"/>
      <c r="R114" s="46"/>
      <c r="S114" s="46"/>
      <c r="T114" s="46"/>
      <c r="U114" s="46"/>
      <c r="V114" s="46"/>
      <c r="W114" s="46"/>
      <c r="X114" s="46"/>
      <c r="Y114" s="46"/>
      <c r="Z114" s="46"/>
      <c r="AA114" s="46"/>
      <c r="AB114" s="46"/>
      <c r="AC114" s="46"/>
      <c r="AD114" s="46"/>
      <c r="AE114" s="46"/>
      <c r="AF114" s="46"/>
      <c r="AG114" s="46"/>
      <c r="AH114" s="46"/>
      <c r="AI114" s="46"/>
      <c r="AJ114" s="46"/>
      <c r="AK114" s="46"/>
      <c r="AL114" s="46"/>
      <c r="AM114" s="46"/>
      <c r="AN114" s="46"/>
      <c r="AO114" s="46"/>
      <c r="AP114" s="46"/>
      <c r="AQ114" s="46"/>
      <c r="AR114" s="46"/>
      <c r="AS114" s="46"/>
      <c r="AT114" s="46"/>
      <c r="AU114" s="46"/>
      <c r="AV114" s="46"/>
      <c r="AW114" s="46"/>
      <c r="AX114" s="46"/>
      <c r="AY114" s="46"/>
      <c r="AZ114" s="46"/>
      <c r="BA114" s="46"/>
      <c r="BB114" s="46"/>
      <c r="BC114" s="46"/>
      <c r="BD114" s="46"/>
      <c r="BE114" s="46"/>
      <c r="BF114" s="46"/>
      <c r="BG114" s="46"/>
      <c r="BH114" s="46"/>
      <c r="BI114" s="46"/>
      <c r="BJ114" s="46"/>
      <c r="BK114" s="46"/>
      <c r="BL114" s="46"/>
      <c r="BM114" s="46"/>
      <c r="BN114" s="46"/>
      <c r="BO114" s="46"/>
      <c r="BP114" s="46"/>
      <c r="BQ114" s="46"/>
      <c r="BR114" s="46"/>
      <c r="BS114" s="46"/>
      <c r="BT114" s="46"/>
      <c r="BU114" s="46"/>
      <c r="BV114" s="46"/>
      <c r="BW114" s="46"/>
      <c r="BX114" s="46"/>
      <c r="BY114" s="46"/>
      <c r="BZ114" s="46"/>
      <c r="CA114" s="46"/>
      <c r="CB114" s="46"/>
      <c r="CC114" s="46"/>
      <c r="CD114" s="46"/>
      <c r="CE114" s="46"/>
      <c r="CF114" s="46"/>
      <c r="CG114" s="46"/>
      <c r="CH114" s="46"/>
      <c r="CI114" s="46"/>
      <c r="CJ114" s="46"/>
      <c r="CK114" s="46"/>
      <c r="CL114" s="46"/>
      <c r="CM114" s="46"/>
      <c r="CN114" s="46"/>
      <c r="CO114" s="46"/>
      <c r="CP114" s="46"/>
      <c r="CQ114" s="46"/>
      <c r="CR114" s="46"/>
      <c r="CS114" s="46"/>
      <c r="CT114" s="46"/>
      <c r="CU114" s="46"/>
      <c r="CV114" s="46"/>
      <c r="CW114" s="46"/>
      <c r="CX114" s="46"/>
      <c r="CY114" s="46"/>
      <c r="CZ114" s="46"/>
      <c r="DA114" s="46"/>
      <c r="DB114" s="46"/>
      <c r="DC114" s="46"/>
      <c r="DD114" s="46"/>
      <c r="DE114" s="46"/>
      <c r="DF114" s="46"/>
      <c r="DG114" s="46"/>
      <c r="DH114" s="46"/>
      <c r="DI114" s="46"/>
      <c r="DJ114" s="46"/>
      <c r="DK114" s="46"/>
      <c r="DL114" s="46"/>
      <c r="DM114" s="46"/>
      <c r="DN114" s="46"/>
      <c r="DO114" s="46"/>
      <c r="DP114" s="46"/>
      <c r="DQ114" s="46"/>
      <c r="DR114" s="46"/>
      <c r="DS114" s="46"/>
      <c r="DT114" s="46"/>
      <c r="DU114" s="46"/>
      <c r="DV114" s="46"/>
      <c r="DW114" s="46"/>
      <c r="DX114" s="46"/>
      <c r="DY114" s="46"/>
      <c r="DZ114" s="46"/>
      <c r="EA114" s="46"/>
      <c r="EB114" s="46"/>
      <c r="EC114" s="46"/>
      <c r="ED114" s="46"/>
      <c r="EE114" s="46"/>
      <c r="EF114" s="46"/>
      <c r="EG114" s="46"/>
      <c r="EH114" s="46"/>
      <c r="EI114" s="46"/>
      <c r="EJ114" s="46"/>
      <c r="EK114" s="46"/>
      <c r="EL114" s="46"/>
      <c r="EM114" s="46"/>
    </row>
    <row r="115" spans="1:143" ht="18" customHeight="1">
      <c r="A115" s="47"/>
      <c r="B115" s="51" t="str">
        <f t="shared" si="3"/>
        <v/>
      </c>
      <c r="C115" s="47"/>
      <c r="D115" s="47"/>
      <c r="E115" s="66"/>
      <c r="F115" s="47"/>
      <c r="G115" s="50"/>
      <c r="H115" s="48"/>
      <c r="I115" s="48"/>
      <c r="J115" s="47"/>
      <c r="K115" s="48"/>
      <c r="L115" s="66"/>
      <c r="M115" s="56"/>
      <c r="N115" s="56"/>
      <c r="O115" s="46"/>
      <c r="P115" s="46"/>
      <c r="Q115" s="46"/>
      <c r="R115" s="46"/>
      <c r="S115" s="46"/>
      <c r="T115" s="46"/>
      <c r="U115" s="46"/>
      <c r="V115" s="46"/>
      <c r="W115" s="46"/>
      <c r="X115" s="46"/>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c r="BF115" s="46"/>
      <c r="BG115" s="46"/>
      <c r="BH115" s="46"/>
      <c r="BI115" s="46"/>
      <c r="BJ115" s="46"/>
      <c r="BK115" s="46"/>
      <c r="BL115" s="46"/>
      <c r="BM115" s="46"/>
      <c r="BN115" s="46"/>
      <c r="BO115" s="46"/>
      <c r="BP115" s="46"/>
      <c r="BQ115" s="46"/>
      <c r="BR115" s="46"/>
      <c r="BS115" s="46"/>
      <c r="BT115" s="46"/>
      <c r="BU115" s="46"/>
      <c r="BV115" s="46"/>
      <c r="BW115" s="46"/>
      <c r="BX115" s="46"/>
      <c r="BY115" s="46"/>
      <c r="BZ115" s="46"/>
      <c r="CA115" s="46"/>
      <c r="CB115" s="46"/>
      <c r="CC115" s="46"/>
      <c r="CD115" s="46"/>
      <c r="CE115" s="46"/>
      <c r="CF115" s="46"/>
      <c r="CG115" s="46"/>
      <c r="CH115" s="46"/>
      <c r="CI115" s="46"/>
      <c r="CJ115" s="46"/>
      <c r="CK115" s="46"/>
      <c r="CL115" s="46"/>
      <c r="CM115" s="46"/>
      <c r="CN115" s="46"/>
      <c r="CO115" s="46"/>
      <c r="CP115" s="46"/>
      <c r="CQ115" s="46"/>
      <c r="CR115" s="46"/>
      <c r="CS115" s="46"/>
      <c r="CT115" s="46"/>
      <c r="CU115" s="46"/>
      <c r="CV115" s="46"/>
      <c r="CW115" s="46"/>
      <c r="CX115" s="46"/>
      <c r="CY115" s="46"/>
      <c r="CZ115" s="46"/>
      <c r="DA115" s="46"/>
      <c r="DB115" s="46"/>
      <c r="DC115" s="46"/>
      <c r="DD115" s="46"/>
      <c r="DE115" s="46"/>
      <c r="DF115" s="46"/>
      <c r="DG115" s="46"/>
      <c r="DH115" s="46"/>
      <c r="DI115" s="46"/>
      <c r="DJ115" s="46"/>
      <c r="DK115" s="46"/>
      <c r="DL115" s="46"/>
      <c r="DM115" s="46"/>
      <c r="DN115" s="46"/>
      <c r="DO115" s="46"/>
      <c r="DP115" s="46"/>
      <c r="DQ115" s="46"/>
      <c r="DR115" s="46"/>
      <c r="DS115" s="46"/>
      <c r="DT115" s="46"/>
      <c r="DU115" s="46"/>
      <c r="DV115" s="46"/>
      <c r="DW115" s="46"/>
      <c r="DX115" s="46"/>
      <c r="DY115" s="46"/>
      <c r="DZ115" s="46"/>
      <c r="EA115" s="46"/>
      <c r="EB115" s="46"/>
      <c r="EC115" s="46"/>
      <c r="ED115" s="46"/>
      <c r="EE115" s="46"/>
      <c r="EF115" s="46"/>
      <c r="EG115" s="46"/>
      <c r="EH115" s="46"/>
      <c r="EI115" s="46"/>
      <c r="EJ115" s="46"/>
      <c r="EK115" s="46"/>
      <c r="EL115" s="46"/>
      <c r="EM115" s="46"/>
    </row>
    <row r="116" spans="1:143" ht="18" customHeight="1">
      <c r="A116" s="47"/>
      <c r="B116" s="51" t="str">
        <f t="shared" si="3"/>
        <v/>
      </c>
      <c r="C116" s="47"/>
      <c r="D116" s="47"/>
      <c r="E116" s="66"/>
      <c r="F116" s="47"/>
      <c r="G116" s="50"/>
      <c r="H116" s="48"/>
      <c r="I116" s="48"/>
      <c r="J116" s="47"/>
      <c r="K116" s="48"/>
      <c r="L116" s="66"/>
      <c r="M116" s="56"/>
      <c r="N116" s="56"/>
      <c r="O116" s="46"/>
      <c r="P116" s="46"/>
      <c r="Q116" s="46"/>
      <c r="R116" s="46"/>
      <c r="S116" s="46"/>
      <c r="T116" s="46"/>
      <c r="U116" s="46"/>
      <c r="V116" s="46"/>
      <c r="W116" s="46"/>
      <c r="X116" s="46"/>
      <c r="Y116" s="46"/>
      <c r="Z116" s="46"/>
      <c r="AA116" s="46"/>
      <c r="AB116" s="46"/>
      <c r="AC116" s="46"/>
      <c r="AD116" s="46"/>
      <c r="AE116" s="46"/>
      <c r="AF116" s="46"/>
      <c r="AG116" s="46"/>
      <c r="AH116" s="46"/>
      <c r="AI116" s="46"/>
      <c r="AJ116" s="46"/>
      <c r="AK116" s="46"/>
      <c r="AL116" s="46"/>
      <c r="AM116" s="46"/>
      <c r="AN116" s="46"/>
      <c r="AO116" s="46"/>
      <c r="AP116" s="46"/>
      <c r="AQ116" s="46"/>
      <c r="AR116" s="46"/>
      <c r="AS116" s="46"/>
      <c r="AT116" s="46"/>
      <c r="AU116" s="46"/>
      <c r="AV116" s="46"/>
      <c r="AW116" s="46"/>
      <c r="AX116" s="46"/>
      <c r="AY116" s="46"/>
      <c r="AZ116" s="46"/>
      <c r="BA116" s="46"/>
      <c r="BB116" s="46"/>
      <c r="BC116" s="46"/>
      <c r="BD116" s="46"/>
      <c r="BE116" s="46"/>
      <c r="BF116" s="46"/>
      <c r="BG116" s="46"/>
      <c r="BH116" s="46"/>
      <c r="BI116" s="46"/>
      <c r="BJ116" s="46"/>
      <c r="BK116" s="46"/>
      <c r="BL116" s="46"/>
      <c r="BM116" s="46"/>
      <c r="BN116" s="46"/>
      <c r="BO116" s="46"/>
      <c r="BP116" s="46"/>
      <c r="BQ116" s="46"/>
      <c r="BR116" s="46"/>
      <c r="BS116" s="46"/>
      <c r="BT116" s="46"/>
      <c r="BU116" s="46"/>
      <c r="BV116" s="46"/>
      <c r="BW116" s="46"/>
      <c r="BX116" s="46"/>
      <c r="BY116" s="46"/>
      <c r="BZ116" s="46"/>
      <c r="CA116" s="46"/>
      <c r="CB116" s="46"/>
      <c r="CC116" s="46"/>
      <c r="CD116" s="46"/>
      <c r="CE116" s="46"/>
      <c r="CF116" s="46"/>
      <c r="CG116" s="46"/>
      <c r="CH116" s="46"/>
      <c r="CI116" s="46"/>
      <c r="CJ116" s="46"/>
      <c r="CK116" s="46"/>
      <c r="CL116" s="46"/>
      <c r="CM116" s="46"/>
      <c r="CN116" s="46"/>
      <c r="CO116" s="46"/>
      <c r="CP116" s="46"/>
      <c r="CQ116" s="46"/>
      <c r="CR116" s="46"/>
      <c r="CS116" s="46"/>
      <c r="CT116" s="46"/>
      <c r="CU116" s="46"/>
      <c r="CV116" s="46"/>
      <c r="CW116" s="46"/>
      <c r="CX116" s="46"/>
      <c r="CY116" s="46"/>
      <c r="CZ116" s="46"/>
      <c r="DA116" s="46"/>
      <c r="DB116" s="46"/>
      <c r="DC116" s="46"/>
      <c r="DD116" s="46"/>
      <c r="DE116" s="46"/>
      <c r="DF116" s="46"/>
      <c r="DG116" s="46"/>
      <c r="DH116" s="46"/>
      <c r="DI116" s="46"/>
      <c r="DJ116" s="46"/>
      <c r="DK116" s="46"/>
      <c r="DL116" s="46"/>
      <c r="DM116" s="46"/>
      <c r="DN116" s="46"/>
      <c r="DO116" s="46"/>
      <c r="DP116" s="46"/>
      <c r="DQ116" s="46"/>
      <c r="DR116" s="46"/>
      <c r="DS116" s="46"/>
      <c r="DT116" s="46"/>
      <c r="DU116" s="46"/>
      <c r="DV116" s="46"/>
      <c r="DW116" s="46"/>
      <c r="DX116" s="46"/>
      <c r="DY116" s="46"/>
      <c r="DZ116" s="46"/>
      <c r="EA116" s="46"/>
      <c r="EB116" s="46"/>
      <c r="EC116" s="46"/>
      <c r="ED116" s="46"/>
      <c r="EE116" s="46"/>
      <c r="EF116" s="46"/>
      <c r="EG116" s="46"/>
      <c r="EH116" s="46"/>
      <c r="EI116" s="46"/>
      <c r="EJ116" s="46"/>
      <c r="EK116" s="46"/>
      <c r="EL116" s="46"/>
      <c r="EM116" s="46"/>
    </row>
    <row r="117" spans="1:143" ht="18" customHeight="1">
      <c r="A117" s="47"/>
      <c r="B117" s="51" t="str">
        <f t="shared" si="3"/>
        <v/>
      </c>
      <c r="C117" s="47"/>
      <c r="D117" s="47"/>
      <c r="E117" s="66"/>
      <c r="F117" s="47"/>
      <c r="G117" s="50"/>
      <c r="H117" s="48"/>
      <c r="I117" s="48"/>
      <c r="J117" s="47"/>
      <c r="K117" s="48"/>
      <c r="L117" s="66"/>
      <c r="M117" s="56"/>
      <c r="N117" s="56"/>
      <c r="O117" s="46"/>
      <c r="P117" s="46"/>
      <c r="Q117" s="46"/>
      <c r="R117" s="46"/>
      <c r="S117" s="46"/>
      <c r="T117" s="46"/>
      <c r="U117" s="46"/>
      <c r="V117" s="46"/>
      <c r="W117" s="46"/>
      <c r="X117" s="46"/>
      <c r="Y117" s="46"/>
      <c r="Z117" s="46"/>
      <c r="AA117" s="46"/>
      <c r="AB117" s="46"/>
      <c r="AC117" s="46"/>
      <c r="AD117" s="46"/>
      <c r="AE117" s="46"/>
      <c r="AF117" s="46"/>
      <c r="AG117" s="46"/>
      <c r="AH117" s="46"/>
      <c r="AI117" s="46"/>
      <c r="AJ117" s="46"/>
      <c r="AK117" s="46"/>
      <c r="AL117" s="46"/>
      <c r="AM117" s="46"/>
      <c r="AN117" s="46"/>
      <c r="AO117" s="46"/>
      <c r="AP117" s="46"/>
      <c r="AQ117" s="46"/>
      <c r="AR117" s="46"/>
      <c r="AS117" s="46"/>
      <c r="AT117" s="46"/>
      <c r="AU117" s="46"/>
      <c r="AV117" s="46"/>
      <c r="AW117" s="46"/>
      <c r="AX117" s="46"/>
      <c r="AY117" s="46"/>
      <c r="AZ117" s="46"/>
      <c r="BA117" s="46"/>
      <c r="BB117" s="46"/>
      <c r="BC117" s="46"/>
      <c r="BD117" s="46"/>
      <c r="BE117" s="46"/>
      <c r="BF117" s="46"/>
      <c r="BG117" s="46"/>
      <c r="BH117" s="46"/>
      <c r="BI117" s="46"/>
      <c r="BJ117" s="46"/>
      <c r="BK117" s="46"/>
      <c r="BL117" s="46"/>
      <c r="BM117" s="46"/>
      <c r="BN117" s="46"/>
      <c r="BO117" s="46"/>
      <c r="BP117" s="46"/>
      <c r="BQ117" s="46"/>
      <c r="BR117" s="46"/>
      <c r="BS117" s="46"/>
      <c r="BT117" s="46"/>
      <c r="BU117" s="46"/>
      <c r="BV117" s="46"/>
      <c r="BW117" s="46"/>
      <c r="BX117" s="46"/>
      <c r="BY117" s="46"/>
      <c r="BZ117" s="46"/>
      <c r="CA117" s="46"/>
      <c r="CB117" s="46"/>
      <c r="CC117" s="46"/>
      <c r="CD117" s="46"/>
      <c r="CE117" s="46"/>
      <c r="CF117" s="46"/>
      <c r="CG117" s="46"/>
      <c r="CH117" s="46"/>
      <c r="CI117" s="46"/>
      <c r="CJ117" s="46"/>
      <c r="CK117" s="46"/>
      <c r="CL117" s="46"/>
      <c r="CM117" s="46"/>
      <c r="CN117" s="46"/>
      <c r="CO117" s="46"/>
      <c r="CP117" s="46"/>
      <c r="CQ117" s="46"/>
      <c r="CR117" s="46"/>
      <c r="CS117" s="46"/>
      <c r="CT117" s="46"/>
      <c r="CU117" s="46"/>
      <c r="CV117" s="46"/>
      <c r="CW117" s="46"/>
      <c r="CX117" s="46"/>
      <c r="CY117" s="46"/>
      <c r="CZ117" s="46"/>
      <c r="DA117" s="46"/>
      <c r="DB117" s="46"/>
      <c r="DC117" s="46"/>
      <c r="DD117" s="46"/>
      <c r="DE117" s="46"/>
      <c r="DF117" s="46"/>
      <c r="DG117" s="46"/>
      <c r="DH117" s="46"/>
      <c r="DI117" s="46"/>
      <c r="DJ117" s="46"/>
      <c r="DK117" s="46"/>
      <c r="DL117" s="46"/>
      <c r="DM117" s="46"/>
      <c r="DN117" s="46"/>
      <c r="DO117" s="46"/>
      <c r="DP117" s="46"/>
      <c r="DQ117" s="46"/>
      <c r="DR117" s="46"/>
      <c r="DS117" s="46"/>
      <c r="DT117" s="46"/>
      <c r="DU117" s="46"/>
      <c r="DV117" s="46"/>
      <c r="DW117" s="46"/>
      <c r="DX117" s="46"/>
      <c r="DY117" s="46"/>
      <c r="DZ117" s="46"/>
      <c r="EA117" s="46"/>
      <c r="EB117" s="46"/>
      <c r="EC117" s="46"/>
      <c r="ED117" s="46"/>
      <c r="EE117" s="46"/>
      <c r="EF117" s="46"/>
      <c r="EG117" s="46"/>
      <c r="EH117" s="46"/>
      <c r="EI117" s="46"/>
      <c r="EJ117" s="46"/>
      <c r="EK117" s="46"/>
      <c r="EL117" s="46"/>
      <c r="EM117" s="46"/>
    </row>
    <row r="118" spans="1:143" ht="18" customHeight="1">
      <c r="A118" s="47"/>
      <c r="B118" s="51" t="str">
        <f t="shared" si="3"/>
        <v/>
      </c>
      <c r="C118" s="47"/>
      <c r="D118" s="47"/>
      <c r="E118" s="66"/>
      <c r="F118" s="47"/>
      <c r="G118" s="50"/>
      <c r="H118" s="48"/>
      <c r="I118" s="48"/>
      <c r="J118" s="47"/>
      <c r="K118" s="48"/>
      <c r="L118" s="66"/>
      <c r="M118" s="56"/>
      <c r="N118" s="56"/>
      <c r="O118" s="46"/>
      <c r="P118" s="46"/>
      <c r="Q118" s="46"/>
      <c r="R118" s="46"/>
      <c r="S118" s="46"/>
      <c r="T118" s="46"/>
      <c r="U118" s="46"/>
      <c r="V118" s="46"/>
      <c r="W118" s="46"/>
      <c r="X118" s="46"/>
      <c r="Y118" s="46"/>
      <c r="Z118" s="46"/>
      <c r="AA118" s="46"/>
      <c r="AB118" s="46"/>
      <c r="AC118" s="46"/>
      <c r="AD118" s="46"/>
      <c r="AE118" s="46"/>
      <c r="AF118" s="46"/>
      <c r="AG118" s="46"/>
      <c r="AH118" s="46"/>
      <c r="AI118" s="46"/>
      <c r="AJ118" s="46"/>
      <c r="AK118" s="46"/>
      <c r="AL118" s="46"/>
      <c r="AM118" s="46"/>
      <c r="AN118" s="46"/>
      <c r="AO118" s="46"/>
      <c r="AP118" s="46"/>
      <c r="AQ118" s="46"/>
      <c r="AR118" s="46"/>
      <c r="AS118" s="46"/>
      <c r="AT118" s="46"/>
      <c r="AU118" s="46"/>
      <c r="AV118" s="46"/>
      <c r="AW118" s="46"/>
      <c r="AX118" s="46"/>
      <c r="AY118" s="46"/>
      <c r="AZ118" s="46"/>
      <c r="BA118" s="46"/>
      <c r="BB118" s="46"/>
      <c r="BC118" s="46"/>
      <c r="BD118" s="46"/>
      <c r="BE118" s="46"/>
      <c r="BF118" s="46"/>
      <c r="BG118" s="46"/>
      <c r="BH118" s="46"/>
      <c r="BI118" s="46"/>
      <c r="BJ118" s="46"/>
      <c r="BK118" s="46"/>
      <c r="BL118" s="46"/>
      <c r="BM118" s="46"/>
      <c r="BN118" s="46"/>
      <c r="BO118" s="46"/>
      <c r="BP118" s="46"/>
      <c r="BQ118" s="46"/>
      <c r="BR118" s="46"/>
      <c r="BS118" s="46"/>
      <c r="BT118" s="46"/>
      <c r="BU118" s="46"/>
      <c r="BV118" s="46"/>
      <c r="BW118" s="46"/>
      <c r="BX118" s="46"/>
      <c r="BY118" s="46"/>
      <c r="BZ118" s="46"/>
      <c r="CA118" s="46"/>
      <c r="CB118" s="46"/>
      <c r="CC118" s="46"/>
      <c r="CD118" s="46"/>
      <c r="CE118" s="46"/>
      <c r="CF118" s="46"/>
      <c r="CG118" s="46"/>
      <c r="CH118" s="46"/>
      <c r="CI118" s="46"/>
      <c r="CJ118" s="46"/>
      <c r="CK118" s="46"/>
      <c r="CL118" s="46"/>
      <c r="CM118" s="46"/>
      <c r="CN118" s="46"/>
      <c r="CO118" s="46"/>
      <c r="CP118" s="46"/>
      <c r="CQ118" s="46"/>
      <c r="CR118" s="46"/>
      <c r="CS118" s="46"/>
      <c r="CT118" s="46"/>
      <c r="CU118" s="46"/>
      <c r="CV118" s="46"/>
      <c r="CW118" s="46"/>
      <c r="CX118" s="46"/>
      <c r="CY118" s="46"/>
      <c r="CZ118" s="46"/>
      <c r="DA118" s="46"/>
      <c r="DB118" s="46"/>
      <c r="DC118" s="46"/>
      <c r="DD118" s="46"/>
      <c r="DE118" s="46"/>
      <c r="DF118" s="46"/>
      <c r="DG118" s="46"/>
      <c r="DH118" s="46"/>
      <c r="DI118" s="46"/>
      <c r="DJ118" s="46"/>
      <c r="DK118" s="46"/>
      <c r="DL118" s="46"/>
      <c r="DM118" s="46"/>
      <c r="DN118" s="46"/>
      <c r="DO118" s="46"/>
      <c r="DP118" s="46"/>
      <c r="DQ118" s="46"/>
      <c r="DR118" s="46"/>
      <c r="DS118" s="46"/>
      <c r="DT118" s="46"/>
      <c r="DU118" s="46"/>
      <c r="DV118" s="46"/>
      <c r="DW118" s="46"/>
      <c r="DX118" s="46"/>
      <c r="DY118" s="46"/>
      <c r="DZ118" s="46"/>
      <c r="EA118" s="46"/>
      <c r="EB118" s="46"/>
      <c r="EC118" s="46"/>
      <c r="ED118" s="46"/>
      <c r="EE118" s="46"/>
      <c r="EF118" s="46"/>
      <c r="EG118" s="46"/>
      <c r="EH118" s="46"/>
      <c r="EI118" s="46"/>
      <c r="EJ118" s="46"/>
      <c r="EK118" s="46"/>
      <c r="EL118" s="46"/>
      <c r="EM118" s="46"/>
    </row>
    <row r="119" spans="1:143" ht="18" customHeight="1">
      <c r="A119" s="47"/>
      <c r="B119" s="51" t="str">
        <f t="shared" si="3"/>
        <v/>
      </c>
      <c r="C119" s="47"/>
      <c r="D119" s="47"/>
      <c r="E119" s="66"/>
      <c r="F119" s="47"/>
      <c r="G119" s="50"/>
      <c r="H119" s="48"/>
      <c r="I119" s="48"/>
      <c r="J119" s="47"/>
      <c r="K119" s="48"/>
      <c r="L119" s="66"/>
      <c r="M119" s="56"/>
      <c r="N119" s="56"/>
      <c r="O119" s="46"/>
      <c r="P119" s="46"/>
      <c r="Q119" s="46"/>
      <c r="R119" s="46"/>
      <c r="S119" s="46"/>
      <c r="T119" s="46"/>
      <c r="U119" s="46"/>
      <c r="V119" s="46"/>
      <c r="W119" s="46"/>
      <c r="X119" s="46"/>
      <c r="Y119" s="46"/>
      <c r="Z119" s="46"/>
      <c r="AA119" s="46"/>
      <c r="AB119" s="46"/>
      <c r="AC119" s="46"/>
      <c r="AD119" s="46"/>
      <c r="AE119" s="46"/>
      <c r="AF119" s="46"/>
      <c r="AG119" s="46"/>
      <c r="AH119" s="46"/>
      <c r="AI119" s="46"/>
      <c r="AJ119" s="46"/>
      <c r="AK119" s="46"/>
      <c r="AL119" s="46"/>
      <c r="AM119" s="46"/>
      <c r="AN119" s="46"/>
      <c r="AO119" s="46"/>
      <c r="AP119" s="46"/>
      <c r="AQ119" s="46"/>
      <c r="AR119" s="46"/>
      <c r="AS119" s="46"/>
      <c r="AT119" s="46"/>
      <c r="AU119" s="46"/>
      <c r="AV119" s="46"/>
      <c r="AW119" s="46"/>
      <c r="AX119" s="46"/>
      <c r="AY119" s="46"/>
      <c r="AZ119" s="46"/>
      <c r="BA119" s="46"/>
      <c r="BB119" s="46"/>
      <c r="BC119" s="46"/>
      <c r="BD119" s="46"/>
      <c r="BE119" s="46"/>
      <c r="BF119" s="46"/>
      <c r="BG119" s="46"/>
      <c r="BH119" s="46"/>
      <c r="BI119" s="46"/>
      <c r="BJ119" s="46"/>
      <c r="BK119" s="46"/>
      <c r="BL119" s="46"/>
      <c r="BM119" s="46"/>
      <c r="BN119" s="46"/>
      <c r="BO119" s="46"/>
      <c r="BP119" s="46"/>
      <c r="BQ119" s="46"/>
      <c r="BR119" s="46"/>
      <c r="BS119" s="46"/>
      <c r="BT119" s="46"/>
      <c r="BU119" s="46"/>
      <c r="BV119" s="46"/>
      <c r="BW119" s="46"/>
      <c r="BX119" s="46"/>
      <c r="BY119" s="46"/>
      <c r="BZ119" s="46"/>
      <c r="CA119" s="46"/>
      <c r="CB119" s="46"/>
      <c r="CC119" s="46"/>
      <c r="CD119" s="46"/>
      <c r="CE119" s="46"/>
      <c r="CF119" s="46"/>
      <c r="CG119" s="46"/>
      <c r="CH119" s="46"/>
      <c r="CI119" s="46"/>
      <c r="CJ119" s="46"/>
      <c r="CK119" s="46"/>
      <c r="CL119" s="46"/>
      <c r="CM119" s="46"/>
      <c r="CN119" s="46"/>
      <c r="CO119" s="46"/>
      <c r="CP119" s="46"/>
      <c r="CQ119" s="46"/>
      <c r="CR119" s="46"/>
      <c r="CS119" s="46"/>
      <c r="CT119" s="46"/>
      <c r="CU119" s="46"/>
      <c r="CV119" s="46"/>
      <c r="CW119" s="46"/>
      <c r="CX119" s="46"/>
      <c r="CY119" s="46"/>
      <c r="CZ119" s="46"/>
      <c r="DA119" s="46"/>
      <c r="DB119" s="46"/>
      <c r="DC119" s="46"/>
      <c r="DD119" s="46"/>
      <c r="DE119" s="46"/>
      <c r="DF119" s="46"/>
      <c r="DG119" s="46"/>
      <c r="DH119" s="46"/>
      <c r="DI119" s="46"/>
      <c r="DJ119" s="46"/>
      <c r="DK119" s="46"/>
      <c r="DL119" s="46"/>
      <c r="DM119" s="46"/>
      <c r="DN119" s="46"/>
      <c r="DO119" s="46"/>
      <c r="DP119" s="46"/>
      <c r="DQ119" s="46"/>
      <c r="DR119" s="46"/>
      <c r="DS119" s="46"/>
      <c r="DT119" s="46"/>
      <c r="DU119" s="46"/>
      <c r="DV119" s="46"/>
      <c r="DW119" s="46"/>
      <c r="DX119" s="46"/>
      <c r="DY119" s="46"/>
      <c r="DZ119" s="46"/>
      <c r="EA119" s="46"/>
      <c r="EB119" s="46"/>
      <c r="EC119" s="46"/>
      <c r="ED119" s="46"/>
      <c r="EE119" s="46"/>
      <c r="EF119" s="46"/>
      <c r="EG119" s="46"/>
      <c r="EH119" s="46"/>
      <c r="EI119" s="46"/>
      <c r="EJ119" s="46"/>
      <c r="EK119" s="46"/>
      <c r="EL119" s="46"/>
      <c r="EM119" s="46"/>
    </row>
    <row r="120" spans="1:143" ht="18" customHeight="1">
      <c r="A120" s="47"/>
      <c r="B120" s="51" t="str">
        <f t="shared" si="3"/>
        <v/>
      </c>
      <c r="C120" s="47"/>
      <c r="D120" s="47"/>
      <c r="E120" s="66"/>
      <c r="F120" s="47"/>
      <c r="G120" s="50"/>
      <c r="H120" s="48"/>
      <c r="I120" s="48"/>
      <c r="J120" s="47"/>
      <c r="K120" s="48"/>
      <c r="L120" s="66"/>
      <c r="M120" s="56"/>
      <c r="N120" s="56"/>
      <c r="O120" s="46"/>
      <c r="P120" s="46"/>
      <c r="Q120" s="46"/>
      <c r="R120" s="46"/>
      <c r="S120" s="46"/>
      <c r="T120" s="46"/>
      <c r="U120" s="46"/>
      <c r="V120" s="46"/>
      <c r="W120" s="46"/>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c r="BF120" s="46"/>
      <c r="BG120" s="46"/>
      <c r="BH120" s="46"/>
      <c r="BI120" s="46"/>
      <c r="BJ120" s="46"/>
      <c r="BK120" s="46"/>
      <c r="BL120" s="46"/>
      <c r="BM120" s="46"/>
      <c r="BN120" s="46"/>
      <c r="BO120" s="46"/>
      <c r="BP120" s="46"/>
      <c r="BQ120" s="46"/>
      <c r="BR120" s="46"/>
      <c r="BS120" s="46"/>
      <c r="BT120" s="46"/>
      <c r="BU120" s="46"/>
      <c r="BV120" s="46"/>
      <c r="BW120" s="46"/>
      <c r="BX120" s="46"/>
      <c r="BY120" s="46"/>
      <c r="BZ120" s="46"/>
      <c r="CA120" s="46"/>
      <c r="CB120" s="46"/>
      <c r="CC120" s="46"/>
      <c r="CD120" s="46"/>
      <c r="CE120" s="46"/>
      <c r="CF120" s="46"/>
      <c r="CG120" s="46"/>
      <c r="CH120" s="46"/>
      <c r="CI120" s="46"/>
      <c r="CJ120" s="46"/>
      <c r="CK120" s="46"/>
      <c r="CL120" s="46"/>
      <c r="CM120" s="46"/>
      <c r="CN120" s="46"/>
      <c r="CO120" s="46"/>
      <c r="CP120" s="46"/>
      <c r="CQ120" s="46"/>
      <c r="CR120" s="46"/>
      <c r="CS120" s="46"/>
      <c r="CT120" s="46"/>
      <c r="CU120" s="46"/>
      <c r="CV120" s="46"/>
      <c r="CW120" s="46"/>
      <c r="CX120" s="46"/>
      <c r="CY120" s="46"/>
      <c r="CZ120" s="46"/>
      <c r="DA120" s="46"/>
      <c r="DB120" s="46"/>
      <c r="DC120" s="46"/>
      <c r="DD120" s="46"/>
      <c r="DE120" s="46"/>
      <c r="DF120" s="46"/>
      <c r="DG120" s="46"/>
      <c r="DH120" s="46"/>
      <c r="DI120" s="46"/>
      <c r="DJ120" s="46"/>
      <c r="DK120" s="46"/>
      <c r="DL120" s="46"/>
      <c r="DM120" s="46"/>
      <c r="DN120" s="46"/>
      <c r="DO120" s="46"/>
      <c r="DP120" s="46"/>
      <c r="DQ120" s="46"/>
      <c r="DR120" s="46"/>
      <c r="DS120" s="46"/>
      <c r="DT120" s="46"/>
      <c r="DU120" s="46"/>
      <c r="DV120" s="46"/>
      <c r="DW120" s="46"/>
      <c r="DX120" s="46"/>
      <c r="DY120" s="46"/>
      <c r="DZ120" s="46"/>
      <c r="EA120" s="46"/>
      <c r="EB120" s="46"/>
      <c r="EC120" s="46"/>
      <c r="ED120" s="46"/>
      <c r="EE120" s="46"/>
      <c r="EF120" s="46"/>
      <c r="EG120" s="46"/>
      <c r="EH120" s="46"/>
      <c r="EI120" s="46"/>
      <c r="EJ120" s="46"/>
      <c r="EK120" s="46"/>
      <c r="EL120" s="46"/>
      <c r="EM120" s="46"/>
    </row>
    <row r="121" spans="1:143" ht="18" customHeight="1">
      <c r="A121" s="47"/>
      <c r="B121" s="51" t="str">
        <f t="shared" si="3"/>
        <v/>
      </c>
      <c r="C121" s="47"/>
      <c r="D121" s="47"/>
      <c r="E121" s="66"/>
      <c r="F121" s="47"/>
      <c r="G121" s="50"/>
      <c r="H121" s="48"/>
      <c r="I121" s="48"/>
      <c r="J121" s="47"/>
      <c r="K121" s="48"/>
      <c r="L121" s="66"/>
      <c r="M121" s="56"/>
      <c r="N121" s="56"/>
      <c r="O121" s="46"/>
      <c r="P121" s="46"/>
      <c r="Q121" s="46"/>
      <c r="R121" s="46"/>
      <c r="S121" s="46"/>
      <c r="T121" s="46"/>
      <c r="U121" s="46"/>
      <c r="V121" s="46"/>
      <c r="W121" s="46"/>
      <c r="X121" s="46"/>
      <c r="Y121" s="46"/>
      <c r="Z121" s="46"/>
      <c r="AA121" s="46"/>
      <c r="AB121" s="46"/>
      <c r="AC121" s="46"/>
      <c r="AD121" s="46"/>
      <c r="AE121" s="46"/>
      <c r="AF121" s="46"/>
      <c r="AG121" s="46"/>
      <c r="AH121" s="46"/>
      <c r="AI121" s="46"/>
      <c r="AJ121" s="46"/>
      <c r="AK121" s="46"/>
      <c r="AL121" s="46"/>
      <c r="AM121" s="46"/>
      <c r="AN121" s="46"/>
      <c r="AO121" s="46"/>
      <c r="AP121" s="46"/>
      <c r="AQ121" s="46"/>
      <c r="AR121" s="46"/>
      <c r="AS121" s="46"/>
      <c r="AT121" s="46"/>
      <c r="AU121" s="46"/>
      <c r="AV121" s="46"/>
      <c r="AW121" s="46"/>
      <c r="AX121" s="46"/>
      <c r="AY121" s="46"/>
      <c r="AZ121" s="46"/>
      <c r="BA121" s="46"/>
      <c r="BB121" s="46"/>
      <c r="BC121" s="46"/>
      <c r="BD121" s="46"/>
      <c r="BE121" s="46"/>
      <c r="BF121" s="46"/>
      <c r="BG121" s="46"/>
      <c r="BH121" s="46"/>
      <c r="BI121" s="46"/>
      <c r="BJ121" s="46"/>
      <c r="BK121" s="46"/>
      <c r="BL121" s="46"/>
      <c r="BM121" s="46"/>
      <c r="BN121" s="46"/>
      <c r="BO121" s="46"/>
      <c r="BP121" s="46"/>
      <c r="BQ121" s="46"/>
      <c r="BR121" s="46"/>
      <c r="BS121" s="46"/>
      <c r="BT121" s="46"/>
      <c r="BU121" s="46"/>
      <c r="BV121" s="46"/>
      <c r="BW121" s="46"/>
      <c r="BX121" s="46"/>
      <c r="BY121" s="46"/>
      <c r="BZ121" s="46"/>
      <c r="CA121" s="46"/>
      <c r="CB121" s="46"/>
      <c r="CC121" s="46"/>
      <c r="CD121" s="46"/>
      <c r="CE121" s="46"/>
      <c r="CF121" s="46"/>
      <c r="CG121" s="46"/>
      <c r="CH121" s="46"/>
      <c r="CI121" s="46"/>
      <c r="CJ121" s="46"/>
      <c r="CK121" s="46"/>
      <c r="CL121" s="46"/>
      <c r="CM121" s="46"/>
      <c r="CN121" s="46"/>
      <c r="CO121" s="46"/>
      <c r="CP121" s="46"/>
      <c r="CQ121" s="46"/>
      <c r="CR121" s="46"/>
      <c r="CS121" s="46"/>
      <c r="CT121" s="46"/>
      <c r="CU121" s="46"/>
      <c r="CV121" s="46"/>
      <c r="CW121" s="46"/>
      <c r="CX121" s="46"/>
      <c r="CY121" s="46"/>
      <c r="CZ121" s="46"/>
      <c r="DA121" s="46"/>
      <c r="DB121" s="46"/>
      <c r="DC121" s="46"/>
      <c r="DD121" s="46"/>
      <c r="DE121" s="46"/>
      <c r="DF121" s="46"/>
      <c r="DG121" s="46"/>
      <c r="DH121" s="46"/>
      <c r="DI121" s="46"/>
      <c r="DJ121" s="46"/>
      <c r="DK121" s="46"/>
      <c r="DL121" s="46"/>
      <c r="DM121" s="46"/>
      <c r="DN121" s="46"/>
      <c r="DO121" s="46"/>
      <c r="DP121" s="46"/>
      <c r="DQ121" s="46"/>
      <c r="DR121" s="46"/>
      <c r="DS121" s="46"/>
      <c r="DT121" s="46"/>
      <c r="DU121" s="46"/>
      <c r="DV121" s="46"/>
      <c r="DW121" s="46"/>
      <c r="DX121" s="46"/>
      <c r="DY121" s="46"/>
      <c r="DZ121" s="46"/>
      <c r="EA121" s="46"/>
      <c r="EB121" s="46"/>
      <c r="EC121" s="46"/>
      <c r="ED121" s="46"/>
      <c r="EE121" s="46"/>
      <c r="EF121" s="46"/>
      <c r="EG121" s="46"/>
      <c r="EH121" s="46"/>
      <c r="EI121" s="46"/>
      <c r="EJ121" s="46"/>
      <c r="EK121" s="46"/>
      <c r="EL121" s="46"/>
      <c r="EM121" s="46"/>
    </row>
    <row r="122" spans="1:143" ht="18" customHeight="1">
      <c r="A122" s="47"/>
      <c r="B122" s="51" t="str">
        <f t="shared" si="3"/>
        <v/>
      </c>
      <c r="C122" s="47"/>
      <c r="D122" s="47"/>
      <c r="E122" s="66"/>
      <c r="F122" s="47"/>
      <c r="G122" s="50"/>
      <c r="H122" s="48"/>
      <c r="I122" s="48"/>
      <c r="J122" s="47"/>
      <c r="K122" s="48"/>
      <c r="L122" s="66"/>
      <c r="M122" s="56"/>
      <c r="N122" s="56"/>
      <c r="O122" s="46"/>
      <c r="P122" s="46"/>
      <c r="Q122" s="46"/>
      <c r="R122" s="46"/>
      <c r="S122" s="46"/>
      <c r="T122" s="46"/>
      <c r="U122" s="46"/>
      <c r="V122" s="46"/>
      <c r="W122" s="46"/>
      <c r="X122" s="46"/>
      <c r="Y122" s="46"/>
      <c r="Z122" s="46"/>
      <c r="AA122" s="46"/>
      <c r="AB122" s="46"/>
      <c r="AC122" s="46"/>
      <c r="AD122" s="46"/>
      <c r="AE122" s="46"/>
      <c r="AF122" s="46"/>
      <c r="AG122" s="46"/>
      <c r="AH122" s="46"/>
      <c r="AI122" s="46"/>
      <c r="AJ122" s="46"/>
      <c r="AK122" s="46"/>
      <c r="AL122" s="46"/>
      <c r="AM122" s="46"/>
      <c r="AN122" s="46"/>
      <c r="AO122" s="46"/>
      <c r="AP122" s="46"/>
      <c r="AQ122" s="46"/>
      <c r="AR122" s="46"/>
      <c r="AS122" s="46"/>
      <c r="AT122" s="46"/>
      <c r="AU122" s="46"/>
      <c r="AV122" s="46"/>
      <c r="AW122" s="46"/>
      <c r="AX122" s="46"/>
      <c r="AY122" s="46"/>
      <c r="AZ122" s="46"/>
      <c r="BA122" s="46"/>
      <c r="BB122" s="46"/>
      <c r="BC122" s="46"/>
      <c r="BD122" s="46"/>
      <c r="BE122" s="46"/>
      <c r="BF122" s="46"/>
      <c r="BG122" s="46"/>
      <c r="BH122" s="46"/>
      <c r="BI122" s="46"/>
      <c r="BJ122" s="46"/>
      <c r="BK122" s="46"/>
      <c r="BL122" s="46"/>
      <c r="BM122" s="46"/>
      <c r="BN122" s="46"/>
      <c r="BO122" s="46"/>
      <c r="BP122" s="46"/>
      <c r="BQ122" s="46"/>
      <c r="BR122" s="46"/>
      <c r="BS122" s="46"/>
      <c r="BT122" s="46"/>
      <c r="BU122" s="46"/>
      <c r="BV122" s="46"/>
      <c r="BW122" s="46"/>
      <c r="BX122" s="46"/>
      <c r="BY122" s="46"/>
      <c r="BZ122" s="46"/>
      <c r="CA122" s="46"/>
      <c r="CB122" s="46"/>
      <c r="CC122" s="46"/>
      <c r="CD122" s="46"/>
      <c r="CE122" s="46"/>
      <c r="CF122" s="46"/>
      <c r="CG122" s="46"/>
      <c r="CH122" s="46"/>
      <c r="CI122" s="46"/>
      <c r="CJ122" s="46"/>
      <c r="CK122" s="46"/>
      <c r="CL122" s="46"/>
      <c r="CM122" s="46"/>
      <c r="CN122" s="46"/>
      <c r="CO122" s="46"/>
      <c r="CP122" s="46"/>
      <c r="CQ122" s="46"/>
      <c r="CR122" s="46"/>
      <c r="CS122" s="46"/>
      <c r="CT122" s="46"/>
      <c r="CU122" s="46"/>
      <c r="CV122" s="46"/>
      <c r="CW122" s="46"/>
      <c r="CX122" s="46"/>
      <c r="CY122" s="46"/>
      <c r="CZ122" s="46"/>
      <c r="DA122" s="46"/>
      <c r="DB122" s="46"/>
      <c r="DC122" s="46"/>
      <c r="DD122" s="46"/>
      <c r="DE122" s="46"/>
      <c r="DF122" s="46"/>
      <c r="DG122" s="46"/>
      <c r="DH122" s="46"/>
      <c r="DI122" s="46"/>
      <c r="DJ122" s="46"/>
      <c r="DK122" s="46"/>
      <c r="DL122" s="46"/>
      <c r="DM122" s="46"/>
      <c r="DN122" s="46"/>
      <c r="DO122" s="46"/>
      <c r="DP122" s="46"/>
      <c r="DQ122" s="46"/>
      <c r="DR122" s="46"/>
      <c r="DS122" s="46"/>
      <c r="DT122" s="46"/>
      <c r="DU122" s="46"/>
      <c r="DV122" s="46"/>
      <c r="DW122" s="46"/>
      <c r="DX122" s="46"/>
      <c r="DY122" s="46"/>
      <c r="DZ122" s="46"/>
      <c r="EA122" s="46"/>
      <c r="EB122" s="46"/>
      <c r="EC122" s="46"/>
      <c r="ED122" s="46"/>
      <c r="EE122" s="46"/>
      <c r="EF122" s="46"/>
      <c r="EG122" s="46"/>
      <c r="EH122" s="46"/>
      <c r="EI122" s="46"/>
      <c r="EJ122" s="46"/>
      <c r="EK122" s="46"/>
      <c r="EL122" s="46"/>
      <c r="EM122" s="46"/>
    </row>
    <row r="123" spans="1:143" ht="18" customHeight="1">
      <c r="A123" s="47"/>
      <c r="B123" s="51" t="str">
        <f t="shared" si="3"/>
        <v/>
      </c>
      <c r="C123" s="47"/>
      <c r="D123" s="47"/>
      <c r="E123" s="66"/>
      <c r="F123" s="47"/>
      <c r="G123" s="50"/>
      <c r="H123" s="48"/>
      <c r="I123" s="48"/>
      <c r="J123" s="47"/>
      <c r="K123" s="48"/>
      <c r="L123" s="66"/>
      <c r="M123" s="56"/>
      <c r="N123" s="56"/>
      <c r="O123" s="46"/>
      <c r="P123" s="46"/>
      <c r="Q123" s="46"/>
      <c r="R123" s="46"/>
      <c r="S123" s="46"/>
      <c r="T123" s="46"/>
      <c r="U123" s="46"/>
      <c r="V123" s="46"/>
      <c r="W123" s="46"/>
      <c r="X123" s="46"/>
      <c r="Y123" s="46"/>
      <c r="Z123" s="46"/>
      <c r="AA123" s="46"/>
      <c r="AB123" s="46"/>
      <c r="AC123" s="46"/>
      <c r="AD123" s="46"/>
      <c r="AE123" s="46"/>
      <c r="AF123" s="46"/>
      <c r="AG123" s="46"/>
      <c r="AH123" s="46"/>
      <c r="AI123" s="46"/>
      <c r="AJ123" s="46"/>
      <c r="AK123" s="46"/>
      <c r="AL123" s="46"/>
      <c r="AM123" s="46"/>
      <c r="AN123" s="46"/>
      <c r="AO123" s="46"/>
      <c r="AP123" s="46"/>
      <c r="AQ123" s="46"/>
      <c r="AR123" s="46"/>
      <c r="AS123" s="46"/>
      <c r="AT123" s="46"/>
      <c r="AU123" s="46"/>
      <c r="AV123" s="46"/>
      <c r="AW123" s="46"/>
      <c r="AX123" s="46"/>
      <c r="AY123" s="46"/>
      <c r="AZ123" s="46"/>
      <c r="BA123" s="46"/>
      <c r="BB123" s="46"/>
      <c r="BC123" s="46"/>
      <c r="BD123" s="46"/>
      <c r="BE123" s="46"/>
      <c r="BF123" s="46"/>
      <c r="BG123" s="46"/>
      <c r="BH123" s="46"/>
      <c r="BI123" s="46"/>
      <c r="BJ123" s="46"/>
      <c r="BK123" s="46"/>
      <c r="BL123" s="46"/>
      <c r="BM123" s="46"/>
      <c r="BN123" s="46"/>
      <c r="BO123" s="46"/>
      <c r="BP123" s="46"/>
      <c r="BQ123" s="46"/>
      <c r="BR123" s="46"/>
      <c r="BS123" s="46"/>
      <c r="BT123" s="46"/>
      <c r="BU123" s="46"/>
      <c r="BV123" s="46"/>
      <c r="BW123" s="46"/>
      <c r="BX123" s="46"/>
      <c r="BY123" s="46"/>
      <c r="BZ123" s="46"/>
      <c r="CA123" s="46"/>
      <c r="CB123" s="46"/>
      <c r="CC123" s="46"/>
      <c r="CD123" s="46"/>
      <c r="CE123" s="46"/>
      <c r="CF123" s="46"/>
      <c r="CG123" s="46"/>
      <c r="CH123" s="46"/>
      <c r="CI123" s="46"/>
      <c r="CJ123" s="46"/>
      <c r="CK123" s="46"/>
      <c r="CL123" s="46"/>
      <c r="CM123" s="46"/>
      <c r="CN123" s="46"/>
      <c r="CO123" s="46"/>
      <c r="CP123" s="46"/>
      <c r="CQ123" s="46"/>
      <c r="CR123" s="46"/>
      <c r="CS123" s="46"/>
      <c r="CT123" s="46"/>
      <c r="CU123" s="46"/>
      <c r="CV123" s="46"/>
      <c r="CW123" s="46"/>
      <c r="CX123" s="46"/>
      <c r="CY123" s="46"/>
      <c r="CZ123" s="46"/>
      <c r="DA123" s="46"/>
      <c r="DB123" s="46"/>
      <c r="DC123" s="46"/>
      <c r="DD123" s="46"/>
      <c r="DE123" s="46"/>
      <c r="DF123" s="46"/>
      <c r="DG123" s="46"/>
      <c r="DH123" s="46"/>
      <c r="DI123" s="46"/>
      <c r="DJ123" s="46"/>
      <c r="DK123" s="46"/>
      <c r="DL123" s="46"/>
      <c r="DM123" s="46"/>
      <c r="DN123" s="46"/>
      <c r="DO123" s="46"/>
      <c r="DP123" s="46"/>
      <c r="DQ123" s="46"/>
      <c r="DR123" s="46"/>
      <c r="DS123" s="46"/>
      <c r="DT123" s="46"/>
      <c r="DU123" s="46"/>
      <c r="DV123" s="46"/>
      <c r="DW123" s="46"/>
      <c r="DX123" s="46"/>
      <c r="DY123" s="46"/>
      <c r="DZ123" s="46"/>
      <c r="EA123" s="46"/>
      <c r="EB123" s="46"/>
      <c r="EC123" s="46"/>
      <c r="ED123" s="46"/>
      <c r="EE123" s="46"/>
      <c r="EF123" s="46"/>
      <c r="EG123" s="46"/>
      <c r="EH123" s="46"/>
      <c r="EI123" s="46"/>
      <c r="EJ123" s="46"/>
      <c r="EK123" s="46"/>
      <c r="EL123" s="46"/>
      <c r="EM123" s="46"/>
    </row>
    <row r="124" spans="1:143" ht="18" customHeight="1">
      <c r="A124" s="47"/>
      <c r="B124" s="51" t="str">
        <f t="shared" si="3"/>
        <v/>
      </c>
      <c r="C124" s="47"/>
      <c r="D124" s="47"/>
      <c r="E124" s="66"/>
      <c r="F124" s="47"/>
      <c r="G124" s="50"/>
      <c r="H124" s="48"/>
      <c r="I124" s="48"/>
      <c r="J124" s="47"/>
      <c r="K124" s="48"/>
      <c r="L124" s="66"/>
      <c r="M124" s="56"/>
      <c r="N124" s="56"/>
      <c r="O124" s="46"/>
      <c r="P124" s="46"/>
      <c r="Q124" s="46"/>
      <c r="R124" s="46"/>
      <c r="S124" s="46"/>
      <c r="T124" s="46"/>
      <c r="U124" s="46"/>
      <c r="V124" s="46"/>
      <c r="W124" s="46"/>
      <c r="X124" s="46"/>
      <c r="Y124" s="46"/>
      <c r="Z124" s="46"/>
      <c r="AA124" s="46"/>
      <c r="AB124" s="46"/>
      <c r="AC124" s="46"/>
      <c r="AD124" s="46"/>
      <c r="AE124" s="46"/>
      <c r="AF124" s="46"/>
      <c r="AG124" s="46"/>
      <c r="AH124" s="46"/>
      <c r="AI124" s="46"/>
      <c r="AJ124" s="46"/>
      <c r="AK124" s="46"/>
      <c r="AL124" s="46"/>
      <c r="AM124" s="46"/>
      <c r="AN124" s="46"/>
      <c r="AO124" s="46"/>
      <c r="AP124" s="46"/>
      <c r="AQ124" s="46"/>
      <c r="AR124" s="46"/>
      <c r="AS124" s="46"/>
      <c r="AT124" s="46"/>
      <c r="AU124" s="46"/>
      <c r="AV124" s="46"/>
      <c r="AW124" s="46"/>
      <c r="AX124" s="46"/>
      <c r="AY124" s="46"/>
      <c r="AZ124" s="46"/>
      <c r="BA124" s="46"/>
      <c r="BB124" s="46"/>
      <c r="BC124" s="46"/>
      <c r="BD124" s="46"/>
      <c r="BE124" s="46"/>
      <c r="BF124" s="46"/>
      <c r="BG124" s="46"/>
      <c r="BH124" s="46"/>
      <c r="BI124" s="46"/>
      <c r="BJ124" s="46"/>
      <c r="BK124" s="46"/>
      <c r="BL124" s="46"/>
      <c r="BM124" s="46"/>
      <c r="BN124" s="46"/>
      <c r="BO124" s="46"/>
      <c r="BP124" s="46"/>
      <c r="BQ124" s="46"/>
      <c r="BR124" s="46"/>
      <c r="BS124" s="46"/>
      <c r="BT124" s="46"/>
      <c r="BU124" s="46"/>
      <c r="BV124" s="46"/>
      <c r="BW124" s="46"/>
      <c r="BX124" s="46"/>
      <c r="BY124" s="46"/>
      <c r="BZ124" s="46"/>
      <c r="CA124" s="46"/>
      <c r="CB124" s="46"/>
      <c r="CC124" s="46"/>
      <c r="CD124" s="46"/>
      <c r="CE124" s="46"/>
      <c r="CF124" s="46"/>
      <c r="CG124" s="46"/>
      <c r="CH124" s="46"/>
      <c r="CI124" s="46"/>
      <c r="CJ124" s="46"/>
      <c r="CK124" s="46"/>
      <c r="CL124" s="46"/>
      <c r="CM124" s="46"/>
      <c r="CN124" s="46"/>
      <c r="CO124" s="46"/>
      <c r="CP124" s="46"/>
      <c r="CQ124" s="46"/>
      <c r="CR124" s="46"/>
      <c r="CS124" s="46"/>
      <c r="CT124" s="46"/>
      <c r="CU124" s="46"/>
      <c r="CV124" s="46"/>
      <c r="CW124" s="46"/>
      <c r="CX124" s="46"/>
      <c r="CY124" s="46"/>
      <c r="CZ124" s="46"/>
      <c r="DA124" s="46"/>
      <c r="DB124" s="46"/>
      <c r="DC124" s="46"/>
      <c r="DD124" s="46"/>
      <c r="DE124" s="46"/>
      <c r="DF124" s="46"/>
      <c r="DG124" s="46"/>
      <c r="DH124" s="46"/>
      <c r="DI124" s="46"/>
      <c r="DJ124" s="46"/>
      <c r="DK124" s="46"/>
      <c r="DL124" s="46"/>
      <c r="DM124" s="46"/>
      <c r="DN124" s="46"/>
      <c r="DO124" s="46"/>
      <c r="DP124" s="46"/>
      <c r="DQ124" s="46"/>
      <c r="DR124" s="46"/>
      <c r="DS124" s="46"/>
      <c r="DT124" s="46"/>
      <c r="DU124" s="46"/>
      <c r="DV124" s="46"/>
      <c r="DW124" s="46"/>
      <c r="DX124" s="46"/>
      <c r="DY124" s="46"/>
      <c r="DZ124" s="46"/>
      <c r="EA124" s="46"/>
      <c r="EB124" s="46"/>
      <c r="EC124" s="46"/>
      <c r="ED124" s="46"/>
      <c r="EE124" s="46"/>
      <c r="EF124" s="46"/>
      <c r="EG124" s="46"/>
      <c r="EH124" s="46"/>
      <c r="EI124" s="46"/>
      <c r="EJ124" s="46"/>
      <c r="EK124" s="46"/>
      <c r="EL124" s="46"/>
      <c r="EM124" s="46"/>
    </row>
    <row r="125" spans="1:143" ht="18" customHeight="1">
      <c r="A125" s="47"/>
      <c r="B125" s="51" t="str">
        <f t="shared" si="3"/>
        <v/>
      </c>
      <c r="C125" s="47"/>
      <c r="D125" s="47"/>
      <c r="E125" s="66"/>
      <c r="F125" s="47"/>
      <c r="G125" s="50"/>
      <c r="H125" s="48"/>
      <c r="I125" s="48"/>
      <c r="J125" s="47"/>
      <c r="K125" s="48"/>
      <c r="L125" s="66"/>
      <c r="M125" s="56"/>
      <c r="N125" s="56"/>
      <c r="O125" s="46"/>
      <c r="P125" s="46"/>
      <c r="Q125" s="46"/>
      <c r="R125" s="46"/>
      <c r="S125" s="46"/>
      <c r="T125" s="46"/>
      <c r="U125" s="46"/>
      <c r="V125" s="46"/>
      <c r="W125" s="46"/>
      <c r="X125" s="46"/>
      <c r="Y125" s="46"/>
      <c r="Z125" s="46"/>
      <c r="AA125" s="46"/>
      <c r="AB125" s="46"/>
      <c r="AC125" s="46"/>
      <c r="AD125" s="46"/>
      <c r="AE125" s="46"/>
      <c r="AF125" s="46"/>
      <c r="AG125" s="46"/>
      <c r="AH125" s="46"/>
      <c r="AI125" s="46"/>
      <c r="AJ125" s="46"/>
      <c r="AK125" s="46"/>
      <c r="AL125" s="46"/>
      <c r="AM125" s="46"/>
      <c r="AN125" s="46"/>
      <c r="AO125" s="46"/>
      <c r="AP125" s="46"/>
      <c r="AQ125" s="46"/>
      <c r="AR125" s="46"/>
      <c r="AS125" s="46"/>
      <c r="AT125" s="46"/>
      <c r="AU125" s="46"/>
      <c r="AV125" s="46"/>
      <c r="AW125" s="46"/>
      <c r="AX125" s="46"/>
      <c r="AY125" s="46"/>
      <c r="AZ125" s="46"/>
      <c r="BA125" s="46"/>
      <c r="BB125" s="46"/>
      <c r="BC125" s="46"/>
      <c r="BD125" s="46"/>
      <c r="BE125" s="46"/>
      <c r="BF125" s="46"/>
      <c r="BG125" s="46"/>
      <c r="BH125" s="46"/>
      <c r="BI125" s="46"/>
      <c r="BJ125" s="46"/>
      <c r="BK125" s="46"/>
      <c r="BL125" s="46"/>
      <c r="BM125" s="46"/>
      <c r="BN125" s="46"/>
      <c r="BO125" s="46"/>
      <c r="BP125" s="46"/>
      <c r="BQ125" s="46"/>
      <c r="BR125" s="46"/>
      <c r="BS125" s="46"/>
      <c r="BT125" s="46"/>
      <c r="BU125" s="46"/>
      <c r="BV125" s="46"/>
      <c r="BW125" s="46"/>
      <c r="BX125" s="46"/>
      <c r="BY125" s="46"/>
      <c r="BZ125" s="46"/>
      <c r="CA125" s="46"/>
      <c r="CB125" s="46"/>
      <c r="CC125" s="46"/>
      <c r="CD125" s="46"/>
      <c r="CE125" s="46"/>
      <c r="CF125" s="46"/>
      <c r="CG125" s="46"/>
      <c r="CH125" s="46"/>
      <c r="CI125" s="46"/>
      <c r="CJ125" s="46"/>
      <c r="CK125" s="46"/>
      <c r="CL125" s="46"/>
      <c r="CM125" s="46"/>
      <c r="CN125" s="46"/>
      <c r="CO125" s="46"/>
      <c r="CP125" s="46"/>
      <c r="CQ125" s="46"/>
      <c r="CR125" s="46"/>
      <c r="CS125" s="46"/>
      <c r="CT125" s="46"/>
      <c r="CU125" s="46"/>
      <c r="CV125" s="46"/>
      <c r="CW125" s="46"/>
      <c r="CX125" s="46"/>
      <c r="CY125" s="46"/>
      <c r="CZ125" s="46"/>
      <c r="DA125" s="46"/>
      <c r="DB125" s="46"/>
      <c r="DC125" s="46"/>
      <c r="DD125" s="46"/>
      <c r="DE125" s="46"/>
      <c r="DF125" s="46"/>
      <c r="DG125" s="46"/>
      <c r="DH125" s="46"/>
      <c r="DI125" s="46"/>
      <c r="DJ125" s="46"/>
      <c r="DK125" s="46"/>
      <c r="DL125" s="46"/>
      <c r="DM125" s="46"/>
      <c r="DN125" s="46"/>
      <c r="DO125" s="46"/>
      <c r="DP125" s="46"/>
      <c r="DQ125" s="46"/>
      <c r="DR125" s="46"/>
      <c r="DS125" s="46"/>
      <c r="DT125" s="46"/>
      <c r="DU125" s="46"/>
      <c r="DV125" s="46"/>
      <c r="DW125" s="46"/>
      <c r="DX125" s="46"/>
      <c r="DY125" s="46"/>
      <c r="DZ125" s="46"/>
      <c r="EA125" s="46"/>
      <c r="EB125" s="46"/>
      <c r="EC125" s="46"/>
      <c r="ED125" s="46"/>
      <c r="EE125" s="46"/>
      <c r="EF125" s="46"/>
      <c r="EG125" s="46"/>
      <c r="EH125" s="46"/>
      <c r="EI125" s="46"/>
      <c r="EJ125" s="46"/>
      <c r="EK125" s="46"/>
      <c r="EL125" s="46"/>
      <c r="EM125" s="46"/>
    </row>
    <row r="126" spans="1:143" ht="18" customHeight="1">
      <c r="A126" s="47"/>
      <c r="B126" s="51" t="str">
        <f t="shared" si="3"/>
        <v/>
      </c>
      <c r="C126" s="47"/>
      <c r="D126" s="47"/>
      <c r="E126" s="66"/>
      <c r="F126" s="47"/>
      <c r="G126" s="50"/>
      <c r="H126" s="48"/>
      <c r="I126" s="48"/>
      <c r="J126" s="47"/>
      <c r="K126" s="48"/>
      <c r="L126" s="66"/>
      <c r="M126" s="56"/>
      <c r="N126" s="56"/>
      <c r="O126" s="46"/>
      <c r="P126" s="46"/>
      <c r="Q126" s="46"/>
      <c r="R126" s="46"/>
      <c r="S126" s="46"/>
      <c r="T126" s="46"/>
      <c r="U126" s="46"/>
      <c r="V126" s="46"/>
      <c r="W126" s="46"/>
      <c r="X126" s="46"/>
      <c r="Y126" s="46"/>
      <c r="Z126" s="46"/>
      <c r="AA126" s="46"/>
      <c r="AB126" s="46"/>
      <c r="AC126" s="46"/>
      <c r="AD126" s="46"/>
      <c r="AE126" s="46"/>
      <c r="AF126" s="46"/>
      <c r="AG126" s="46"/>
      <c r="AH126" s="46"/>
      <c r="AI126" s="46"/>
      <c r="AJ126" s="46"/>
      <c r="AK126" s="46"/>
      <c r="AL126" s="46"/>
      <c r="AM126" s="46"/>
      <c r="AN126" s="46"/>
      <c r="AO126" s="46"/>
      <c r="AP126" s="46"/>
      <c r="AQ126" s="46"/>
      <c r="AR126" s="46"/>
      <c r="AS126" s="46"/>
      <c r="AT126" s="46"/>
      <c r="AU126" s="46"/>
      <c r="AV126" s="46"/>
      <c r="AW126" s="46"/>
      <c r="AX126" s="46"/>
      <c r="AY126" s="46"/>
      <c r="AZ126" s="46"/>
      <c r="BA126" s="46"/>
      <c r="BB126" s="46"/>
      <c r="BC126" s="46"/>
      <c r="BD126" s="46"/>
      <c r="BE126" s="46"/>
      <c r="BF126" s="46"/>
      <c r="BG126" s="46"/>
      <c r="BH126" s="46"/>
      <c r="BI126" s="46"/>
      <c r="BJ126" s="46"/>
      <c r="BK126" s="46"/>
      <c r="BL126" s="46"/>
      <c r="BM126" s="46"/>
      <c r="BN126" s="46"/>
      <c r="BO126" s="46"/>
      <c r="BP126" s="46"/>
      <c r="BQ126" s="46"/>
      <c r="BR126" s="46"/>
      <c r="BS126" s="46"/>
      <c r="BT126" s="46"/>
      <c r="BU126" s="46"/>
      <c r="BV126" s="46"/>
      <c r="BW126" s="46"/>
      <c r="BX126" s="46"/>
      <c r="BY126" s="46"/>
      <c r="BZ126" s="46"/>
      <c r="CA126" s="46"/>
      <c r="CB126" s="46"/>
      <c r="CC126" s="46"/>
      <c r="CD126" s="46"/>
      <c r="CE126" s="46"/>
      <c r="CF126" s="46"/>
      <c r="CG126" s="46"/>
      <c r="CH126" s="46"/>
      <c r="CI126" s="46"/>
      <c r="CJ126" s="46"/>
      <c r="CK126" s="46"/>
      <c r="CL126" s="46"/>
      <c r="CM126" s="46"/>
      <c r="CN126" s="46"/>
      <c r="CO126" s="46"/>
      <c r="CP126" s="46"/>
      <c r="CQ126" s="46"/>
      <c r="CR126" s="46"/>
      <c r="CS126" s="46"/>
      <c r="CT126" s="46"/>
      <c r="CU126" s="46"/>
      <c r="CV126" s="46"/>
      <c r="CW126" s="46"/>
      <c r="CX126" s="46"/>
      <c r="CY126" s="46"/>
      <c r="CZ126" s="46"/>
      <c r="DA126" s="46"/>
      <c r="DB126" s="46"/>
      <c r="DC126" s="46"/>
      <c r="DD126" s="46"/>
      <c r="DE126" s="46"/>
      <c r="DF126" s="46"/>
      <c r="DG126" s="46"/>
      <c r="DH126" s="46"/>
      <c r="DI126" s="46"/>
      <c r="DJ126" s="46"/>
      <c r="DK126" s="46"/>
      <c r="DL126" s="46"/>
      <c r="DM126" s="46"/>
      <c r="DN126" s="46"/>
      <c r="DO126" s="46"/>
      <c r="DP126" s="46"/>
      <c r="DQ126" s="46"/>
      <c r="DR126" s="46"/>
      <c r="DS126" s="46"/>
      <c r="DT126" s="46"/>
      <c r="DU126" s="46"/>
      <c r="DV126" s="46"/>
      <c r="DW126" s="46"/>
      <c r="DX126" s="46"/>
      <c r="DY126" s="46"/>
      <c r="DZ126" s="46"/>
      <c r="EA126" s="46"/>
      <c r="EB126" s="46"/>
      <c r="EC126" s="46"/>
      <c r="ED126" s="46"/>
      <c r="EE126" s="46"/>
      <c r="EF126" s="46"/>
      <c r="EG126" s="46"/>
      <c r="EH126" s="46"/>
      <c r="EI126" s="46"/>
      <c r="EJ126" s="46"/>
      <c r="EK126" s="46"/>
      <c r="EL126" s="46"/>
      <c r="EM126" s="46"/>
    </row>
    <row r="127" spans="1:143" ht="18" customHeight="1">
      <c r="A127" s="47"/>
      <c r="B127" s="51" t="str">
        <f t="shared" si="3"/>
        <v/>
      </c>
      <c r="C127" s="47"/>
      <c r="D127" s="47"/>
      <c r="E127" s="66"/>
      <c r="F127" s="47"/>
      <c r="G127" s="50"/>
      <c r="H127" s="48"/>
      <c r="I127" s="48"/>
      <c r="J127" s="47"/>
      <c r="K127" s="48"/>
      <c r="L127" s="66"/>
      <c r="M127" s="56"/>
      <c r="N127" s="56"/>
      <c r="O127" s="46"/>
      <c r="P127" s="46"/>
      <c r="Q127" s="46"/>
      <c r="R127" s="46"/>
      <c r="S127" s="46"/>
      <c r="T127" s="46"/>
      <c r="U127" s="46"/>
      <c r="V127" s="46"/>
      <c r="W127" s="46"/>
      <c r="X127" s="46"/>
      <c r="Y127" s="46"/>
      <c r="Z127" s="46"/>
      <c r="AA127" s="46"/>
      <c r="AB127" s="46"/>
      <c r="AC127" s="46"/>
      <c r="AD127" s="46"/>
      <c r="AE127" s="46"/>
      <c r="AF127" s="46"/>
      <c r="AG127" s="46"/>
      <c r="AH127" s="46"/>
      <c r="AI127" s="46"/>
      <c r="AJ127" s="46"/>
      <c r="AK127" s="46"/>
      <c r="AL127" s="46"/>
      <c r="AM127" s="46"/>
      <c r="AN127" s="46"/>
      <c r="AO127" s="46"/>
      <c r="AP127" s="46"/>
      <c r="AQ127" s="46"/>
      <c r="AR127" s="46"/>
      <c r="AS127" s="46"/>
      <c r="AT127" s="46"/>
      <c r="AU127" s="46"/>
      <c r="AV127" s="46"/>
      <c r="AW127" s="46"/>
      <c r="AX127" s="46"/>
      <c r="AY127" s="46"/>
      <c r="AZ127" s="46"/>
      <c r="BA127" s="46"/>
      <c r="BB127" s="46"/>
      <c r="BC127" s="46"/>
      <c r="BD127" s="46"/>
      <c r="BE127" s="46"/>
      <c r="BF127" s="46"/>
      <c r="BG127" s="46"/>
      <c r="BH127" s="46"/>
      <c r="BI127" s="46"/>
      <c r="BJ127" s="46"/>
      <c r="BK127" s="46"/>
      <c r="BL127" s="46"/>
      <c r="BM127" s="46"/>
      <c r="BN127" s="46"/>
      <c r="BO127" s="46"/>
      <c r="BP127" s="46"/>
      <c r="BQ127" s="46"/>
      <c r="BR127" s="46"/>
      <c r="BS127" s="46"/>
      <c r="BT127" s="46"/>
      <c r="BU127" s="46"/>
      <c r="BV127" s="46"/>
      <c r="BW127" s="46"/>
      <c r="BX127" s="46"/>
      <c r="BY127" s="46"/>
      <c r="BZ127" s="46"/>
      <c r="CA127" s="46"/>
      <c r="CB127" s="46"/>
      <c r="CC127" s="46"/>
      <c r="CD127" s="46"/>
      <c r="CE127" s="46"/>
      <c r="CF127" s="46"/>
      <c r="CG127" s="46"/>
      <c r="CH127" s="46"/>
      <c r="CI127" s="46"/>
      <c r="CJ127" s="46"/>
      <c r="CK127" s="46"/>
      <c r="CL127" s="46"/>
      <c r="CM127" s="46"/>
      <c r="CN127" s="46"/>
      <c r="CO127" s="46"/>
      <c r="CP127" s="46"/>
      <c r="CQ127" s="46"/>
      <c r="CR127" s="46"/>
      <c r="CS127" s="46"/>
      <c r="CT127" s="46"/>
      <c r="CU127" s="46"/>
      <c r="CV127" s="46"/>
      <c r="CW127" s="46"/>
      <c r="CX127" s="46"/>
      <c r="CY127" s="46"/>
      <c r="CZ127" s="46"/>
      <c r="DA127" s="46"/>
      <c r="DB127" s="46"/>
      <c r="DC127" s="46"/>
      <c r="DD127" s="46"/>
      <c r="DE127" s="46"/>
      <c r="DF127" s="46"/>
      <c r="DG127" s="46"/>
      <c r="DH127" s="46"/>
      <c r="DI127" s="46"/>
      <c r="DJ127" s="46"/>
      <c r="DK127" s="46"/>
      <c r="DL127" s="46"/>
      <c r="DM127" s="46"/>
      <c r="DN127" s="46"/>
      <c r="DO127" s="46"/>
      <c r="DP127" s="46"/>
      <c r="DQ127" s="46"/>
      <c r="DR127" s="46"/>
      <c r="DS127" s="46"/>
      <c r="DT127" s="46"/>
      <c r="DU127" s="46"/>
      <c r="DV127" s="46"/>
      <c r="DW127" s="46"/>
      <c r="DX127" s="46"/>
      <c r="DY127" s="46"/>
      <c r="DZ127" s="46"/>
      <c r="EA127" s="46"/>
      <c r="EB127" s="46"/>
      <c r="EC127" s="46"/>
      <c r="ED127" s="46"/>
      <c r="EE127" s="46"/>
      <c r="EF127" s="46"/>
      <c r="EG127" s="46"/>
      <c r="EH127" s="46"/>
      <c r="EI127" s="46"/>
      <c r="EJ127" s="46"/>
      <c r="EK127" s="46"/>
      <c r="EL127" s="46"/>
      <c r="EM127" s="46"/>
    </row>
    <row r="128" spans="1:143" ht="18" customHeight="1">
      <c r="A128" s="47"/>
      <c r="B128" s="51" t="str">
        <f t="shared" si="3"/>
        <v/>
      </c>
      <c r="C128" s="47"/>
      <c r="D128" s="47"/>
      <c r="E128" s="66"/>
      <c r="F128" s="47"/>
      <c r="G128" s="50"/>
      <c r="H128" s="48"/>
      <c r="I128" s="48"/>
      <c r="J128" s="47"/>
      <c r="K128" s="48"/>
      <c r="L128" s="66"/>
      <c r="M128" s="56"/>
      <c r="N128" s="56"/>
      <c r="O128" s="46"/>
      <c r="P128" s="46"/>
      <c r="Q128" s="46"/>
      <c r="R128" s="46"/>
      <c r="S128" s="46"/>
      <c r="T128" s="46"/>
      <c r="U128" s="46"/>
      <c r="V128" s="46"/>
      <c r="W128" s="46"/>
      <c r="X128" s="46"/>
      <c r="Y128" s="46"/>
      <c r="Z128" s="46"/>
      <c r="AA128" s="46"/>
      <c r="AB128" s="46"/>
      <c r="AC128" s="46"/>
      <c r="AD128" s="46"/>
      <c r="AE128" s="46"/>
      <c r="AF128" s="46"/>
      <c r="AG128" s="46"/>
      <c r="AH128" s="46"/>
      <c r="AI128" s="46"/>
      <c r="AJ128" s="46"/>
      <c r="AK128" s="46"/>
      <c r="AL128" s="46"/>
      <c r="AM128" s="46"/>
      <c r="AN128" s="46"/>
      <c r="AO128" s="46"/>
      <c r="AP128" s="46"/>
      <c r="AQ128" s="46"/>
      <c r="AR128" s="46"/>
      <c r="AS128" s="46"/>
      <c r="AT128" s="46"/>
      <c r="AU128" s="46"/>
      <c r="AV128" s="46"/>
      <c r="AW128" s="46"/>
      <c r="AX128" s="46"/>
      <c r="AY128" s="46"/>
      <c r="AZ128" s="46"/>
      <c r="BA128" s="46"/>
      <c r="BB128" s="46"/>
      <c r="BC128" s="46"/>
      <c r="BD128" s="46"/>
      <c r="BE128" s="46"/>
      <c r="BF128" s="46"/>
      <c r="BG128" s="46"/>
      <c r="BH128" s="46"/>
      <c r="BI128" s="46"/>
      <c r="BJ128" s="46"/>
      <c r="BK128" s="46"/>
      <c r="BL128" s="46"/>
      <c r="BM128" s="46"/>
      <c r="BN128" s="46"/>
      <c r="BO128" s="46"/>
      <c r="BP128" s="46"/>
      <c r="BQ128" s="46"/>
      <c r="BR128" s="46"/>
      <c r="BS128" s="46"/>
      <c r="BT128" s="46"/>
      <c r="BU128" s="46"/>
      <c r="BV128" s="46"/>
      <c r="BW128" s="46"/>
      <c r="BX128" s="46"/>
      <c r="BY128" s="46"/>
      <c r="BZ128" s="46"/>
      <c r="CA128" s="46"/>
      <c r="CB128" s="46"/>
      <c r="CC128" s="46"/>
      <c r="CD128" s="46"/>
      <c r="CE128" s="46"/>
      <c r="CF128" s="46"/>
      <c r="CG128" s="46"/>
      <c r="CH128" s="46"/>
      <c r="CI128" s="46"/>
      <c r="CJ128" s="46"/>
      <c r="CK128" s="46"/>
      <c r="CL128" s="46"/>
      <c r="CM128" s="46"/>
      <c r="CN128" s="46"/>
      <c r="CO128" s="46"/>
      <c r="CP128" s="46"/>
      <c r="CQ128" s="46"/>
      <c r="CR128" s="46"/>
      <c r="CS128" s="46"/>
      <c r="CT128" s="46"/>
      <c r="CU128" s="46"/>
      <c r="CV128" s="46"/>
      <c r="CW128" s="46"/>
      <c r="CX128" s="46"/>
      <c r="CY128" s="46"/>
      <c r="CZ128" s="46"/>
      <c r="DA128" s="46"/>
      <c r="DB128" s="46"/>
      <c r="DC128" s="46"/>
      <c r="DD128" s="46"/>
      <c r="DE128" s="46"/>
      <c r="DF128" s="46"/>
      <c r="DG128" s="46"/>
      <c r="DH128" s="46"/>
      <c r="DI128" s="46"/>
      <c r="DJ128" s="46"/>
      <c r="DK128" s="46"/>
      <c r="DL128" s="46"/>
      <c r="DM128" s="46"/>
      <c r="DN128" s="46"/>
      <c r="DO128" s="46"/>
      <c r="DP128" s="46"/>
      <c r="DQ128" s="46"/>
      <c r="DR128" s="46"/>
      <c r="DS128" s="46"/>
      <c r="DT128" s="46"/>
      <c r="DU128" s="46"/>
      <c r="DV128" s="46"/>
      <c r="DW128" s="46"/>
      <c r="DX128" s="46"/>
      <c r="DY128" s="46"/>
      <c r="DZ128" s="46"/>
      <c r="EA128" s="46"/>
      <c r="EB128" s="46"/>
      <c r="EC128" s="46"/>
      <c r="ED128" s="46"/>
      <c r="EE128" s="46"/>
      <c r="EF128" s="46"/>
      <c r="EG128" s="46"/>
      <c r="EH128" s="46"/>
      <c r="EI128" s="46"/>
      <c r="EJ128" s="46"/>
      <c r="EK128" s="46"/>
      <c r="EL128" s="46"/>
      <c r="EM128" s="46"/>
    </row>
    <row r="129" spans="1:143" ht="18" customHeight="1">
      <c r="A129" s="47"/>
      <c r="B129" s="51" t="str">
        <f t="shared" si="3"/>
        <v/>
      </c>
      <c r="C129" s="47"/>
      <c r="D129" s="47"/>
      <c r="E129" s="66"/>
      <c r="F129" s="47"/>
      <c r="G129" s="50"/>
      <c r="H129" s="48"/>
      <c r="I129" s="48"/>
      <c r="J129" s="47"/>
      <c r="K129" s="48"/>
      <c r="L129" s="66"/>
      <c r="M129" s="56"/>
      <c r="N129" s="56"/>
      <c r="O129" s="46"/>
      <c r="P129" s="46"/>
      <c r="Q129" s="46"/>
      <c r="R129" s="46"/>
      <c r="S129" s="46"/>
      <c r="T129" s="46"/>
      <c r="U129" s="46"/>
      <c r="V129" s="46"/>
      <c r="W129" s="46"/>
      <c r="X129" s="46"/>
      <c r="Y129" s="46"/>
      <c r="Z129" s="46"/>
      <c r="AA129" s="46"/>
      <c r="AB129" s="46"/>
      <c r="AC129" s="46"/>
      <c r="AD129" s="46"/>
      <c r="AE129" s="46"/>
      <c r="AF129" s="46"/>
      <c r="AG129" s="46"/>
      <c r="AH129" s="46"/>
      <c r="AI129" s="46"/>
      <c r="AJ129" s="46"/>
      <c r="AK129" s="46"/>
      <c r="AL129" s="46"/>
      <c r="AM129" s="46"/>
      <c r="AN129" s="46"/>
      <c r="AO129" s="46"/>
      <c r="AP129" s="46"/>
      <c r="AQ129" s="46"/>
      <c r="AR129" s="46"/>
      <c r="AS129" s="46"/>
      <c r="AT129" s="46"/>
      <c r="AU129" s="46"/>
      <c r="AV129" s="46"/>
      <c r="AW129" s="46"/>
      <c r="AX129" s="46"/>
      <c r="AY129" s="46"/>
      <c r="AZ129" s="46"/>
      <c r="BA129" s="46"/>
      <c r="BB129" s="46"/>
      <c r="BC129" s="46"/>
      <c r="BD129" s="46"/>
      <c r="BE129" s="46"/>
      <c r="BF129" s="46"/>
      <c r="BG129" s="46"/>
      <c r="BH129" s="46"/>
      <c r="BI129" s="46"/>
      <c r="BJ129" s="46"/>
      <c r="BK129" s="46"/>
      <c r="BL129" s="46"/>
      <c r="BM129" s="46"/>
      <c r="BN129" s="46"/>
      <c r="BO129" s="46"/>
      <c r="BP129" s="46"/>
      <c r="BQ129" s="46"/>
      <c r="BR129" s="46"/>
      <c r="BS129" s="46"/>
      <c r="BT129" s="46"/>
      <c r="BU129" s="46"/>
      <c r="BV129" s="46"/>
      <c r="BW129" s="46"/>
      <c r="BX129" s="46"/>
      <c r="BY129" s="46"/>
      <c r="BZ129" s="46"/>
      <c r="CA129" s="46"/>
      <c r="CB129" s="46"/>
      <c r="CC129" s="46"/>
      <c r="CD129" s="46"/>
      <c r="CE129" s="46"/>
      <c r="CF129" s="46"/>
      <c r="CG129" s="46"/>
      <c r="CH129" s="46"/>
      <c r="CI129" s="46"/>
      <c r="CJ129" s="46"/>
      <c r="CK129" s="46"/>
      <c r="CL129" s="46"/>
      <c r="CM129" s="46"/>
      <c r="CN129" s="46"/>
      <c r="CO129" s="46"/>
      <c r="CP129" s="46"/>
      <c r="CQ129" s="46"/>
      <c r="CR129" s="46"/>
      <c r="CS129" s="46"/>
      <c r="CT129" s="46"/>
      <c r="CU129" s="46"/>
      <c r="CV129" s="46"/>
      <c r="CW129" s="46"/>
      <c r="CX129" s="46"/>
      <c r="CY129" s="46"/>
      <c r="CZ129" s="46"/>
      <c r="DA129" s="46"/>
      <c r="DB129" s="46"/>
      <c r="DC129" s="46"/>
      <c r="DD129" s="46"/>
      <c r="DE129" s="46"/>
      <c r="DF129" s="46"/>
      <c r="DG129" s="46"/>
      <c r="DH129" s="46"/>
      <c r="DI129" s="46"/>
      <c r="DJ129" s="46"/>
      <c r="DK129" s="46"/>
      <c r="DL129" s="46"/>
      <c r="DM129" s="46"/>
      <c r="DN129" s="46"/>
      <c r="DO129" s="46"/>
      <c r="DP129" s="46"/>
      <c r="DQ129" s="46"/>
      <c r="DR129" s="46"/>
      <c r="DS129" s="46"/>
      <c r="DT129" s="46"/>
      <c r="DU129" s="46"/>
      <c r="DV129" s="46"/>
      <c r="DW129" s="46"/>
      <c r="DX129" s="46"/>
      <c r="DY129" s="46"/>
      <c r="DZ129" s="46"/>
      <c r="EA129" s="46"/>
      <c r="EB129" s="46"/>
      <c r="EC129" s="46"/>
      <c r="ED129" s="46"/>
      <c r="EE129" s="46"/>
      <c r="EF129" s="46"/>
      <c r="EG129" s="46"/>
      <c r="EH129" s="46"/>
      <c r="EI129" s="46"/>
      <c r="EJ129" s="46"/>
      <c r="EK129" s="46"/>
      <c r="EL129" s="46"/>
      <c r="EM129" s="46"/>
    </row>
    <row r="130" spans="1:143" ht="18" customHeight="1">
      <c r="A130" s="47"/>
      <c r="B130" s="51" t="str">
        <f t="shared" si="3"/>
        <v/>
      </c>
      <c r="C130" s="47"/>
      <c r="D130" s="47"/>
      <c r="E130" s="66"/>
      <c r="F130" s="47"/>
      <c r="G130" s="50"/>
      <c r="H130" s="48"/>
      <c r="I130" s="48"/>
      <c r="J130" s="47"/>
      <c r="K130" s="48"/>
      <c r="L130" s="66"/>
      <c r="M130" s="56"/>
      <c r="N130" s="56"/>
      <c r="O130" s="46"/>
      <c r="P130" s="46"/>
      <c r="Q130" s="46"/>
      <c r="R130" s="46"/>
      <c r="S130" s="46"/>
      <c r="T130" s="46"/>
      <c r="U130" s="46"/>
      <c r="V130" s="46"/>
      <c r="W130" s="46"/>
      <c r="X130" s="46"/>
      <c r="Y130" s="46"/>
      <c r="Z130" s="46"/>
      <c r="AA130" s="46"/>
      <c r="AB130" s="46"/>
      <c r="AC130" s="46"/>
      <c r="AD130" s="46"/>
      <c r="AE130" s="46"/>
      <c r="AF130" s="46"/>
      <c r="AG130" s="46"/>
      <c r="AH130" s="46"/>
      <c r="AI130" s="46"/>
      <c r="AJ130" s="46"/>
      <c r="AK130" s="46"/>
      <c r="AL130" s="46"/>
      <c r="AM130" s="46"/>
      <c r="AN130" s="46"/>
      <c r="AO130" s="46"/>
      <c r="AP130" s="46"/>
      <c r="AQ130" s="46"/>
      <c r="AR130" s="46"/>
      <c r="AS130" s="46"/>
      <c r="AT130" s="46"/>
      <c r="AU130" s="46"/>
      <c r="AV130" s="46"/>
      <c r="AW130" s="46"/>
      <c r="AX130" s="46"/>
      <c r="AY130" s="46"/>
      <c r="AZ130" s="46"/>
      <c r="BA130" s="46"/>
      <c r="BB130" s="46"/>
      <c r="BC130" s="46"/>
      <c r="BD130" s="46"/>
      <c r="BE130" s="46"/>
      <c r="BF130" s="46"/>
      <c r="BG130" s="46"/>
      <c r="BH130" s="46"/>
      <c r="BI130" s="46"/>
      <c r="BJ130" s="46"/>
      <c r="BK130" s="46"/>
      <c r="BL130" s="46"/>
      <c r="BM130" s="46"/>
      <c r="BN130" s="46"/>
      <c r="BO130" s="46"/>
      <c r="BP130" s="46"/>
      <c r="BQ130" s="46"/>
      <c r="BR130" s="46"/>
      <c r="BS130" s="46"/>
      <c r="BT130" s="46"/>
      <c r="BU130" s="46"/>
      <c r="BV130" s="46"/>
      <c r="BW130" s="46"/>
      <c r="BX130" s="46"/>
      <c r="BY130" s="46"/>
      <c r="BZ130" s="46"/>
      <c r="CA130" s="46"/>
      <c r="CB130" s="46"/>
      <c r="CC130" s="46"/>
      <c r="CD130" s="46"/>
      <c r="CE130" s="46"/>
      <c r="CF130" s="46"/>
      <c r="CG130" s="46"/>
      <c r="CH130" s="46"/>
      <c r="CI130" s="46"/>
      <c r="CJ130" s="46"/>
      <c r="CK130" s="46"/>
      <c r="CL130" s="46"/>
      <c r="CM130" s="46"/>
      <c r="CN130" s="46"/>
      <c r="CO130" s="46"/>
      <c r="CP130" s="46"/>
      <c r="CQ130" s="46"/>
      <c r="CR130" s="46"/>
      <c r="CS130" s="46"/>
      <c r="CT130" s="46"/>
      <c r="CU130" s="46"/>
      <c r="CV130" s="46"/>
      <c r="CW130" s="46"/>
      <c r="CX130" s="46"/>
      <c r="CY130" s="46"/>
      <c r="CZ130" s="46"/>
      <c r="DA130" s="46"/>
      <c r="DB130" s="46"/>
      <c r="DC130" s="46"/>
      <c r="DD130" s="46"/>
      <c r="DE130" s="46"/>
      <c r="DF130" s="46"/>
      <c r="DG130" s="46"/>
      <c r="DH130" s="46"/>
      <c r="DI130" s="46"/>
      <c r="DJ130" s="46"/>
      <c r="DK130" s="46"/>
      <c r="DL130" s="46"/>
      <c r="DM130" s="46"/>
      <c r="DN130" s="46"/>
      <c r="DO130" s="46"/>
      <c r="DP130" s="46"/>
      <c r="DQ130" s="46"/>
      <c r="DR130" s="46"/>
      <c r="DS130" s="46"/>
      <c r="DT130" s="46"/>
      <c r="DU130" s="46"/>
      <c r="DV130" s="46"/>
      <c r="DW130" s="46"/>
      <c r="DX130" s="46"/>
      <c r="DY130" s="46"/>
      <c r="DZ130" s="46"/>
      <c r="EA130" s="46"/>
      <c r="EB130" s="46"/>
      <c r="EC130" s="46"/>
      <c r="ED130" s="46"/>
      <c r="EE130" s="46"/>
      <c r="EF130" s="46"/>
      <c r="EG130" s="46"/>
      <c r="EH130" s="46"/>
      <c r="EI130" s="46"/>
      <c r="EJ130" s="46"/>
      <c r="EK130" s="46"/>
      <c r="EL130" s="46"/>
      <c r="EM130" s="46"/>
    </row>
    <row r="131" spans="1:143" ht="18" customHeight="1">
      <c r="A131" s="47"/>
      <c r="B131" s="51" t="str">
        <f t="shared" si="3"/>
        <v/>
      </c>
      <c r="C131" s="47"/>
      <c r="D131" s="47"/>
      <c r="E131" s="66"/>
      <c r="F131" s="47"/>
      <c r="G131" s="50"/>
      <c r="H131" s="48"/>
      <c r="I131" s="48"/>
      <c r="J131" s="47"/>
      <c r="K131" s="48"/>
      <c r="L131" s="66"/>
      <c r="M131" s="56"/>
      <c r="N131" s="56"/>
      <c r="O131" s="46"/>
      <c r="P131" s="46"/>
      <c r="Q131" s="46"/>
      <c r="R131" s="46"/>
      <c r="S131" s="46"/>
      <c r="T131" s="46"/>
      <c r="U131" s="46"/>
      <c r="V131" s="46"/>
      <c r="W131" s="46"/>
      <c r="X131" s="46"/>
      <c r="Y131" s="46"/>
      <c r="Z131" s="46"/>
      <c r="AA131" s="46"/>
      <c r="AB131" s="46"/>
      <c r="AC131" s="46"/>
      <c r="AD131" s="46"/>
      <c r="AE131" s="46"/>
      <c r="AF131" s="46"/>
      <c r="AG131" s="46"/>
      <c r="AH131" s="46"/>
      <c r="AI131" s="46"/>
      <c r="AJ131" s="46"/>
      <c r="AK131" s="46"/>
      <c r="AL131" s="46"/>
      <c r="AM131" s="46"/>
      <c r="AN131" s="46"/>
      <c r="AO131" s="46"/>
      <c r="AP131" s="46"/>
      <c r="AQ131" s="46"/>
      <c r="AR131" s="46"/>
      <c r="AS131" s="46"/>
      <c r="AT131" s="46"/>
      <c r="AU131" s="46"/>
      <c r="AV131" s="46"/>
      <c r="AW131" s="46"/>
      <c r="AX131" s="46"/>
      <c r="AY131" s="46"/>
      <c r="AZ131" s="46"/>
      <c r="BA131" s="46"/>
      <c r="BB131" s="46"/>
      <c r="BC131" s="46"/>
      <c r="BD131" s="46"/>
      <c r="BE131" s="46"/>
      <c r="BF131" s="46"/>
      <c r="BG131" s="46"/>
      <c r="BH131" s="46"/>
      <c r="BI131" s="46"/>
      <c r="BJ131" s="46"/>
      <c r="BK131" s="46"/>
      <c r="BL131" s="46"/>
      <c r="BM131" s="46"/>
      <c r="BN131" s="46"/>
      <c r="BO131" s="46"/>
      <c r="BP131" s="46"/>
      <c r="BQ131" s="46"/>
      <c r="BR131" s="46"/>
      <c r="BS131" s="46"/>
      <c r="BT131" s="46"/>
      <c r="BU131" s="46"/>
      <c r="BV131" s="46"/>
      <c r="BW131" s="46"/>
      <c r="BX131" s="46"/>
      <c r="BY131" s="46"/>
      <c r="BZ131" s="46"/>
      <c r="CA131" s="46"/>
      <c r="CB131" s="46"/>
      <c r="CC131" s="46"/>
      <c r="CD131" s="46"/>
      <c r="CE131" s="46"/>
      <c r="CF131" s="46"/>
      <c r="CG131" s="46"/>
      <c r="CH131" s="46"/>
      <c r="CI131" s="46"/>
      <c r="CJ131" s="46"/>
      <c r="CK131" s="46"/>
      <c r="CL131" s="46"/>
      <c r="CM131" s="46"/>
      <c r="CN131" s="46"/>
      <c r="CO131" s="46"/>
      <c r="CP131" s="46"/>
      <c r="CQ131" s="46"/>
      <c r="CR131" s="46"/>
      <c r="CS131" s="46"/>
      <c r="CT131" s="46"/>
      <c r="CU131" s="46"/>
      <c r="CV131" s="46"/>
      <c r="CW131" s="46"/>
      <c r="CX131" s="46"/>
      <c r="CY131" s="46"/>
      <c r="CZ131" s="46"/>
      <c r="DA131" s="46"/>
      <c r="DB131" s="46"/>
      <c r="DC131" s="46"/>
      <c r="DD131" s="46"/>
      <c r="DE131" s="46"/>
      <c r="DF131" s="46"/>
      <c r="DG131" s="46"/>
      <c r="DH131" s="46"/>
      <c r="DI131" s="46"/>
      <c r="DJ131" s="46"/>
      <c r="DK131" s="46"/>
      <c r="DL131" s="46"/>
      <c r="DM131" s="46"/>
      <c r="DN131" s="46"/>
      <c r="DO131" s="46"/>
      <c r="DP131" s="46"/>
      <c r="DQ131" s="46"/>
      <c r="DR131" s="46"/>
      <c r="DS131" s="46"/>
      <c r="DT131" s="46"/>
      <c r="DU131" s="46"/>
      <c r="DV131" s="46"/>
      <c r="DW131" s="46"/>
      <c r="DX131" s="46"/>
      <c r="DY131" s="46"/>
      <c r="DZ131" s="46"/>
      <c r="EA131" s="46"/>
      <c r="EB131" s="46"/>
      <c r="EC131" s="46"/>
      <c r="ED131" s="46"/>
      <c r="EE131" s="46"/>
      <c r="EF131" s="46"/>
      <c r="EG131" s="46"/>
      <c r="EH131" s="46"/>
      <c r="EI131" s="46"/>
      <c r="EJ131" s="46"/>
      <c r="EK131" s="46"/>
      <c r="EL131" s="46"/>
      <c r="EM131" s="46"/>
    </row>
    <row r="132" spans="1:143" ht="18" customHeight="1">
      <c r="A132" s="47"/>
      <c r="B132" s="51" t="str">
        <f t="shared" si="3"/>
        <v/>
      </c>
      <c r="C132" s="47"/>
      <c r="D132" s="47"/>
      <c r="E132" s="66"/>
      <c r="F132" s="47"/>
      <c r="G132" s="50"/>
      <c r="H132" s="48"/>
      <c r="I132" s="48"/>
      <c r="J132" s="47"/>
      <c r="K132" s="48"/>
      <c r="L132" s="66"/>
      <c r="M132" s="56"/>
      <c r="N132" s="56"/>
      <c r="O132" s="46"/>
      <c r="P132" s="46"/>
      <c r="Q132" s="46"/>
      <c r="R132" s="46"/>
      <c r="S132" s="46"/>
      <c r="T132" s="46"/>
      <c r="U132" s="46"/>
      <c r="V132" s="46"/>
      <c r="W132" s="46"/>
      <c r="X132" s="46"/>
      <c r="Y132" s="46"/>
      <c r="Z132" s="46"/>
      <c r="AA132" s="46"/>
      <c r="AB132" s="46"/>
      <c r="AC132" s="46"/>
      <c r="AD132" s="46"/>
      <c r="AE132" s="46"/>
      <c r="AF132" s="46"/>
      <c r="AG132" s="46"/>
      <c r="AH132" s="46"/>
      <c r="AI132" s="46"/>
      <c r="AJ132" s="46"/>
      <c r="AK132" s="46"/>
      <c r="AL132" s="46"/>
      <c r="AM132" s="46"/>
      <c r="AN132" s="46"/>
      <c r="AO132" s="46"/>
      <c r="AP132" s="46"/>
      <c r="AQ132" s="46"/>
      <c r="AR132" s="46"/>
      <c r="AS132" s="46"/>
      <c r="AT132" s="46"/>
      <c r="AU132" s="46"/>
      <c r="AV132" s="46"/>
      <c r="AW132" s="46"/>
      <c r="AX132" s="46"/>
      <c r="AY132" s="46"/>
      <c r="AZ132" s="46"/>
      <c r="BA132" s="46"/>
      <c r="BB132" s="46"/>
      <c r="BC132" s="46"/>
      <c r="BD132" s="46"/>
      <c r="BE132" s="46"/>
      <c r="BF132" s="46"/>
      <c r="BG132" s="46"/>
      <c r="BH132" s="46"/>
      <c r="BI132" s="46"/>
      <c r="BJ132" s="46"/>
      <c r="BK132" s="46"/>
      <c r="BL132" s="46"/>
      <c r="BM132" s="46"/>
      <c r="BN132" s="46"/>
      <c r="BO132" s="46"/>
      <c r="BP132" s="46"/>
      <c r="BQ132" s="46"/>
      <c r="BR132" s="46"/>
      <c r="BS132" s="46"/>
      <c r="BT132" s="46"/>
      <c r="BU132" s="46"/>
      <c r="BV132" s="46"/>
      <c r="BW132" s="46"/>
      <c r="BX132" s="46"/>
      <c r="BY132" s="46"/>
      <c r="BZ132" s="46"/>
      <c r="CA132" s="46"/>
      <c r="CB132" s="46"/>
      <c r="CC132" s="46"/>
      <c r="CD132" s="46"/>
      <c r="CE132" s="46"/>
      <c r="CF132" s="46"/>
      <c r="CG132" s="46"/>
      <c r="CH132" s="46"/>
      <c r="CI132" s="46"/>
      <c r="CJ132" s="46"/>
      <c r="CK132" s="46"/>
      <c r="CL132" s="46"/>
      <c r="CM132" s="46"/>
      <c r="CN132" s="46"/>
      <c r="CO132" s="46"/>
      <c r="CP132" s="46"/>
      <c r="CQ132" s="46"/>
      <c r="CR132" s="46"/>
      <c r="CS132" s="46"/>
      <c r="CT132" s="46"/>
      <c r="CU132" s="46"/>
      <c r="CV132" s="46"/>
      <c r="CW132" s="46"/>
      <c r="CX132" s="46"/>
      <c r="CY132" s="46"/>
      <c r="CZ132" s="46"/>
      <c r="DA132" s="46"/>
      <c r="DB132" s="46"/>
      <c r="DC132" s="46"/>
      <c r="DD132" s="46"/>
      <c r="DE132" s="46"/>
      <c r="DF132" s="46"/>
      <c r="DG132" s="46"/>
      <c r="DH132" s="46"/>
      <c r="DI132" s="46"/>
      <c r="DJ132" s="46"/>
      <c r="DK132" s="46"/>
      <c r="DL132" s="46"/>
      <c r="DM132" s="46"/>
      <c r="DN132" s="46"/>
      <c r="DO132" s="46"/>
      <c r="DP132" s="46"/>
      <c r="DQ132" s="46"/>
      <c r="DR132" s="46"/>
      <c r="DS132" s="46"/>
      <c r="DT132" s="46"/>
      <c r="DU132" s="46"/>
      <c r="DV132" s="46"/>
      <c r="DW132" s="46"/>
      <c r="DX132" s="46"/>
      <c r="DY132" s="46"/>
      <c r="DZ132" s="46"/>
      <c r="EA132" s="46"/>
      <c r="EB132" s="46"/>
      <c r="EC132" s="46"/>
      <c r="ED132" s="46"/>
      <c r="EE132" s="46"/>
      <c r="EF132" s="46"/>
      <c r="EG132" s="46"/>
      <c r="EH132" s="46"/>
      <c r="EI132" s="46"/>
      <c r="EJ132" s="46"/>
      <c r="EK132" s="46"/>
      <c r="EL132" s="46"/>
      <c r="EM132" s="46"/>
    </row>
    <row r="133" spans="1:143" ht="18" customHeight="1">
      <c r="A133" s="47"/>
      <c r="B133" s="51" t="str">
        <f t="shared" si="3"/>
        <v/>
      </c>
      <c r="C133" s="47"/>
      <c r="D133" s="47"/>
      <c r="E133" s="66"/>
      <c r="F133" s="47"/>
      <c r="G133" s="50"/>
      <c r="H133" s="48"/>
      <c r="I133" s="48"/>
      <c r="J133" s="47"/>
      <c r="K133" s="48"/>
      <c r="L133" s="66"/>
      <c r="M133" s="56"/>
      <c r="N133" s="56"/>
      <c r="O133" s="46"/>
      <c r="P133" s="46"/>
      <c r="Q133" s="46"/>
      <c r="R133" s="46"/>
      <c r="S133" s="46"/>
      <c r="T133" s="46"/>
      <c r="U133" s="46"/>
      <c r="V133" s="46"/>
      <c r="W133" s="46"/>
      <c r="X133" s="46"/>
      <c r="Y133" s="46"/>
      <c r="Z133" s="46"/>
      <c r="AA133" s="46"/>
      <c r="AB133" s="46"/>
      <c r="AC133" s="46"/>
      <c r="AD133" s="46"/>
      <c r="AE133" s="46"/>
      <c r="AF133" s="46"/>
      <c r="AG133" s="46"/>
      <c r="AH133" s="46"/>
      <c r="AI133" s="46"/>
      <c r="AJ133" s="46"/>
      <c r="AK133" s="46"/>
      <c r="AL133" s="46"/>
      <c r="AM133" s="46"/>
      <c r="AN133" s="46"/>
      <c r="AO133" s="46"/>
      <c r="AP133" s="46"/>
      <c r="AQ133" s="46"/>
      <c r="AR133" s="46"/>
      <c r="AS133" s="46"/>
      <c r="AT133" s="46"/>
      <c r="AU133" s="46"/>
      <c r="AV133" s="46"/>
      <c r="AW133" s="46"/>
      <c r="AX133" s="46"/>
      <c r="AY133" s="46"/>
      <c r="AZ133" s="46"/>
      <c r="BA133" s="46"/>
      <c r="BB133" s="46"/>
      <c r="BC133" s="46"/>
      <c r="BD133" s="46"/>
      <c r="BE133" s="46"/>
      <c r="BF133" s="46"/>
      <c r="BG133" s="46"/>
      <c r="BH133" s="46"/>
      <c r="BI133" s="46"/>
      <c r="BJ133" s="46"/>
      <c r="BK133" s="46"/>
      <c r="BL133" s="46"/>
      <c r="BM133" s="46"/>
      <c r="BN133" s="46"/>
      <c r="BO133" s="46"/>
      <c r="BP133" s="46"/>
      <c r="BQ133" s="46"/>
      <c r="BR133" s="46"/>
      <c r="BS133" s="46"/>
      <c r="BT133" s="46"/>
      <c r="BU133" s="46"/>
      <c r="BV133" s="46"/>
      <c r="BW133" s="46"/>
      <c r="BX133" s="46"/>
      <c r="BY133" s="46"/>
      <c r="BZ133" s="46"/>
      <c r="CA133" s="46"/>
      <c r="CB133" s="46"/>
      <c r="CC133" s="46"/>
      <c r="CD133" s="46"/>
      <c r="CE133" s="46"/>
      <c r="CF133" s="46"/>
      <c r="CG133" s="46"/>
      <c r="CH133" s="46"/>
      <c r="CI133" s="46"/>
      <c r="CJ133" s="46"/>
      <c r="CK133" s="46"/>
      <c r="CL133" s="46"/>
      <c r="CM133" s="46"/>
      <c r="CN133" s="46"/>
      <c r="CO133" s="46"/>
      <c r="CP133" s="46"/>
      <c r="CQ133" s="46"/>
      <c r="CR133" s="46"/>
      <c r="CS133" s="46"/>
      <c r="CT133" s="46"/>
      <c r="CU133" s="46"/>
      <c r="CV133" s="46"/>
      <c r="CW133" s="46"/>
      <c r="CX133" s="46"/>
      <c r="CY133" s="46"/>
      <c r="CZ133" s="46"/>
      <c r="DA133" s="46"/>
      <c r="DB133" s="46"/>
      <c r="DC133" s="46"/>
      <c r="DD133" s="46"/>
      <c r="DE133" s="46"/>
      <c r="DF133" s="46"/>
      <c r="DG133" s="46"/>
      <c r="DH133" s="46"/>
      <c r="DI133" s="46"/>
      <c r="DJ133" s="46"/>
      <c r="DK133" s="46"/>
      <c r="DL133" s="46"/>
      <c r="DM133" s="46"/>
      <c r="DN133" s="46"/>
      <c r="DO133" s="46"/>
      <c r="DP133" s="46"/>
      <c r="DQ133" s="46"/>
      <c r="DR133" s="46"/>
      <c r="DS133" s="46"/>
      <c r="DT133" s="46"/>
      <c r="DU133" s="46"/>
      <c r="DV133" s="46"/>
      <c r="DW133" s="46"/>
      <c r="DX133" s="46"/>
      <c r="DY133" s="46"/>
      <c r="DZ133" s="46"/>
      <c r="EA133" s="46"/>
      <c r="EB133" s="46"/>
      <c r="EC133" s="46"/>
      <c r="ED133" s="46"/>
      <c r="EE133" s="46"/>
      <c r="EF133" s="46"/>
      <c r="EG133" s="46"/>
      <c r="EH133" s="46"/>
      <c r="EI133" s="46"/>
      <c r="EJ133" s="46"/>
      <c r="EK133" s="46"/>
      <c r="EL133" s="46"/>
      <c r="EM133" s="46"/>
    </row>
    <row r="134" spans="1:143" ht="18" customHeight="1">
      <c r="A134" s="47"/>
      <c r="B134" s="51" t="str">
        <f t="shared" si="3"/>
        <v/>
      </c>
      <c r="C134" s="47"/>
      <c r="D134" s="47"/>
      <c r="E134" s="66"/>
      <c r="F134" s="47"/>
      <c r="G134" s="50"/>
      <c r="H134" s="48"/>
      <c r="I134" s="48"/>
      <c r="J134" s="47"/>
      <c r="K134" s="48"/>
      <c r="L134" s="66"/>
      <c r="M134" s="56"/>
      <c r="N134" s="56"/>
      <c r="O134" s="46"/>
      <c r="P134" s="46"/>
      <c r="Q134" s="46"/>
      <c r="R134" s="46"/>
      <c r="S134" s="46"/>
      <c r="T134" s="46"/>
      <c r="U134" s="46"/>
      <c r="V134" s="46"/>
      <c r="W134" s="46"/>
      <c r="X134" s="46"/>
      <c r="Y134" s="46"/>
      <c r="Z134" s="46"/>
      <c r="AA134" s="46"/>
      <c r="AB134" s="46"/>
      <c r="AC134" s="46"/>
      <c r="AD134" s="46"/>
      <c r="AE134" s="46"/>
      <c r="AF134" s="46"/>
      <c r="AG134" s="46"/>
      <c r="AH134" s="46"/>
      <c r="AI134" s="46"/>
      <c r="AJ134" s="46"/>
      <c r="AK134" s="46"/>
      <c r="AL134" s="46"/>
      <c r="AM134" s="46"/>
      <c r="AN134" s="46"/>
      <c r="AO134" s="46"/>
      <c r="AP134" s="46"/>
      <c r="AQ134" s="46"/>
      <c r="AR134" s="46"/>
      <c r="AS134" s="46"/>
      <c r="AT134" s="46"/>
      <c r="AU134" s="46"/>
      <c r="AV134" s="46"/>
      <c r="AW134" s="46"/>
      <c r="AX134" s="46"/>
      <c r="AY134" s="46"/>
      <c r="AZ134" s="46"/>
      <c r="BA134" s="46"/>
      <c r="BB134" s="46"/>
      <c r="BC134" s="46"/>
      <c r="BD134" s="46"/>
      <c r="BE134" s="46"/>
      <c r="BF134" s="46"/>
      <c r="BG134" s="46"/>
      <c r="BH134" s="46"/>
      <c r="BI134" s="46"/>
      <c r="BJ134" s="46"/>
      <c r="BK134" s="46"/>
      <c r="BL134" s="46"/>
      <c r="BM134" s="46"/>
      <c r="BN134" s="46"/>
      <c r="BO134" s="46"/>
      <c r="BP134" s="46"/>
      <c r="BQ134" s="46"/>
      <c r="BR134" s="46"/>
      <c r="BS134" s="46"/>
      <c r="BT134" s="46"/>
      <c r="BU134" s="46"/>
      <c r="BV134" s="46"/>
      <c r="BW134" s="46"/>
      <c r="BX134" s="46"/>
      <c r="BY134" s="46"/>
      <c r="BZ134" s="46"/>
      <c r="CA134" s="46"/>
      <c r="CB134" s="46"/>
      <c r="CC134" s="46"/>
      <c r="CD134" s="46"/>
      <c r="CE134" s="46"/>
      <c r="CF134" s="46"/>
      <c r="CG134" s="46"/>
      <c r="CH134" s="46"/>
      <c r="CI134" s="46"/>
      <c r="CJ134" s="46"/>
      <c r="CK134" s="46"/>
      <c r="CL134" s="46"/>
      <c r="CM134" s="46"/>
      <c r="CN134" s="46"/>
      <c r="CO134" s="46"/>
      <c r="CP134" s="46"/>
      <c r="CQ134" s="46"/>
      <c r="CR134" s="46"/>
      <c r="CS134" s="46"/>
      <c r="CT134" s="46"/>
      <c r="CU134" s="46"/>
      <c r="CV134" s="46"/>
      <c r="CW134" s="46"/>
      <c r="CX134" s="46"/>
      <c r="CY134" s="46"/>
      <c r="CZ134" s="46"/>
      <c r="DA134" s="46"/>
      <c r="DB134" s="46"/>
      <c r="DC134" s="46"/>
      <c r="DD134" s="46"/>
      <c r="DE134" s="46"/>
      <c r="DF134" s="46"/>
      <c r="DG134" s="46"/>
      <c r="DH134" s="46"/>
      <c r="DI134" s="46"/>
      <c r="DJ134" s="46"/>
      <c r="DK134" s="46"/>
      <c r="DL134" s="46"/>
      <c r="DM134" s="46"/>
      <c r="DN134" s="46"/>
      <c r="DO134" s="46"/>
      <c r="DP134" s="46"/>
      <c r="DQ134" s="46"/>
      <c r="DR134" s="46"/>
      <c r="DS134" s="46"/>
      <c r="DT134" s="46"/>
      <c r="DU134" s="46"/>
      <c r="DV134" s="46"/>
      <c r="DW134" s="46"/>
      <c r="DX134" s="46"/>
      <c r="DY134" s="46"/>
      <c r="DZ134" s="46"/>
      <c r="EA134" s="46"/>
      <c r="EB134" s="46"/>
      <c r="EC134" s="46"/>
      <c r="ED134" s="46"/>
      <c r="EE134" s="46"/>
      <c r="EF134" s="46"/>
      <c r="EG134" s="46"/>
      <c r="EH134" s="46"/>
      <c r="EI134" s="46"/>
      <c r="EJ134" s="46"/>
      <c r="EK134" s="46"/>
      <c r="EL134" s="46"/>
      <c r="EM134" s="46"/>
    </row>
    <row r="135" spans="1:143" ht="18" customHeight="1">
      <c r="A135" s="47"/>
      <c r="B135" s="51" t="str">
        <f t="shared" si="3"/>
        <v/>
      </c>
      <c r="C135" s="47"/>
      <c r="D135" s="47"/>
      <c r="E135" s="66"/>
      <c r="F135" s="47"/>
      <c r="G135" s="50"/>
      <c r="H135" s="48"/>
      <c r="I135" s="48"/>
      <c r="J135" s="47"/>
      <c r="K135" s="48"/>
      <c r="L135" s="66"/>
      <c r="M135" s="56"/>
      <c r="N135" s="5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c r="AW135" s="46"/>
      <c r="AX135" s="46"/>
      <c r="AY135" s="46"/>
      <c r="AZ135" s="46"/>
      <c r="BA135" s="46"/>
      <c r="BB135" s="46"/>
      <c r="BC135" s="46"/>
      <c r="BD135" s="46"/>
      <c r="BE135" s="46"/>
      <c r="BF135" s="46"/>
      <c r="BG135" s="46"/>
      <c r="BH135" s="46"/>
      <c r="BI135" s="46"/>
      <c r="BJ135" s="46"/>
      <c r="BK135" s="46"/>
      <c r="BL135" s="46"/>
      <c r="BM135" s="46"/>
      <c r="BN135" s="46"/>
      <c r="BO135" s="46"/>
      <c r="BP135" s="46"/>
      <c r="BQ135" s="46"/>
      <c r="BR135" s="46"/>
      <c r="BS135" s="46"/>
      <c r="BT135" s="46"/>
      <c r="BU135" s="46"/>
      <c r="BV135" s="46"/>
      <c r="BW135" s="46"/>
      <c r="BX135" s="46"/>
      <c r="BY135" s="46"/>
      <c r="BZ135" s="46"/>
      <c r="CA135" s="46"/>
      <c r="CB135" s="46"/>
      <c r="CC135" s="46"/>
      <c r="CD135" s="46"/>
      <c r="CE135" s="46"/>
      <c r="CF135" s="46"/>
      <c r="CG135" s="46"/>
      <c r="CH135" s="46"/>
      <c r="CI135" s="46"/>
      <c r="CJ135" s="46"/>
      <c r="CK135" s="46"/>
      <c r="CL135" s="46"/>
      <c r="CM135" s="46"/>
      <c r="CN135" s="46"/>
      <c r="CO135" s="46"/>
      <c r="CP135" s="46"/>
      <c r="CQ135" s="46"/>
      <c r="CR135" s="46"/>
      <c r="CS135" s="46"/>
      <c r="CT135" s="46"/>
      <c r="CU135" s="46"/>
      <c r="CV135" s="46"/>
      <c r="CW135" s="46"/>
      <c r="CX135" s="46"/>
      <c r="CY135" s="46"/>
      <c r="CZ135" s="46"/>
      <c r="DA135" s="46"/>
      <c r="DB135" s="46"/>
      <c r="DC135" s="46"/>
      <c r="DD135" s="46"/>
      <c r="DE135" s="46"/>
      <c r="DF135" s="46"/>
      <c r="DG135" s="46"/>
      <c r="DH135" s="46"/>
      <c r="DI135" s="46"/>
      <c r="DJ135" s="46"/>
      <c r="DK135" s="46"/>
      <c r="DL135" s="46"/>
      <c r="DM135" s="46"/>
      <c r="DN135" s="46"/>
      <c r="DO135" s="46"/>
      <c r="DP135" s="46"/>
      <c r="DQ135" s="46"/>
      <c r="DR135" s="46"/>
      <c r="DS135" s="46"/>
      <c r="DT135" s="46"/>
      <c r="DU135" s="46"/>
      <c r="DV135" s="46"/>
      <c r="DW135" s="46"/>
      <c r="DX135" s="46"/>
      <c r="DY135" s="46"/>
      <c r="DZ135" s="46"/>
      <c r="EA135" s="46"/>
      <c r="EB135" s="46"/>
      <c r="EC135" s="46"/>
      <c r="ED135" s="46"/>
      <c r="EE135" s="46"/>
      <c r="EF135" s="46"/>
      <c r="EG135" s="46"/>
      <c r="EH135" s="46"/>
      <c r="EI135" s="46"/>
      <c r="EJ135" s="46"/>
      <c r="EK135" s="46"/>
      <c r="EL135" s="46"/>
      <c r="EM135" s="46"/>
    </row>
    <row r="136" spans="1:143" ht="18" customHeight="1">
      <c r="A136" s="47"/>
      <c r="B136" s="51" t="str">
        <f t="shared" si="3"/>
        <v/>
      </c>
      <c r="C136" s="47"/>
      <c r="D136" s="47"/>
      <c r="E136" s="66"/>
      <c r="F136" s="47"/>
      <c r="G136" s="50"/>
      <c r="H136" s="48"/>
      <c r="I136" s="48"/>
      <c r="J136" s="47"/>
      <c r="K136" s="48"/>
      <c r="L136" s="66"/>
      <c r="M136" s="56"/>
      <c r="N136" s="56"/>
      <c r="O136" s="46"/>
      <c r="P136" s="46"/>
      <c r="Q136" s="46"/>
      <c r="R136" s="46"/>
      <c r="S136" s="46"/>
      <c r="T136" s="46"/>
      <c r="U136" s="46"/>
      <c r="V136" s="46"/>
      <c r="W136" s="46"/>
      <c r="X136" s="46"/>
      <c r="Y136" s="46"/>
      <c r="Z136" s="46"/>
      <c r="AA136" s="46"/>
      <c r="AB136" s="46"/>
      <c r="AC136" s="46"/>
      <c r="AD136" s="46"/>
      <c r="AE136" s="46"/>
      <c r="AF136" s="46"/>
      <c r="AG136" s="46"/>
      <c r="AH136" s="46"/>
      <c r="AI136" s="46"/>
      <c r="AJ136" s="46"/>
      <c r="AK136" s="46"/>
      <c r="AL136" s="46"/>
      <c r="AM136" s="46"/>
      <c r="AN136" s="46"/>
      <c r="AO136" s="46"/>
      <c r="AP136" s="46"/>
      <c r="AQ136" s="46"/>
      <c r="AR136" s="46"/>
      <c r="AS136" s="46"/>
      <c r="AT136" s="46"/>
      <c r="AU136" s="46"/>
      <c r="AV136" s="46"/>
      <c r="AW136" s="46"/>
      <c r="AX136" s="46"/>
      <c r="AY136" s="46"/>
      <c r="AZ136" s="46"/>
      <c r="BA136" s="46"/>
      <c r="BB136" s="46"/>
      <c r="BC136" s="46"/>
      <c r="BD136" s="46"/>
      <c r="BE136" s="46"/>
      <c r="BF136" s="46"/>
      <c r="BG136" s="46"/>
      <c r="BH136" s="46"/>
      <c r="BI136" s="46"/>
      <c r="BJ136" s="46"/>
      <c r="BK136" s="46"/>
      <c r="BL136" s="46"/>
      <c r="BM136" s="46"/>
      <c r="BN136" s="46"/>
      <c r="BO136" s="46"/>
      <c r="BP136" s="46"/>
      <c r="BQ136" s="46"/>
      <c r="BR136" s="46"/>
      <c r="BS136" s="46"/>
      <c r="BT136" s="46"/>
      <c r="BU136" s="46"/>
      <c r="BV136" s="46"/>
      <c r="BW136" s="46"/>
      <c r="BX136" s="46"/>
      <c r="BY136" s="46"/>
      <c r="BZ136" s="46"/>
      <c r="CA136" s="46"/>
      <c r="CB136" s="46"/>
      <c r="CC136" s="46"/>
      <c r="CD136" s="46"/>
      <c r="CE136" s="46"/>
      <c r="CF136" s="46"/>
      <c r="CG136" s="46"/>
      <c r="CH136" s="46"/>
      <c r="CI136" s="46"/>
      <c r="CJ136" s="46"/>
      <c r="CK136" s="46"/>
      <c r="CL136" s="46"/>
      <c r="CM136" s="46"/>
      <c r="CN136" s="46"/>
      <c r="CO136" s="46"/>
      <c r="CP136" s="46"/>
      <c r="CQ136" s="46"/>
      <c r="CR136" s="46"/>
      <c r="CS136" s="46"/>
      <c r="CT136" s="46"/>
      <c r="CU136" s="46"/>
      <c r="CV136" s="46"/>
      <c r="CW136" s="46"/>
      <c r="CX136" s="46"/>
      <c r="CY136" s="46"/>
      <c r="CZ136" s="46"/>
      <c r="DA136" s="46"/>
      <c r="DB136" s="46"/>
      <c r="DC136" s="46"/>
      <c r="DD136" s="46"/>
      <c r="DE136" s="46"/>
      <c r="DF136" s="46"/>
      <c r="DG136" s="46"/>
      <c r="DH136" s="46"/>
      <c r="DI136" s="46"/>
      <c r="DJ136" s="46"/>
      <c r="DK136" s="46"/>
      <c r="DL136" s="46"/>
      <c r="DM136" s="46"/>
      <c r="DN136" s="46"/>
      <c r="DO136" s="46"/>
      <c r="DP136" s="46"/>
      <c r="DQ136" s="46"/>
      <c r="DR136" s="46"/>
      <c r="DS136" s="46"/>
      <c r="DT136" s="46"/>
      <c r="DU136" s="46"/>
      <c r="DV136" s="46"/>
      <c r="DW136" s="46"/>
      <c r="DX136" s="46"/>
      <c r="DY136" s="46"/>
      <c r="DZ136" s="46"/>
      <c r="EA136" s="46"/>
      <c r="EB136" s="46"/>
      <c r="EC136" s="46"/>
      <c r="ED136" s="46"/>
      <c r="EE136" s="46"/>
      <c r="EF136" s="46"/>
      <c r="EG136" s="46"/>
      <c r="EH136" s="46"/>
      <c r="EI136" s="46"/>
      <c r="EJ136" s="46"/>
      <c r="EK136" s="46"/>
      <c r="EL136" s="46"/>
      <c r="EM136" s="46"/>
    </row>
    <row r="137" spans="1:143" ht="18" customHeight="1">
      <c r="A137" s="47"/>
      <c r="B137" s="51" t="str">
        <f t="shared" si="3"/>
        <v/>
      </c>
      <c r="C137" s="47"/>
      <c r="D137" s="47"/>
      <c r="E137" s="66"/>
      <c r="F137" s="47"/>
      <c r="G137" s="50"/>
      <c r="H137" s="48"/>
      <c r="I137" s="48"/>
      <c r="J137" s="47"/>
      <c r="K137" s="48"/>
      <c r="L137" s="66"/>
      <c r="M137" s="56"/>
      <c r="N137" s="56"/>
      <c r="O137" s="46"/>
      <c r="P137" s="46"/>
      <c r="Q137" s="46"/>
      <c r="R137" s="46"/>
      <c r="S137" s="46"/>
      <c r="T137" s="46"/>
      <c r="U137" s="46"/>
      <c r="V137" s="46"/>
      <c r="W137" s="46"/>
      <c r="X137" s="46"/>
      <c r="Y137" s="46"/>
      <c r="Z137" s="46"/>
      <c r="AA137" s="46"/>
      <c r="AB137" s="46"/>
      <c r="AC137" s="46"/>
      <c r="AD137" s="46"/>
      <c r="AE137" s="46"/>
      <c r="AF137" s="46"/>
      <c r="AG137" s="46"/>
      <c r="AH137" s="46"/>
      <c r="AI137" s="46"/>
      <c r="AJ137" s="46"/>
      <c r="AK137" s="46"/>
      <c r="AL137" s="46"/>
      <c r="AM137" s="46"/>
      <c r="AN137" s="46"/>
      <c r="AO137" s="46"/>
      <c r="AP137" s="46"/>
      <c r="AQ137" s="46"/>
      <c r="AR137" s="46"/>
      <c r="AS137" s="46"/>
      <c r="AT137" s="46"/>
      <c r="AU137" s="46"/>
      <c r="AV137" s="46"/>
      <c r="AW137" s="46"/>
      <c r="AX137" s="46"/>
      <c r="AY137" s="46"/>
      <c r="AZ137" s="46"/>
      <c r="BA137" s="46"/>
      <c r="BB137" s="46"/>
      <c r="BC137" s="46"/>
      <c r="BD137" s="46"/>
      <c r="BE137" s="46"/>
      <c r="BF137" s="46"/>
      <c r="BG137" s="46"/>
      <c r="BH137" s="46"/>
      <c r="BI137" s="46"/>
      <c r="BJ137" s="46"/>
      <c r="BK137" s="46"/>
      <c r="BL137" s="46"/>
      <c r="BM137" s="46"/>
      <c r="BN137" s="46"/>
      <c r="BO137" s="46"/>
      <c r="BP137" s="46"/>
      <c r="BQ137" s="46"/>
      <c r="BR137" s="46"/>
      <c r="BS137" s="46"/>
      <c r="BT137" s="46"/>
      <c r="BU137" s="46"/>
      <c r="BV137" s="46"/>
      <c r="BW137" s="46"/>
      <c r="BX137" s="46"/>
      <c r="BY137" s="46"/>
      <c r="BZ137" s="46"/>
      <c r="CA137" s="46"/>
      <c r="CB137" s="46"/>
      <c r="CC137" s="46"/>
      <c r="CD137" s="46"/>
      <c r="CE137" s="46"/>
      <c r="CF137" s="46"/>
      <c r="CG137" s="46"/>
      <c r="CH137" s="46"/>
      <c r="CI137" s="46"/>
      <c r="CJ137" s="46"/>
      <c r="CK137" s="46"/>
      <c r="CL137" s="46"/>
      <c r="CM137" s="46"/>
      <c r="CN137" s="46"/>
      <c r="CO137" s="46"/>
      <c r="CP137" s="46"/>
      <c r="CQ137" s="46"/>
      <c r="CR137" s="46"/>
      <c r="CS137" s="46"/>
      <c r="CT137" s="46"/>
      <c r="CU137" s="46"/>
      <c r="CV137" s="46"/>
      <c r="CW137" s="46"/>
      <c r="CX137" s="46"/>
      <c r="CY137" s="46"/>
      <c r="CZ137" s="46"/>
      <c r="DA137" s="46"/>
      <c r="DB137" s="46"/>
      <c r="DC137" s="46"/>
      <c r="DD137" s="46"/>
      <c r="DE137" s="46"/>
      <c r="DF137" s="46"/>
      <c r="DG137" s="46"/>
      <c r="DH137" s="46"/>
      <c r="DI137" s="46"/>
      <c r="DJ137" s="46"/>
      <c r="DK137" s="46"/>
      <c r="DL137" s="46"/>
      <c r="DM137" s="46"/>
      <c r="DN137" s="46"/>
      <c r="DO137" s="46"/>
      <c r="DP137" s="46"/>
      <c r="DQ137" s="46"/>
      <c r="DR137" s="46"/>
      <c r="DS137" s="46"/>
      <c r="DT137" s="46"/>
      <c r="DU137" s="46"/>
      <c r="DV137" s="46"/>
      <c r="DW137" s="46"/>
      <c r="DX137" s="46"/>
      <c r="DY137" s="46"/>
      <c r="DZ137" s="46"/>
      <c r="EA137" s="46"/>
      <c r="EB137" s="46"/>
      <c r="EC137" s="46"/>
      <c r="ED137" s="46"/>
      <c r="EE137" s="46"/>
      <c r="EF137" s="46"/>
      <c r="EG137" s="46"/>
      <c r="EH137" s="46"/>
      <c r="EI137" s="46"/>
      <c r="EJ137" s="46"/>
      <c r="EK137" s="46"/>
      <c r="EL137" s="46"/>
      <c r="EM137" s="46"/>
    </row>
    <row r="138" spans="1:143" ht="18" customHeight="1">
      <c r="A138" s="47"/>
      <c r="B138" s="51" t="str">
        <f t="shared" si="3"/>
        <v/>
      </c>
      <c r="C138" s="47"/>
      <c r="D138" s="47"/>
      <c r="E138" s="66"/>
      <c r="F138" s="47"/>
      <c r="G138" s="50"/>
      <c r="H138" s="48"/>
      <c r="I138" s="48"/>
      <c r="J138" s="47"/>
      <c r="K138" s="48"/>
      <c r="L138" s="66"/>
      <c r="M138" s="56"/>
      <c r="N138" s="56"/>
      <c r="O138" s="46"/>
      <c r="P138" s="46"/>
      <c r="Q138" s="46"/>
      <c r="R138" s="46"/>
      <c r="S138" s="46"/>
      <c r="T138" s="46"/>
      <c r="U138" s="46"/>
      <c r="V138" s="46"/>
      <c r="W138" s="46"/>
      <c r="X138" s="46"/>
      <c r="Y138" s="46"/>
      <c r="Z138" s="46"/>
      <c r="AA138" s="46"/>
      <c r="AB138" s="46"/>
      <c r="AC138" s="46"/>
      <c r="AD138" s="46"/>
      <c r="AE138" s="46"/>
      <c r="AF138" s="46"/>
      <c r="AG138" s="46"/>
      <c r="AH138" s="46"/>
      <c r="AI138" s="46"/>
      <c r="AJ138" s="46"/>
      <c r="AK138" s="46"/>
      <c r="AL138" s="46"/>
      <c r="AM138" s="46"/>
      <c r="AN138" s="46"/>
      <c r="AO138" s="46"/>
      <c r="AP138" s="46"/>
      <c r="AQ138" s="46"/>
      <c r="AR138" s="46"/>
      <c r="AS138" s="46"/>
      <c r="AT138" s="46"/>
      <c r="AU138" s="46"/>
      <c r="AV138" s="46"/>
      <c r="AW138" s="46"/>
      <c r="AX138" s="46"/>
      <c r="AY138" s="46"/>
      <c r="AZ138" s="46"/>
      <c r="BA138" s="46"/>
      <c r="BB138" s="46"/>
      <c r="BC138" s="46"/>
      <c r="BD138" s="46"/>
      <c r="BE138" s="46"/>
      <c r="BF138" s="46"/>
      <c r="BG138" s="46"/>
      <c r="BH138" s="46"/>
      <c r="BI138" s="46"/>
      <c r="BJ138" s="46"/>
      <c r="BK138" s="46"/>
      <c r="BL138" s="46"/>
      <c r="BM138" s="46"/>
      <c r="BN138" s="46"/>
      <c r="BO138" s="46"/>
      <c r="BP138" s="46"/>
      <c r="BQ138" s="46"/>
      <c r="BR138" s="46"/>
      <c r="BS138" s="46"/>
      <c r="BT138" s="46"/>
      <c r="BU138" s="46"/>
      <c r="BV138" s="46"/>
      <c r="BW138" s="46"/>
      <c r="BX138" s="46"/>
      <c r="BY138" s="46"/>
      <c r="BZ138" s="46"/>
      <c r="CA138" s="46"/>
      <c r="CB138" s="46"/>
      <c r="CC138" s="46"/>
      <c r="CD138" s="46"/>
      <c r="CE138" s="46"/>
      <c r="CF138" s="46"/>
      <c r="CG138" s="46"/>
      <c r="CH138" s="46"/>
      <c r="CI138" s="46"/>
      <c r="CJ138" s="46"/>
      <c r="CK138" s="46"/>
      <c r="CL138" s="46"/>
      <c r="CM138" s="46"/>
      <c r="CN138" s="46"/>
      <c r="CO138" s="46"/>
      <c r="CP138" s="46"/>
      <c r="CQ138" s="46"/>
      <c r="CR138" s="46"/>
      <c r="CS138" s="46"/>
      <c r="CT138" s="46"/>
      <c r="CU138" s="46"/>
      <c r="CV138" s="46"/>
      <c r="CW138" s="46"/>
      <c r="CX138" s="46"/>
      <c r="CY138" s="46"/>
      <c r="CZ138" s="46"/>
      <c r="DA138" s="46"/>
      <c r="DB138" s="46"/>
      <c r="DC138" s="46"/>
      <c r="DD138" s="46"/>
      <c r="DE138" s="46"/>
      <c r="DF138" s="46"/>
      <c r="DG138" s="46"/>
      <c r="DH138" s="46"/>
      <c r="DI138" s="46"/>
      <c r="DJ138" s="46"/>
      <c r="DK138" s="46"/>
      <c r="DL138" s="46"/>
      <c r="DM138" s="46"/>
      <c r="DN138" s="46"/>
      <c r="DO138" s="46"/>
      <c r="DP138" s="46"/>
      <c r="DQ138" s="46"/>
      <c r="DR138" s="46"/>
      <c r="DS138" s="46"/>
      <c r="DT138" s="46"/>
      <c r="DU138" s="46"/>
      <c r="DV138" s="46"/>
      <c r="DW138" s="46"/>
      <c r="DX138" s="46"/>
      <c r="DY138" s="46"/>
      <c r="DZ138" s="46"/>
      <c r="EA138" s="46"/>
      <c r="EB138" s="46"/>
      <c r="EC138" s="46"/>
      <c r="ED138" s="46"/>
      <c r="EE138" s="46"/>
      <c r="EF138" s="46"/>
      <c r="EG138" s="46"/>
      <c r="EH138" s="46"/>
      <c r="EI138" s="46"/>
      <c r="EJ138" s="46"/>
      <c r="EK138" s="46"/>
      <c r="EL138" s="46"/>
      <c r="EM138" s="46"/>
    </row>
    <row r="139" spans="1:143" ht="18" customHeight="1">
      <c r="A139" s="47"/>
      <c r="B139" s="51" t="str">
        <f t="shared" si="3"/>
        <v/>
      </c>
      <c r="C139" s="47"/>
      <c r="D139" s="47"/>
      <c r="E139" s="66"/>
      <c r="F139" s="47"/>
      <c r="G139" s="50"/>
      <c r="H139" s="48"/>
      <c r="I139" s="48"/>
      <c r="J139" s="47"/>
      <c r="K139" s="48"/>
      <c r="L139" s="66"/>
      <c r="M139" s="56"/>
      <c r="N139" s="56"/>
      <c r="O139" s="46"/>
      <c r="P139" s="46"/>
      <c r="Q139" s="46"/>
      <c r="R139" s="46"/>
      <c r="S139" s="46"/>
      <c r="T139" s="46"/>
      <c r="U139" s="46"/>
      <c r="V139" s="46"/>
      <c r="W139" s="46"/>
      <c r="X139" s="46"/>
      <c r="Y139" s="46"/>
      <c r="Z139" s="46"/>
      <c r="AA139" s="46"/>
      <c r="AB139" s="46"/>
      <c r="AC139" s="46"/>
      <c r="AD139" s="46"/>
      <c r="AE139" s="46"/>
      <c r="AF139" s="46"/>
      <c r="AG139" s="46"/>
      <c r="AH139" s="46"/>
      <c r="AI139" s="46"/>
      <c r="AJ139" s="46"/>
      <c r="AK139" s="46"/>
      <c r="AL139" s="46"/>
      <c r="AM139" s="46"/>
      <c r="AN139" s="46"/>
      <c r="AO139" s="46"/>
      <c r="AP139" s="46"/>
      <c r="AQ139" s="46"/>
      <c r="AR139" s="46"/>
      <c r="AS139" s="46"/>
      <c r="AT139" s="46"/>
      <c r="AU139" s="46"/>
      <c r="AV139" s="46"/>
      <c r="AW139" s="46"/>
      <c r="AX139" s="46"/>
      <c r="AY139" s="46"/>
      <c r="AZ139" s="46"/>
      <c r="BA139" s="46"/>
      <c r="BB139" s="46"/>
      <c r="BC139" s="46"/>
      <c r="BD139" s="46"/>
      <c r="BE139" s="46"/>
      <c r="BF139" s="46"/>
      <c r="BG139" s="46"/>
      <c r="BH139" s="46"/>
      <c r="BI139" s="46"/>
      <c r="BJ139" s="46"/>
      <c r="BK139" s="46"/>
      <c r="BL139" s="46"/>
      <c r="BM139" s="46"/>
      <c r="BN139" s="46"/>
      <c r="BO139" s="46"/>
      <c r="BP139" s="46"/>
      <c r="BQ139" s="46"/>
      <c r="BR139" s="46"/>
      <c r="BS139" s="46"/>
      <c r="BT139" s="46"/>
      <c r="BU139" s="46"/>
      <c r="BV139" s="46"/>
      <c r="BW139" s="46"/>
      <c r="BX139" s="46"/>
      <c r="BY139" s="46"/>
      <c r="BZ139" s="46"/>
      <c r="CA139" s="46"/>
      <c r="CB139" s="46"/>
      <c r="CC139" s="46"/>
      <c r="CD139" s="46"/>
      <c r="CE139" s="46"/>
      <c r="CF139" s="46"/>
      <c r="CG139" s="46"/>
      <c r="CH139" s="46"/>
      <c r="CI139" s="46"/>
      <c r="CJ139" s="46"/>
      <c r="CK139" s="46"/>
      <c r="CL139" s="46"/>
      <c r="CM139" s="46"/>
      <c r="CN139" s="46"/>
      <c r="CO139" s="46"/>
      <c r="CP139" s="46"/>
      <c r="CQ139" s="46"/>
      <c r="CR139" s="46"/>
      <c r="CS139" s="46"/>
      <c r="CT139" s="46"/>
      <c r="CU139" s="46"/>
      <c r="CV139" s="46"/>
      <c r="CW139" s="46"/>
      <c r="CX139" s="46"/>
      <c r="CY139" s="46"/>
      <c r="CZ139" s="46"/>
      <c r="DA139" s="46"/>
      <c r="DB139" s="46"/>
      <c r="DC139" s="46"/>
      <c r="DD139" s="46"/>
      <c r="DE139" s="46"/>
      <c r="DF139" s="46"/>
      <c r="DG139" s="46"/>
      <c r="DH139" s="46"/>
      <c r="DI139" s="46"/>
      <c r="DJ139" s="46"/>
      <c r="DK139" s="46"/>
      <c r="DL139" s="46"/>
      <c r="DM139" s="46"/>
      <c r="DN139" s="46"/>
      <c r="DO139" s="46"/>
      <c r="DP139" s="46"/>
      <c r="DQ139" s="46"/>
      <c r="DR139" s="46"/>
      <c r="DS139" s="46"/>
      <c r="DT139" s="46"/>
      <c r="DU139" s="46"/>
      <c r="DV139" s="46"/>
      <c r="DW139" s="46"/>
      <c r="DX139" s="46"/>
      <c r="DY139" s="46"/>
      <c r="DZ139" s="46"/>
      <c r="EA139" s="46"/>
      <c r="EB139" s="46"/>
      <c r="EC139" s="46"/>
      <c r="ED139" s="46"/>
      <c r="EE139" s="46"/>
      <c r="EF139" s="46"/>
      <c r="EG139" s="46"/>
      <c r="EH139" s="46"/>
      <c r="EI139" s="46"/>
      <c r="EJ139" s="46"/>
      <c r="EK139" s="46"/>
      <c r="EL139" s="46"/>
      <c r="EM139" s="46"/>
    </row>
    <row r="140" spans="1:143" ht="18" customHeight="1">
      <c r="A140" s="47"/>
      <c r="B140" s="51" t="str">
        <f t="shared" ref="B140:B159" si="4">IF(A140="","",IFERROR(_xlfn.XLOOKUP(A140,$A$61:$A$70,$B$61:$B$70,""),""))</f>
        <v/>
      </c>
      <c r="C140" s="47"/>
      <c r="D140" s="47"/>
      <c r="E140" s="66"/>
      <c r="F140" s="47"/>
      <c r="G140" s="50"/>
      <c r="H140" s="48"/>
      <c r="I140" s="48"/>
      <c r="J140" s="47"/>
      <c r="K140" s="48"/>
      <c r="L140" s="66"/>
      <c r="M140" s="56"/>
      <c r="N140" s="56"/>
      <c r="O140" s="46"/>
      <c r="P140" s="46"/>
      <c r="Q140" s="46"/>
      <c r="R140" s="46"/>
      <c r="S140" s="46"/>
      <c r="T140" s="46"/>
      <c r="U140" s="46"/>
      <c r="V140" s="46"/>
      <c r="W140" s="46"/>
      <c r="X140" s="46"/>
      <c r="Y140" s="46"/>
      <c r="Z140" s="46"/>
      <c r="AA140" s="46"/>
      <c r="AB140" s="46"/>
      <c r="AC140" s="46"/>
      <c r="AD140" s="46"/>
      <c r="AE140" s="46"/>
      <c r="AF140" s="46"/>
      <c r="AG140" s="46"/>
      <c r="AH140" s="46"/>
      <c r="AI140" s="46"/>
      <c r="AJ140" s="46"/>
      <c r="AK140" s="46"/>
      <c r="AL140" s="46"/>
      <c r="AM140" s="46"/>
      <c r="AN140" s="46"/>
      <c r="AO140" s="46"/>
      <c r="AP140" s="46"/>
      <c r="AQ140" s="46"/>
      <c r="AR140" s="46"/>
      <c r="AS140" s="46"/>
      <c r="AT140" s="46"/>
      <c r="AU140" s="46"/>
      <c r="AV140" s="46"/>
      <c r="AW140" s="46"/>
      <c r="AX140" s="46"/>
      <c r="AY140" s="46"/>
      <c r="AZ140" s="46"/>
      <c r="BA140" s="46"/>
      <c r="BB140" s="46"/>
      <c r="BC140" s="46"/>
      <c r="BD140" s="46"/>
      <c r="BE140" s="46"/>
      <c r="BF140" s="46"/>
      <c r="BG140" s="46"/>
      <c r="BH140" s="46"/>
      <c r="BI140" s="46"/>
      <c r="BJ140" s="46"/>
      <c r="BK140" s="46"/>
      <c r="BL140" s="46"/>
      <c r="BM140" s="46"/>
      <c r="BN140" s="46"/>
      <c r="BO140" s="46"/>
      <c r="BP140" s="46"/>
      <c r="BQ140" s="46"/>
      <c r="BR140" s="46"/>
      <c r="BS140" s="46"/>
      <c r="BT140" s="46"/>
      <c r="BU140" s="46"/>
      <c r="BV140" s="46"/>
      <c r="BW140" s="46"/>
      <c r="BX140" s="46"/>
      <c r="BY140" s="46"/>
      <c r="BZ140" s="46"/>
      <c r="CA140" s="46"/>
      <c r="CB140" s="46"/>
      <c r="CC140" s="46"/>
      <c r="CD140" s="46"/>
      <c r="CE140" s="46"/>
      <c r="CF140" s="46"/>
      <c r="CG140" s="46"/>
      <c r="CH140" s="46"/>
      <c r="CI140" s="46"/>
      <c r="CJ140" s="46"/>
      <c r="CK140" s="46"/>
      <c r="CL140" s="46"/>
      <c r="CM140" s="46"/>
      <c r="CN140" s="46"/>
      <c r="CO140" s="46"/>
      <c r="CP140" s="46"/>
      <c r="CQ140" s="46"/>
      <c r="CR140" s="46"/>
      <c r="CS140" s="46"/>
      <c r="CT140" s="46"/>
      <c r="CU140" s="46"/>
      <c r="CV140" s="46"/>
      <c r="CW140" s="46"/>
      <c r="CX140" s="46"/>
      <c r="CY140" s="46"/>
      <c r="CZ140" s="46"/>
      <c r="DA140" s="46"/>
      <c r="DB140" s="46"/>
      <c r="DC140" s="46"/>
      <c r="DD140" s="46"/>
      <c r="DE140" s="46"/>
      <c r="DF140" s="46"/>
      <c r="DG140" s="46"/>
      <c r="DH140" s="46"/>
      <c r="DI140" s="46"/>
      <c r="DJ140" s="46"/>
      <c r="DK140" s="46"/>
      <c r="DL140" s="46"/>
      <c r="DM140" s="46"/>
      <c r="DN140" s="46"/>
      <c r="DO140" s="46"/>
      <c r="DP140" s="46"/>
      <c r="DQ140" s="46"/>
      <c r="DR140" s="46"/>
      <c r="DS140" s="46"/>
      <c r="DT140" s="46"/>
      <c r="DU140" s="46"/>
      <c r="DV140" s="46"/>
      <c r="DW140" s="46"/>
      <c r="DX140" s="46"/>
      <c r="DY140" s="46"/>
      <c r="DZ140" s="46"/>
      <c r="EA140" s="46"/>
      <c r="EB140" s="46"/>
      <c r="EC140" s="46"/>
      <c r="ED140" s="46"/>
      <c r="EE140" s="46"/>
      <c r="EF140" s="46"/>
      <c r="EG140" s="46"/>
      <c r="EH140" s="46"/>
      <c r="EI140" s="46"/>
      <c r="EJ140" s="46"/>
      <c r="EK140" s="46"/>
      <c r="EL140" s="46"/>
      <c r="EM140" s="46"/>
    </row>
    <row r="141" spans="1:143" ht="18" customHeight="1">
      <c r="A141" s="47"/>
      <c r="B141" s="51" t="str">
        <f t="shared" si="4"/>
        <v/>
      </c>
      <c r="C141" s="47"/>
      <c r="D141" s="47"/>
      <c r="E141" s="66"/>
      <c r="F141" s="47"/>
      <c r="G141" s="50"/>
      <c r="H141" s="48"/>
      <c r="I141" s="48"/>
      <c r="J141" s="47"/>
      <c r="K141" s="48"/>
      <c r="L141" s="66"/>
      <c r="M141" s="56"/>
      <c r="N141" s="56"/>
      <c r="O141" s="46"/>
      <c r="P141" s="46"/>
      <c r="Q141" s="46"/>
      <c r="R141" s="46"/>
      <c r="S141" s="46"/>
      <c r="T141" s="46"/>
      <c r="U141" s="46"/>
      <c r="V141" s="46"/>
      <c r="W141" s="46"/>
      <c r="X141" s="46"/>
      <c r="Y141" s="46"/>
      <c r="Z141" s="46"/>
      <c r="AA141" s="46"/>
      <c r="AB141" s="46"/>
      <c r="AC141" s="46"/>
      <c r="AD141" s="46"/>
      <c r="AE141" s="46"/>
      <c r="AF141" s="46"/>
      <c r="AG141" s="46"/>
      <c r="AH141" s="46"/>
      <c r="AI141" s="46"/>
      <c r="AJ141" s="46"/>
      <c r="AK141" s="46"/>
      <c r="AL141" s="46"/>
      <c r="AM141" s="46"/>
      <c r="AN141" s="46"/>
      <c r="AO141" s="46"/>
      <c r="AP141" s="46"/>
      <c r="AQ141" s="46"/>
      <c r="AR141" s="46"/>
      <c r="AS141" s="46"/>
      <c r="AT141" s="46"/>
      <c r="AU141" s="46"/>
      <c r="AV141" s="46"/>
      <c r="AW141" s="46"/>
      <c r="AX141" s="46"/>
      <c r="AY141" s="46"/>
      <c r="AZ141" s="46"/>
      <c r="BA141" s="46"/>
      <c r="BB141" s="46"/>
      <c r="BC141" s="46"/>
      <c r="BD141" s="46"/>
      <c r="BE141" s="46"/>
      <c r="BF141" s="46"/>
      <c r="BG141" s="46"/>
      <c r="BH141" s="46"/>
      <c r="BI141" s="46"/>
      <c r="BJ141" s="46"/>
      <c r="BK141" s="46"/>
      <c r="BL141" s="46"/>
      <c r="BM141" s="46"/>
      <c r="BN141" s="46"/>
      <c r="BO141" s="46"/>
      <c r="BP141" s="46"/>
      <c r="BQ141" s="46"/>
      <c r="BR141" s="46"/>
      <c r="BS141" s="46"/>
      <c r="BT141" s="46"/>
      <c r="BU141" s="46"/>
      <c r="BV141" s="46"/>
      <c r="BW141" s="46"/>
      <c r="BX141" s="46"/>
      <c r="BY141" s="46"/>
      <c r="BZ141" s="46"/>
      <c r="CA141" s="46"/>
      <c r="CB141" s="46"/>
      <c r="CC141" s="46"/>
      <c r="CD141" s="46"/>
      <c r="CE141" s="46"/>
      <c r="CF141" s="46"/>
      <c r="CG141" s="46"/>
      <c r="CH141" s="46"/>
      <c r="CI141" s="46"/>
      <c r="CJ141" s="46"/>
      <c r="CK141" s="46"/>
      <c r="CL141" s="46"/>
      <c r="CM141" s="46"/>
      <c r="CN141" s="46"/>
      <c r="CO141" s="46"/>
      <c r="CP141" s="46"/>
      <c r="CQ141" s="46"/>
      <c r="CR141" s="46"/>
      <c r="CS141" s="46"/>
      <c r="CT141" s="46"/>
      <c r="CU141" s="46"/>
      <c r="CV141" s="46"/>
      <c r="CW141" s="46"/>
      <c r="CX141" s="46"/>
      <c r="CY141" s="46"/>
      <c r="CZ141" s="46"/>
      <c r="DA141" s="46"/>
      <c r="DB141" s="46"/>
      <c r="DC141" s="46"/>
      <c r="DD141" s="46"/>
      <c r="DE141" s="46"/>
      <c r="DF141" s="46"/>
      <c r="DG141" s="46"/>
      <c r="DH141" s="46"/>
      <c r="DI141" s="46"/>
      <c r="DJ141" s="46"/>
      <c r="DK141" s="46"/>
      <c r="DL141" s="46"/>
      <c r="DM141" s="46"/>
      <c r="DN141" s="46"/>
      <c r="DO141" s="46"/>
      <c r="DP141" s="46"/>
      <c r="DQ141" s="46"/>
      <c r="DR141" s="46"/>
      <c r="DS141" s="46"/>
      <c r="DT141" s="46"/>
      <c r="DU141" s="46"/>
      <c r="DV141" s="46"/>
      <c r="DW141" s="46"/>
      <c r="DX141" s="46"/>
      <c r="DY141" s="46"/>
      <c r="DZ141" s="46"/>
      <c r="EA141" s="46"/>
      <c r="EB141" s="46"/>
      <c r="EC141" s="46"/>
      <c r="ED141" s="46"/>
      <c r="EE141" s="46"/>
      <c r="EF141" s="46"/>
      <c r="EG141" s="46"/>
      <c r="EH141" s="46"/>
      <c r="EI141" s="46"/>
      <c r="EJ141" s="46"/>
      <c r="EK141" s="46"/>
      <c r="EL141" s="46"/>
      <c r="EM141" s="46"/>
    </row>
    <row r="142" spans="1:143" ht="18" customHeight="1">
      <c r="A142" s="47"/>
      <c r="B142" s="51" t="str">
        <f t="shared" si="4"/>
        <v/>
      </c>
      <c r="C142" s="47"/>
      <c r="D142" s="47"/>
      <c r="E142" s="66"/>
      <c r="F142" s="47"/>
      <c r="G142" s="50"/>
      <c r="H142" s="48"/>
      <c r="I142" s="48"/>
      <c r="J142" s="47"/>
      <c r="K142" s="48"/>
      <c r="L142" s="66"/>
      <c r="M142" s="56"/>
      <c r="N142" s="56"/>
      <c r="O142" s="46"/>
      <c r="P142" s="46"/>
      <c r="Q142" s="46"/>
      <c r="R142" s="46"/>
      <c r="S142" s="46"/>
      <c r="T142" s="46"/>
      <c r="U142" s="46"/>
      <c r="V142" s="46"/>
      <c r="W142" s="46"/>
      <c r="X142" s="46"/>
      <c r="Y142" s="46"/>
      <c r="Z142" s="46"/>
      <c r="AA142" s="46"/>
      <c r="AB142" s="46"/>
      <c r="AC142" s="46"/>
      <c r="AD142" s="46"/>
      <c r="AE142" s="46"/>
      <c r="AF142" s="46"/>
      <c r="AG142" s="46"/>
      <c r="AH142" s="46"/>
      <c r="AI142" s="46"/>
      <c r="AJ142" s="46"/>
      <c r="AK142" s="46"/>
      <c r="AL142" s="46"/>
      <c r="AM142" s="46"/>
      <c r="AN142" s="46"/>
      <c r="AO142" s="46"/>
      <c r="AP142" s="46"/>
      <c r="AQ142" s="46"/>
      <c r="AR142" s="46"/>
      <c r="AS142" s="46"/>
      <c r="AT142" s="46"/>
      <c r="AU142" s="46"/>
      <c r="AV142" s="46"/>
      <c r="AW142" s="46"/>
      <c r="AX142" s="46"/>
      <c r="AY142" s="46"/>
      <c r="AZ142" s="46"/>
      <c r="BA142" s="46"/>
      <c r="BB142" s="46"/>
      <c r="BC142" s="46"/>
      <c r="BD142" s="46"/>
      <c r="BE142" s="46"/>
      <c r="BF142" s="46"/>
      <c r="BG142" s="46"/>
      <c r="BH142" s="46"/>
      <c r="BI142" s="46"/>
      <c r="BJ142" s="46"/>
      <c r="BK142" s="46"/>
      <c r="BL142" s="46"/>
      <c r="BM142" s="46"/>
      <c r="BN142" s="46"/>
      <c r="BO142" s="46"/>
      <c r="BP142" s="46"/>
      <c r="BQ142" s="46"/>
      <c r="BR142" s="46"/>
      <c r="BS142" s="46"/>
      <c r="BT142" s="46"/>
      <c r="BU142" s="46"/>
      <c r="BV142" s="46"/>
      <c r="BW142" s="46"/>
      <c r="BX142" s="46"/>
      <c r="BY142" s="46"/>
      <c r="BZ142" s="46"/>
      <c r="CA142" s="46"/>
      <c r="CB142" s="46"/>
      <c r="CC142" s="46"/>
      <c r="CD142" s="46"/>
      <c r="CE142" s="46"/>
      <c r="CF142" s="46"/>
      <c r="CG142" s="46"/>
      <c r="CH142" s="46"/>
      <c r="CI142" s="46"/>
      <c r="CJ142" s="46"/>
      <c r="CK142" s="46"/>
      <c r="CL142" s="46"/>
      <c r="CM142" s="46"/>
      <c r="CN142" s="46"/>
      <c r="CO142" s="46"/>
      <c r="CP142" s="46"/>
      <c r="CQ142" s="46"/>
      <c r="CR142" s="46"/>
      <c r="CS142" s="46"/>
      <c r="CT142" s="46"/>
      <c r="CU142" s="46"/>
      <c r="CV142" s="46"/>
      <c r="CW142" s="46"/>
      <c r="CX142" s="46"/>
      <c r="CY142" s="46"/>
      <c r="CZ142" s="46"/>
      <c r="DA142" s="46"/>
      <c r="DB142" s="46"/>
      <c r="DC142" s="46"/>
      <c r="DD142" s="46"/>
      <c r="DE142" s="46"/>
      <c r="DF142" s="46"/>
      <c r="DG142" s="46"/>
      <c r="DH142" s="46"/>
      <c r="DI142" s="46"/>
      <c r="DJ142" s="46"/>
      <c r="DK142" s="46"/>
      <c r="DL142" s="46"/>
      <c r="DM142" s="46"/>
      <c r="DN142" s="46"/>
      <c r="DO142" s="46"/>
      <c r="DP142" s="46"/>
      <c r="DQ142" s="46"/>
      <c r="DR142" s="46"/>
      <c r="DS142" s="46"/>
      <c r="DT142" s="46"/>
      <c r="DU142" s="46"/>
      <c r="DV142" s="46"/>
      <c r="DW142" s="46"/>
      <c r="DX142" s="46"/>
      <c r="DY142" s="46"/>
      <c r="DZ142" s="46"/>
      <c r="EA142" s="46"/>
      <c r="EB142" s="46"/>
      <c r="EC142" s="46"/>
      <c r="ED142" s="46"/>
      <c r="EE142" s="46"/>
      <c r="EF142" s="46"/>
      <c r="EG142" s="46"/>
      <c r="EH142" s="46"/>
      <c r="EI142" s="46"/>
      <c r="EJ142" s="46"/>
      <c r="EK142" s="46"/>
      <c r="EL142" s="46"/>
      <c r="EM142" s="46"/>
    </row>
    <row r="143" spans="1:143" ht="18" customHeight="1">
      <c r="A143" s="47"/>
      <c r="B143" s="51" t="str">
        <f t="shared" si="4"/>
        <v/>
      </c>
      <c r="C143" s="47"/>
      <c r="D143" s="47"/>
      <c r="E143" s="66"/>
      <c r="F143" s="47"/>
      <c r="G143" s="50"/>
      <c r="H143" s="48"/>
      <c r="I143" s="48"/>
      <c r="J143" s="47"/>
      <c r="K143" s="48"/>
      <c r="L143" s="66"/>
      <c r="M143" s="56"/>
      <c r="N143" s="56"/>
      <c r="O143" s="46"/>
      <c r="P143" s="46"/>
      <c r="Q143" s="46"/>
      <c r="R143" s="46"/>
      <c r="S143" s="46"/>
      <c r="T143" s="46"/>
      <c r="U143" s="46"/>
      <c r="V143" s="46"/>
      <c r="W143" s="46"/>
      <c r="X143" s="46"/>
      <c r="Y143" s="46"/>
      <c r="Z143" s="46"/>
      <c r="AA143" s="46"/>
      <c r="AB143" s="46"/>
      <c r="AC143" s="46"/>
      <c r="AD143" s="46"/>
      <c r="AE143" s="46"/>
      <c r="AF143" s="46"/>
      <c r="AG143" s="46"/>
      <c r="AH143" s="46"/>
      <c r="AI143" s="46"/>
      <c r="AJ143" s="46"/>
      <c r="AK143" s="46"/>
      <c r="AL143" s="46"/>
      <c r="AM143" s="46"/>
      <c r="AN143" s="46"/>
      <c r="AO143" s="46"/>
      <c r="AP143" s="46"/>
      <c r="AQ143" s="46"/>
      <c r="AR143" s="46"/>
      <c r="AS143" s="46"/>
      <c r="AT143" s="46"/>
      <c r="AU143" s="46"/>
      <c r="AV143" s="46"/>
      <c r="AW143" s="46"/>
      <c r="AX143" s="46"/>
      <c r="AY143" s="46"/>
      <c r="AZ143" s="46"/>
      <c r="BA143" s="46"/>
      <c r="BB143" s="46"/>
      <c r="BC143" s="46"/>
      <c r="BD143" s="46"/>
      <c r="BE143" s="46"/>
      <c r="BF143" s="46"/>
      <c r="BG143" s="46"/>
      <c r="BH143" s="46"/>
      <c r="BI143" s="46"/>
      <c r="BJ143" s="46"/>
      <c r="BK143" s="46"/>
      <c r="BL143" s="46"/>
      <c r="BM143" s="46"/>
      <c r="BN143" s="46"/>
      <c r="BO143" s="46"/>
      <c r="BP143" s="46"/>
      <c r="BQ143" s="46"/>
      <c r="BR143" s="46"/>
      <c r="BS143" s="46"/>
      <c r="BT143" s="46"/>
      <c r="BU143" s="46"/>
      <c r="BV143" s="46"/>
      <c r="BW143" s="46"/>
      <c r="BX143" s="46"/>
      <c r="BY143" s="46"/>
      <c r="BZ143" s="46"/>
      <c r="CA143" s="46"/>
      <c r="CB143" s="46"/>
      <c r="CC143" s="46"/>
      <c r="CD143" s="46"/>
      <c r="CE143" s="46"/>
      <c r="CF143" s="46"/>
      <c r="CG143" s="46"/>
      <c r="CH143" s="46"/>
      <c r="CI143" s="46"/>
      <c r="CJ143" s="46"/>
      <c r="CK143" s="46"/>
      <c r="CL143" s="46"/>
      <c r="CM143" s="46"/>
      <c r="CN143" s="46"/>
      <c r="CO143" s="46"/>
      <c r="CP143" s="46"/>
      <c r="CQ143" s="46"/>
      <c r="CR143" s="46"/>
      <c r="CS143" s="46"/>
      <c r="CT143" s="46"/>
      <c r="CU143" s="46"/>
      <c r="CV143" s="46"/>
      <c r="CW143" s="46"/>
      <c r="CX143" s="46"/>
      <c r="CY143" s="46"/>
      <c r="CZ143" s="46"/>
      <c r="DA143" s="46"/>
      <c r="DB143" s="46"/>
      <c r="DC143" s="46"/>
      <c r="DD143" s="46"/>
      <c r="DE143" s="46"/>
      <c r="DF143" s="46"/>
      <c r="DG143" s="46"/>
      <c r="DH143" s="46"/>
      <c r="DI143" s="46"/>
      <c r="DJ143" s="46"/>
      <c r="DK143" s="46"/>
      <c r="DL143" s="46"/>
      <c r="DM143" s="46"/>
      <c r="DN143" s="46"/>
      <c r="DO143" s="46"/>
      <c r="DP143" s="46"/>
      <c r="DQ143" s="46"/>
      <c r="DR143" s="46"/>
      <c r="DS143" s="46"/>
      <c r="DT143" s="46"/>
      <c r="DU143" s="46"/>
      <c r="DV143" s="46"/>
      <c r="DW143" s="46"/>
      <c r="DX143" s="46"/>
      <c r="DY143" s="46"/>
      <c r="DZ143" s="46"/>
      <c r="EA143" s="46"/>
      <c r="EB143" s="46"/>
      <c r="EC143" s="46"/>
      <c r="ED143" s="46"/>
      <c r="EE143" s="46"/>
      <c r="EF143" s="46"/>
      <c r="EG143" s="46"/>
      <c r="EH143" s="46"/>
      <c r="EI143" s="46"/>
      <c r="EJ143" s="46"/>
      <c r="EK143" s="46"/>
      <c r="EL143" s="46"/>
      <c r="EM143" s="46"/>
    </row>
    <row r="144" spans="1:143" ht="18" customHeight="1">
      <c r="A144" s="47"/>
      <c r="B144" s="51" t="str">
        <f t="shared" si="4"/>
        <v/>
      </c>
      <c r="C144" s="47"/>
      <c r="D144" s="47"/>
      <c r="E144" s="66"/>
      <c r="F144" s="47"/>
      <c r="G144" s="50"/>
      <c r="H144" s="48"/>
      <c r="I144" s="48"/>
      <c r="J144" s="47"/>
      <c r="K144" s="48"/>
      <c r="L144" s="66"/>
      <c r="M144" s="56"/>
      <c r="N144" s="56"/>
      <c r="O144" s="46"/>
      <c r="P144" s="46"/>
      <c r="Q144" s="46"/>
      <c r="R144" s="46"/>
      <c r="S144" s="46"/>
      <c r="T144" s="46"/>
      <c r="U144" s="46"/>
      <c r="V144" s="46"/>
      <c r="W144" s="46"/>
      <c r="X144" s="46"/>
      <c r="Y144" s="46"/>
      <c r="Z144" s="46"/>
      <c r="AA144" s="46"/>
      <c r="AB144" s="46"/>
      <c r="AC144" s="46"/>
      <c r="AD144" s="46"/>
      <c r="AE144" s="46"/>
      <c r="AF144" s="46"/>
      <c r="AG144" s="46"/>
      <c r="AH144" s="46"/>
      <c r="AI144" s="46"/>
      <c r="AJ144" s="46"/>
      <c r="AK144" s="46"/>
      <c r="AL144" s="46"/>
      <c r="AM144" s="46"/>
      <c r="AN144" s="46"/>
      <c r="AO144" s="46"/>
      <c r="AP144" s="46"/>
      <c r="AQ144" s="46"/>
      <c r="AR144" s="46"/>
      <c r="AS144" s="46"/>
      <c r="AT144" s="46"/>
      <c r="AU144" s="46"/>
      <c r="AV144" s="46"/>
      <c r="AW144" s="46"/>
      <c r="AX144" s="46"/>
      <c r="AY144" s="46"/>
      <c r="AZ144" s="46"/>
      <c r="BA144" s="46"/>
      <c r="BB144" s="46"/>
      <c r="BC144" s="46"/>
      <c r="BD144" s="46"/>
      <c r="BE144" s="46"/>
      <c r="BF144" s="46"/>
      <c r="BG144" s="46"/>
      <c r="BH144" s="46"/>
      <c r="BI144" s="46"/>
      <c r="BJ144" s="46"/>
      <c r="BK144" s="46"/>
      <c r="BL144" s="46"/>
      <c r="BM144" s="46"/>
      <c r="BN144" s="46"/>
      <c r="BO144" s="46"/>
      <c r="BP144" s="46"/>
      <c r="BQ144" s="46"/>
      <c r="BR144" s="46"/>
      <c r="BS144" s="46"/>
      <c r="BT144" s="46"/>
      <c r="BU144" s="46"/>
      <c r="BV144" s="46"/>
      <c r="BW144" s="46"/>
      <c r="BX144" s="46"/>
      <c r="BY144" s="46"/>
      <c r="BZ144" s="46"/>
      <c r="CA144" s="46"/>
      <c r="CB144" s="46"/>
      <c r="CC144" s="46"/>
      <c r="CD144" s="46"/>
      <c r="CE144" s="46"/>
      <c r="CF144" s="46"/>
      <c r="CG144" s="46"/>
      <c r="CH144" s="46"/>
      <c r="CI144" s="46"/>
      <c r="CJ144" s="46"/>
      <c r="CK144" s="46"/>
      <c r="CL144" s="46"/>
      <c r="CM144" s="46"/>
      <c r="CN144" s="46"/>
      <c r="CO144" s="46"/>
      <c r="CP144" s="46"/>
      <c r="CQ144" s="46"/>
      <c r="CR144" s="46"/>
      <c r="CS144" s="46"/>
      <c r="CT144" s="46"/>
      <c r="CU144" s="46"/>
      <c r="CV144" s="46"/>
      <c r="CW144" s="46"/>
      <c r="CX144" s="46"/>
      <c r="CY144" s="46"/>
      <c r="CZ144" s="46"/>
      <c r="DA144" s="46"/>
      <c r="DB144" s="46"/>
      <c r="DC144" s="46"/>
      <c r="DD144" s="46"/>
      <c r="DE144" s="46"/>
      <c r="DF144" s="46"/>
      <c r="DG144" s="46"/>
      <c r="DH144" s="46"/>
      <c r="DI144" s="46"/>
      <c r="DJ144" s="46"/>
      <c r="DK144" s="46"/>
      <c r="DL144" s="46"/>
      <c r="DM144" s="46"/>
      <c r="DN144" s="46"/>
      <c r="DO144" s="46"/>
      <c r="DP144" s="46"/>
      <c r="DQ144" s="46"/>
      <c r="DR144" s="46"/>
      <c r="DS144" s="46"/>
      <c r="DT144" s="46"/>
      <c r="DU144" s="46"/>
      <c r="DV144" s="46"/>
      <c r="DW144" s="46"/>
      <c r="DX144" s="46"/>
      <c r="DY144" s="46"/>
      <c r="DZ144" s="46"/>
      <c r="EA144" s="46"/>
      <c r="EB144" s="46"/>
      <c r="EC144" s="46"/>
      <c r="ED144" s="46"/>
      <c r="EE144" s="46"/>
      <c r="EF144" s="46"/>
      <c r="EG144" s="46"/>
      <c r="EH144" s="46"/>
      <c r="EI144" s="46"/>
      <c r="EJ144" s="46"/>
      <c r="EK144" s="46"/>
      <c r="EL144" s="46"/>
      <c r="EM144" s="46"/>
    </row>
    <row r="145" spans="1:143" ht="18" customHeight="1">
      <c r="A145" s="47"/>
      <c r="B145" s="51" t="str">
        <f t="shared" si="4"/>
        <v/>
      </c>
      <c r="C145" s="47"/>
      <c r="D145" s="47"/>
      <c r="E145" s="66"/>
      <c r="F145" s="47"/>
      <c r="G145" s="50"/>
      <c r="H145" s="48"/>
      <c r="I145" s="48"/>
      <c r="J145" s="47"/>
      <c r="K145" s="48"/>
      <c r="L145" s="66"/>
      <c r="M145" s="56"/>
      <c r="N145" s="56"/>
      <c r="O145" s="46"/>
      <c r="P145" s="46"/>
      <c r="Q145" s="46"/>
      <c r="R145" s="46"/>
      <c r="S145" s="46"/>
      <c r="T145" s="46"/>
      <c r="U145" s="46"/>
      <c r="V145" s="46"/>
      <c r="W145" s="46"/>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c r="AW145" s="46"/>
      <c r="AX145" s="46"/>
      <c r="AY145" s="46"/>
      <c r="AZ145" s="46"/>
      <c r="BA145" s="46"/>
      <c r="BB145" s="46"/>
      <c r="BC145" s="46"/>
      <c r="BD145" s="46"/>
      <c r="BE145" s="46"/>
      <c r="BF145" s="46"/>
      <c r="BG145" s="46"/>
      <c r="BH145" s="46"/>
      <c r="BI145" s="46"/>
      <c r="BJ145" s="46"/>
      <c r="BK145" s="46"/>
      <c r="BL145" s="46"/>
      <c r="BM145" s="46"/>
      <c r="BN145" s="46"/>
      <c r="BO145" s="46"/>
      <c r="BP145" s="46"/>
      <c r="BQ145" s="46"/>
      <c r="BR145" s="46"/>
      <c r="BS145" s="46"/>
      <c r="BT145" s="46"/>
      <c r="BU145" s="46"/>
      <c r="BV145" s="46"/>
      <c r="BW145" s="46"/>
      <c r="BX145" s="46"/>
      <c r="BY145" s="46"/>
      <c r="BZ145" s="46"/>
      <c r="CA145" s="46"/>
      <c r="CB145" s="46"/>
      <c r="CC145" s="46"/>
      <c r="CD145" s="46"/>
      <c r="CE145" s="46"/>
      <c r="CF145" s="46"/>
      <c r="CG145" s="46"/>
      <c r="CH145" s="46"/>
      <c r="CI145" s="46"/>
      <c r="CJ145" s="46"/>
      <c r="CK145" s="46"/>
      <c r="CL145" s="46"/>
      <c r="CM145" s="46"/>
      <c r="CN145" s="46"/>
      <c r="CO145" s="46"/>
      <c r="CP145" s="46"/>
      <c r="CQ145" s="46"/>
      <c r="CR145" s="46"/>
      <c r="CS145" s="46"/>
      <c r="CT145" s="46"/>
      <c r="CU145" s="46"/>
      <c r="CV145" s="46"/>
      <c r="CW145" s="46"/>
      <c r="CX145" s="46"/>
      <c r="CY145" s="46"/>
      <c r="CZ145" s="46"/>
      <c r="DA145" s="46"/>
      <c r="DB145" s="46"/>
      <c r="DC145" s="46"/>
      <c r="DD145" s="46"/>
      <c r="DE145" s="46"/>
      <c r="DF145" s="46"/>
      <c r="DG145" s="46"/>
      <c r="DH145" s="46"/>
      <c r="DI145" s="46"/>
      <c r="DJ145" s="46"/>
      <c r="DK145" s="46"/>
      <c r="DL145" s="46"/>
      <c r="DM145" s="46"/>
      <c r="DN145" s="46"/>
      <c r="DO145" s="46"/>
      <c r="DP145" s="46"/>
      <c r="DQ145" s="46"/>
      <c r="DR145" s="46"/>
      <c r="DS145" s="46"/>
      <c r="DT145" s="46"/>
      <c r="DU145" s="46"/>
      <c r="DV145" s="46"/>
      <c r="DW145" s="46"/>
      <c r="DX145" s="46"/>
      <c r="DY145" s="46"/>
      <c r="DZ145" s="46"/>
      <c r="EA145" s="46"/>
      <c r="EB145" s="46"/>
      <c r="EC145" s="46"/>
      <c r="ED145" s="46"/>
      <c r="EE145" s="46"/>
      <c r="EF145" s="46"/>
      <c r="EG145" s="46"/>
      <c r="EH145" s="46"/>
      <c r="EI145" s="46"/>
      <c r="EJ145" s="46"/>
      <c r="EK145" s="46"/>
      <c r="EL145" s="46"/>
      <c r="EM145" s="46"/>
    </row>
    <row r="146" spans="1:143" ht="18" customHeight="1">
      <c r="A146" s="47"/>
      <c r="B146" s="51" t="str">
        <f t="shared" si="4"/>
        <v/>
      </c>
      <c r="C146" s="47"/>
      <c r="D146" s="47"/>
      <c r="E146" s="66"/>
      <c r="F146" s="47"/>
      <c r="G146" s="50"/>
      <c r="H146" s="48"/>
      <c r="I146" s="48"/>
      <c r="J146" s="47"/>
      <c r="K146" s="48"/>
      <c r="L146" s="66"/>
      <c r="M146" s="56"/>
      <c r="N146" s="56"/>
      <c r="O146" s="46"/>
      <c r="P146" s="46"/>
      <c r="Q146" s="46"/>
      <c r="R146" s="46"/>
      <c r="S146" s="46"/>
      <c r="T146" s="46"/>
      <c r="U146" s="46"/>
      <c r="V146" s="46"/>
      <c r="W146" s="46"/>
      <c r="X146" s="46"/>
      <c r="Y146" s="46"/>
      <c r="Z146" s="46"/>
      <c r="AA146" s="46"/>
      <c r="AB146" s="46"/>
      <c r="AC146" s="46"/>
      <c r="AD146" s="46"/>
      <c r="AE146" s="46"/>
      <c r="AF146" s="46"/>
      <c r="AG146" s="46"/>
      <c r="AH146" s="46"/>
      <c r="AI146" s="46"/>
      <c r="AJ146" s="46"/>
      <c r="AK146" s="46"/>
      <c r="AL146" s="46"/>
      <c r="AM146" s="46"/>
      <c r="AN146" s="46"/>
      <c r="AO146" s="46"/>
      <c r="AP146" s="46"/>
      <c r="AQ146" s="46"/>
      <c r="AR146" s="46"/>
      <c r="AS146" s="46"/>
      <c r="AT146" s="46"/>
      <c r="AU146" s="46"/>
      <c r="AV146" s="46"/>
      <c r="AW146" s="46"/>
      <c r="AX146" s="46"/>
      <c r="AY146" s="46"/>
      <c r="AZ146" s="46"/>
      <c r="BA146" s="46"/>
      <c r="BB146" s="46"/>
      <c r="BC146" s="46"/>
      <c r="BD146" s="46"/>
      <c r="BE146" s="46"/>
      <c r="BF146" s="46"/>
      <c r="BG146" s="46"/>
      <c r="BH146" s="46"/>
      <c r="BI146" s="46"/>
      <c r="BJ146" s="46"/>
      <c r="BK146" s="46"/>
      <c r="BL146" s="46"/>
      <c r="BM146" s="46"/>
      <c r="BN146" s="46"/>
      <c r="BO146" s="46"/>
      <c r="BP146" s="46"/>
      <c r="BQ146" s="46"/>
      <c r="BR146" s="46"/>
      <c r="BS146" s="46"/>
      <c r="BT146" s="46"/>
      <c r="BU146" s="46"/>
      <c r="BV146" s="46"/>
      <c r="BW146" s="46"/>
      <c r="BX146" s="46"/>
      <c r="BY146" s="46"/>
      <c r="BZ146" s="46"/>
      <c r="CA146" s="46"/>
      <c r="CB146" s="46"/>
      <c r="CC146" s="46"/>
      <c r="CD146" s="46"/>
      <c r="CE146" s="46"/>
      <c r="CF146" s="46"/>
      <c r="CG146" s="46"/>
      <c r="CH146" s="46"/>
      <c r="CI146" s="46"/>
      <c r="CJ146" s="46"/>
      <c r="CK146" s="46"/>
      <c r="CL146" s="46"/>
      <c r="CM146" s="46"/>
      <c r="CN146" s="46"/>
      <c r="CO146" s="46"/>
      <c r="CP146" s="46"/>
      <c r="CQ146" s="46"/>
      <c r="CR146" s="46"/>
      <c r="CS146" s="46"/>
      <c r="CT146" s="46"/>
      <c r="CU146" s="46"/>
      <c r="CV146" s="46"/>
      <c r="CW146" s="46"/>
      <c r="CX146" s="46"/>
      <c r="CY146" s="46"/>
      <c r="CZ146" s="46"/>
      <c r="DA146" s="46"/>
      <c r="DB146" s="46"/>
      <c r="DC146" s="46"/>
      <c r="DD146" s="46"/>
      <c r="DE146" s="46"/>
      <c r="DF146" s="46"/>
      <c r="DG146" s="46"/>
      <c r="DH146" s="46"/>
      <c r="DI146" s="46"/>
      <c r="DJ146" s="46"/>
      <c r="DK146" s="46"/>
      <c r="DL146" s="46"/>
      <c r="DM146" s="46"/>
      <c r="DN146" s="46"/>
      <c r="DO146" s="46"/>
      <c r="DP146" s="46"/>
      <c r="DQ146" s="46"/>
      <c r="DR146" s="46"/>
      <c r="DS146" s="46"/>
      <c r="DT146" s="46"/>
      <c r="DU146" s="46"/>
      <c r="DV146" s="46"/>
      <c r="DW146" s="46"/>
      <c r="DX146" s="46"/>
      <c r="DY146" s="46"/>
      <c r="DZ146" s="46"/>
      <c r="EA146" s="46"/>
      <c r="EB146" s="46"/>
      <c r="EC146" s="46"/>
      <c r="ED146" s="46"/>
      <c r="EE146" s="46"/>
      <c r="EF146" s="46"/>
      <c r="EG146" s="46"/>
      <c r="EH146" s="46"/>
      <c r="EI146" s="46"/>
      <c r="EJ146" s="46"/>
      <c r="EK146" s="46"/>
      <c r="EL146" s="46"/>
      <c r="EM146" s="46"/>
    </row>
    <row r="147" spans="1:143" ht="18" customHeight="1">
      <c r="A147" s="47"/>
      <c r="B147" s="51" t="str">
        <f t="shared" si="4"/>
        <v/>
      </c>
      <c r="C147" s="47"/>
      <c r="D147" s="47"/>
      <c r="E147" s="66"/>
      <c r="F147" s="47"/>
      <c r="G147" s="50"/>
      <c r="H147" s="48"/>
      <c r="I147" s="48"/>
      <c r="J147" s="47"/>
      <c r="K147" s="48"/>
      <c r="L147" s="66"/>
      <c r="M147" s="56"/>
      <c r="N147" s="56"/>
      <c r="O147" s="46"/>
      <c r="P147" s="46"/>
      <c r="Q147" s="46"/>
      <c r="R147" s="46"/>
      <c r="S147" s="46"/>
      <c r="T147" s="46"/>
      <c r="U147" s="46"/>
      <c r="V147" s="46"/>
      <c r="W147" s="46"/>
      <c r="X147" s="46"/>
      <c r="Y147" s="46"/>
      <c r="Z147" s="46"/>
      <c r="AA147" s="46"/>
      <c r="AB147" s="46"/>
      <c r="AC147" s="46"/>
      <c r="AD147" s="46"/>
      <c r="AE147" s="46"/>
      <c r="AF147" s="46"/>
      <c r="AG147" s="46"/>
      <c r="AH147" s="46"/>
      <c r="AI147" s="46"/>
      <c r="AJ147" s="46"/>
      <c r="AK147" s="46"/>
      <c r="AL147" s="46"/>
      <c r="AM147" s="46"/>
      <c r="AN147" s="46"/>
      <c r="AO147" s="46"/>
      <c r="AP147" s="46"/>
      <c r="AQ147" s="46"/>
      <c r="AR147" s="46"/>
      <c r="AS147" s="46"/>
      <c r="AT147" s="46"/>
      <c r="AU147" s="46"/>
      <c r="AV147" s="46"/>
      <c r="AW147" s="46"/>
      <c r="AX147" s="46"/>
      <c r="AY147" s="46"/>
      <c r="AZ147" s="46"/>
      <c r="BA147" s="46"/>
      <c r="BB147" s="46"/>
      <c r="BC147" s="46"/>
      <c r="BD147" s="46"/>
      <c r="BE147" s="46"/>
      <c r="BF147" s="46"/>
      <c r="BG147" s="46"/>
      <c r="BH147" s="46"/>
      <c r="BI147" s="46"/>
      <c r="BJ147" s="46"/>
      <c r="BK147" s="46"/>
      <c r="BL147" s="46"/>
      <c r="BM147" s="46"/>
      <c r="BN147" s="46"/>
      <c r="BO147" s="46"/>
      <c r="BP147" s="46"/>
      <c r="BQ147" s="46"/>
      <c r="BR147" s="46"/>
      <c r="BS147" s="46"/>
      <c r="BT147" s="46"/>
      <c r="BU147" s="46"/>
      <c r="BV147" s="46"/>
      <c r="BW147" s="46"/>
      <c r="BX147" s="46"/>
      <c r="BY147" s="46"/>
      <c r="BZ147" s="46"/>
      <c r="CA147" s="46"/>
      <c r="CB147" s="46"/>
      <c r="CC147" s="46"/>
      <c r="CD147" s="46"/>
      <c r="CE147" s="46"/>
      <c r="CF147" s="46"/>
      <c r="CG147" s="46"/>
      <c r="CH147" s="46"/>
      <c r="CI147" s="46"/>
      <c r="CJ147" s="46"/>
      <c r="CK147" s="46"/>
      <c r="CL147" s="46"/>
      <c r="CM147" s="46"/>
      <c r="CN147" s="46"/>
      <c r="CO147" s="46"/>
      <c r="CP147" s="46"/>
      <c r="CQ147" s="46"/>
      <c r="CR147" s="46"/>
      <c r="CS147" s="46"/>
      <c r="CT147" s="46"/>
      <c r="CU147" s="46"/>
      <c r="CV147" s="46"/>
      <c r="CW147" s="46"/>
      <c r="CX147" s="46"/>
      <c r="CY147" s="46"/>
      <c r="CZ147" s="46"/>
      <c r="DA147" s="46"/>
      <c r="DB147" s="46"/>
      <c r="DC147" s="46"/>
      <c r="DD147" s="46"/>
      <c r="DE147" s="46"/>
      <c r="DF147" s="46"/>
      <c r="DG147" s="46"/>
      <c r="DH147" s="46"/>
      <c r="DI147" s="46"/>
      <c r="DJ147" s="46"/>
      <c r="DK147" s="46"/>
      <c r="DL147" s="46"/>
      <c r="DM147" s="46"/>
      <c r="DN147" s="46"/>
      <c r="DO147" s="46"/>
      <c r="DP147" s="46"/>
      <c r="DQ147" s="46"/>
      <c r="DR147" s="46"/>
      <c r="DS147" s="46"/>
      <c r="DT147" s="46"/>
      <c r="DU147" s="46"/>
      <c r="DV147" s="46"/>
      <c r="DW147" s="46"/>
      <c r="DX147" s="46"/>
      <c r="DY147" s="46"/>
      <c r="DZ147" s="46"/>
      <c r="EA147" s="46"/>
      <c r="EB147" s="46"/>
      <c r="EC147" s="46"/>
      <c r="ED147" s="46"/>
      <c r="EE147" s="46"/>
      <c r="EF147" s="46"/>
      <c r="EG147" s="46"/>
      <c r="EH147" s="46"/>
      <c r="EI147" s="46"/>
      <c r="EJ147" s="46"/>
      <c r="EK147" s="46"/>
      <c r="EL147" s="46"/>
      <c r="EM147" s="46"/>
    </row>
    <row r="148" spans="1:143" ht="18" customHeight="1">
      <c r="A148" s="47"/>
      <c r="B148" s="51" t="str">
        <f t="shared" si="4"/>
        <v/>
      </c>
      <c r="C148" s="47"/>
      <c r="D148" s="47"/>
      <c r="E148" s="66"/>
      <c r="F148" s="47"/>
      <c r="G148" s="50"/>
      <c r="H148" s="48"/>
      <c r="I148" s="48"/>
      <c r="J148" s="47"/>
      <c r="K148" s="48"/>
      <c r="L148" s="66"/>
      <c r="M148" s="56"/>
      <c r="N148" s="56"/>
      <c r="O148" s="46"/>
      <c r="P148" s="46"/>
      <c r="Q148" s="46"/>
      <c r="R148" s="46"/>
      <c r="S148" s="46"/>
      <c r="T148" s="46"/>
      <c r="U148" s="46"/>
      <c r="V148" s="46"/>
      <c r="W148" s="46"/>
      <c r="X148" s="46"/>
      <c r="Y148" s="46"/>
      <c r="Z148" s="46"/>
      <c r="AA148" s="46"/>
      <c r="AB148" s="46"/>
      <c r="AC148" s="46"/>
      <c r="AD148" s="46"/>
      <c r="AE148" s="46"/>
      <c r="AF148" s="46"/>
      <c r="AG148" s="46"/>
      <c r="AH148" s="46"/>
      <c r="AI148" s="46"/>
      <c r="AJ148" s="46"/>
      <c r="AK148" s="46"/>
      <c r="AL148" s="46"/>
      <c r="AM148" s="46"/>
      <c r="AN148" s="46"/>
      <c r="AO148" s="46"/>
      <c r="AP148" s="46"/>
      <c r="AQ148" s="46"/>
      <c r="AR148" s="46"/>
      <c r="AS148" s="46"/>
      <c r="AT148" s="46"/>
      <c r="AU148" s="46"/>
      <c r="AV148" s="46"/>
      <c r="AW148" s="46"/>
      <c r="AX148" s="46"/>
      <c r="AY148" s="46"/>
      <c r="AZ148" s="46"/>
      <c r="BA148" s="46"/>
      <c r="BB148" s="46"/>
      <c r="BC148" s="46"/>
      <c r="BD148" s="46"/>
      <c r="BE148" s="46"/>
      <c r="BF148" s="46"/>
      <c r="BG148" s="46"/>
      <c r="BH148" s="46"/>
      <c r="BI148" s="46"/>
      <c r="BJ148" s="46"/>
      <c r="BK148" s="46"/>
      <c r="BL148" s="46"/>
      <c r="BM148" s="46"/>
      <c r="BN148" s="46"/>
      <c r="BO148" s="46"/>
      <c r="BP148" s="46"/>
      <c r="BQ148" s="46"/>
      <c r="BR148" s="46"/>
      <c r="BS148" s="46"/>
      <c r="BT148" s="46"/>
      <c r="BU148" s="46"/>
      <c r="BV148" s="46"/>
      <c r="BW148" s="46"/>
      <c r="BX148" s="46"/>
      <c r="BY148" s="46"/>
      <c r="BZ148" s="46"/>
      <c r="CA148" s="46"/>
      <c r="CB148" s="46"/>
      <c r="CC148" s="46"/>
      <c r="CD148" s="46"/>
      <c r="CE148" s="46"/>
      <c r="CF148" s="46"/>
      <c r="CG148" s="46"/>
      <c r="CH148" s="46"/>
      <c r="CI148" s="46"/>
      <c r="CJ148" s="46"/>
      <c r="CK148" s="46"/>
      <c r="CL148" s="46"/>
      <c r="CM148" s="46"/>
      <c r="CN148" s="46"/>
      <c r="CO148" s="46"/>
      <c r="CP148" s="46"/>
      <c r="CQ148" s="46"/>
      <c r="CR148" s="46"/>
      <c r="CS148" s="46"/>
      <c r="CT148" s="46"/>
      <c r="CU148" s="46"/>
      <c r="CV148" s="46"/>
      <c r="CW148" s="46"/>
      <c r="CX148" s="46"/>
      <c r="CY148" s="46"/>
      <c r="CZ148" s="46"/>
      <c r="DA148" s="46"/>
      <c r="DB148" s="46"/>
      <c r="DC148" s="46"/>
      <c r="DD148" s="46"/>
      <c r="DE148" s="46"/>
      <c r="DF148" s="46"/>
      <c r="DG148" s="46"/>
      <c r="DH148" s="46"/>
      <c r="DI148" s="46"/>
      <c r="DJ148" s="46"/>
      <c r="DK148" s="46"/>
      <c r="DL148" s="46"/>
      <c r="DM148" s="46"/>
      <c r="DN148" s="46"/>
      <c r="DO148" s="46"/>
      <c r="DP148" s="46"/>
      <c r="DQ148" s="46"/>
      <c r="DR148" s="46"/>
      <c r="DS148" s="46"/>
      <c r="DT148" s="46"/>
      <c r="DU148" s="46"/>
      <c r="DV148" s="46"/>
      <c r="DW148" s="46"/>
      <c r="DX148" s="46"/>
      <c r="DY148" s="46"/>
      <c r="DZ148" s="46"/>
      <c r="EA148" s="46"/>
      <c r="EB148" s="46"/>
      <c r="EC148" s="46"/>
      <c r="ED148" s="46"/>
      <c r="EE148" s="46"/>
      <c r="EF148" s="46"/>
      <c r="EG148" s="46"/>
      <c r="EH148" s="46"/>
      <c r="EI148" s="46"/>
      <c r="EJ148" s="46"/>
      <c r="EK148" s="46"/>
      <c r="EL148" s="46"/>
      <c r="EM148" s="46"/>
    </row>
    <row r="149" spans="1:143" ht="18" customHeight="1">
      <c r="A149" s="47"/>
      <c r="B149" s="51" t="str">
        <f t="shared" si="4"/>
        <v/>
      </c>
      <c r="C149" s="47"/>
      <c r="D149" s="47"/>
      <c r="E149" s="66"/>
      <c r="F149" s="47"/>
      <c r="G149" s="50"/>
      <c r="H149" s="48"/>
      <c r="I149" s="48"/>
      <c r="J149" s="47"/>
      <c r="K149" s="48"/>
      <c r="L149" s="66"/>
      <c r="M149" s="56"/>
      <c r="N149" s="56"/>
      <c r="O149" s="46"/>
      <c r="P149" s="46"/>
      <c r="Q149" s="46"/>
      <c r="R149" s="46"/>
      <c r="S149" s="46"/>
      <c r="T149" s="46"/>
      <c r="U149" s="46"/>
      <c r="V149" s="46"/>
      <c r="W149" s="46"/>
      <c r="X149" s="46"/>
      <c r="Y149" s="46"/>
      <c r="Z149" s="46"/>
      <c r="AA149" s="46"/>
      <c r="AB149" s="46"/>
      <c r="AC149" s="46"/>
      <c r="AD149" s="46"/>
      <c r="AE149" s="46"/>
      <c r="AF149" s="46"/>
      <c r="AG149" s="46"/>
      <c r="AH149" s="46"/>
      <c r="AI149" s="46"/>
      <c r="AJ149" s="46"/>
      <c r="AK149" s="46"/>
      <c r="AL149" s="46"/>
      <c r="AM149" s="46"/>
      <c r="AN149" s="46"/>
      <c r="AO149" s="46"/>
      <c r="AP149" s="46"/>
      <c r="AQ149" s="46"/>
      <c r="AR149" s="46"/>
      <c r="AS149" s="46"/>
      <c r="AT149" s="46"/>
      <c r="AU149" s="46"/>
      <c r="AV149" s="46"/>
      <c r="AW149" s="46"/>
      <c r="AX149" s="46"/>
      <c r="AY149" s="46"/>
      <c r="AZ149" s="46"/>
      <c r="BA149" s="46"/>
      <c r="BB149" s="46"/>
      <c r="BC149" s="46"/>
      <c r="BD149" s="46"/>
      <c r="BE149" s="46"/>
      <c r="BF149" s="46"/>
      <c r="BG149" s="46"/>
      <c r="BH149" s="46"/>
      <c r="BI149" s="46"/>
      <c r="BJ149" s="46"/>
      <c r="BK149" s="46"/>
      <c r="BL149" s="46"/>
      <c r="BM149" s="46"/>
      <c r="BN149" s="46"/>
      <c r="BO149" s="46"/>
      <c r="BP149" s="46"/>
      <c r="BQ149" s="46"/>
      <c r="BR149" s="46"/>
      <c r="BS149" s="46"/>
      <c r="BT149" s="46"/>
      <c r="BU149" s="46"/>
      <c r="BV149" s="46"/>
      <c r="BW149" s="46"/>
      <c r="BX149" s="46"/>
      <c r="BY149" s="46"/>
      <c r="BZ149" s="46"/>
      <c r="CA149" s="46"/>
      <c r="CB149" s="46"/>
      <c r="CC149" s="46"/>
      <c r="CD149" s="46"/>
      <c r="CE149" s="46"/>
      <c r="CF149" s="46"/>
      <c r="CG149" s="46"/>
      <c r="CH149" s="46"/>
      <c r="CI149" s="46"/>
      <c r="CJ149" s="46"/>
      <c r="CK149" s="46"/>
      <c r="CL149" s="46"/>
      <c r="CM149" s="46"/>
      <c r="CN149" s="46"/>
      <c r="CO149" s="46"/>
      <c r="CP149" s="46"/>
      <c r="CQ149" s="46"/>
      <c r="CR149" s="46"/>
      <c r="CS149" s="46"/>
      <c r="CT149" s="46"/>
      <c r="CU149" s="46"/>
      <c r="CV149" s="46"/>
      <c r="CW149" s="46"/>
      <c r="CX149" s="46"/>
      <c r="CY149" s="46"/>
      <c r="CZ149" s="46"/>
      <c r="DA149" s="46"/>
      <c r="DB149" s="46"/>
      <c r="DC149" s="46"/>
      <c r="DD149" s="46"/>
      <c r="DE149" s="46"/>
      <c r="DF149" s="46"/>
      <c r="DG149" s="46"/>
      <c r="DH149" s="46"/>
      <c r="DI149" s="46"/>
      <c r="DJ149" s="46"/>
      <c r="DK149" s="46"/>
      <c r="DL149" s="46"/>
      <c r="DM149" s="46"/>
      <c r="DN149" s="46"/>
      <c r="DO149" s="46"/>
      <c r="DP149" s="46"/>
      <c r="DQ149" s="46"/>
      <c r="DR149" s="46"/>
      <c r="DS149" s="46"/>
      <c r="DT149" s="46"/>
      <c r="DU149" s="46"/>
      <c r="DV149" s="46"/>
      <c r="DW149" s="46"/>
      <c r="DX149" s="46"/>
      <c r="DY149" s="46"/>
      <c r="DZ149" s="46"/>
      <c r="EA149" s="46"/>
      <c r="EB149" s="46"/>
      <c r="EC149" s="46"/>
      <c r="ED149" s="46"/>
      <c r="EE149" s="46"/>
      <c r="EF149" s="46"/>
      <c r="EG149" s="46"/>
      <c r="EH149" s="46"/>
      <c r="EI149" s="46"/>
      <c r="EJ149" s="46"/>
      <c r="EK149" s="46"/>
      <c r="EL149" s="46"/>
      <c r="EM149" s="46"/>
    </row>
    <row r="150" spans="1:143" ht="18" customHeight="1">
      <c r="A150" s="47"/>
      <c r="B150" s="51" t="str">
        <f t="shared" si="4"/>
        <v/>
      </c>
      <c r="C150" s="47"/>
      <c r="D150" s="47"/>
      <c r="E150" s="66"/>
      <c r="F150" s="47"/>
      <c r="G150" s="50"/>
      <c r="H150" s="48"/>
      <c r="I150" s="48"/>
      <c r="J150" s="47"/>
      <c r="K150" s="48"/>
      <c r="L150" s="66"/>
      <c r="M150" s="56"/>
      <c r="N150" s="56"/>
      <c r="O150" s="46"/>
      <c r="P150" s="46"/>
      <c r="Q150" s="46"/>
      <c r="R150" s="46"/>
      <c r="S150" s="46"/>
      <c r="T150" s="46"/>
      <c r="U150" s="46"/>
      <c r="V150" s="46"/>
      <c r="W150" s="46"/>
      <c r="X150" s="46"/>
      <c r="Y150" s="46"/>
      <c r="Z150" s="46"/>
      <c r="AA150" s="46"/>
      <c r="AB150" s="46"/>
      <c r="AC150" s="46"/>
      <c r="AD150" s="46"/>
      <c r="AE150" s="46"/>
      <c r="AF150" s="46"/>
      <c r="AG150" s="46"/>
      <c r="AH150" s="46"/>
      <c r="AI150" s="46"/>
      <c r="AJ150" s="46"/>
      <c r="AK150" s="46"/>
      <c r="AL150" s="46"/>
      <c r="AM150" s="46"/>
      <c r="AN150" s="46"/>
      <c r="AO150" s="46"/>
      <c r="AP150" s="46"/>
      <c r="AQ150" s="46"/>
      <c r="AR150" s="46"/>
      <c r="AS150" s="46"/>
      <c r="AT150" s="46"/>
      <c r="AU150" s="46"/>
      <c r="AV150" s="46"/>
      <c r="AW150" s="46"/>
      <c r="AX150" s="46"/>
      <c r="AY150" s="46"/>
      <c r="AZ150" s="46"/>
      <c r="BA150" s="46"/>
      <c r="BB150" s="46"/>
      <c r="BC150" s="46"/>
      <c r="BD150" s="46"/>
      <c r="BE150" s="46"/>
      <c r="BF150" s="46"/>
      <c r="BG150" s="46"/>
      <c r="BH150" s="46"/>
      <c r="BI150" s="46"/>
      <c r="BJ150" s="46"/>
      <c r="BK150" s="46"/>
      <c r="BL150" s="46"/>
      <c r="BM150" s="46"/>
      <c r="BN150" s="46"/>
      <c r="BO150" s="46"/>
      <c r="BP150" s="46"/>
      <c r="BQ150" s="46"/>
      <c r="BR150" s="46"/>
      <c r="BS150" s="46"/>
      <c r="BT150" s="46"/>
      <c r="BU150" s="46"/>
      <c r="BV150" s="46"/>
      <c r="BW150" s="46"/>
      <c r="BX150" s="46"/>
      <c r="BY150" s="46"/>
      <c r="BZ150" s="46"/>
      <c r="CA150" s="46"/>
      <c r="CB150" s="46"/>
      <c r="CC150" s="46"/>
      <c r="CD150" s="46"/>
      <c r="CE150" s="46"/>
      <c r="CF150" s="46"/>
      <c r="CG150" s="46"/>
      <c r="CH150" s="46"/>
      <c r="CI150" s="46"/>
      <c r="CJ150" s="46"/>
      <c r="CK150" s="46"/>
      <c r="CL150" s="46"/>
      <c r="CM150" s="46"/>
      <c r="CN150" s="46"/>
      <c r="CO150" s="46"/>
      <c r="CP150" s="46"/>
      <c r="CQ150" s="46"/>
      <c r="CR150" s="46"/>
      <c r="CS150" s="46"/>
      <c r="CT150" s="46"/>
      <c r="CU150" s="46"/>
      <c r="CV150" s="46"/>
      <c r="CW150" s="46"/>
      <c r="CX150" s="46"/>
      <c r="CY150" s="46"/>
      <c r="CZ150" s="46"/>
      <c r="DA150" s="46"/>
      <c r="DB150" s="46"/>
      <c r="DC150" s="46"/>
      <c r="DD150" s="46"/>
      <c r="DE150" s="46"/>
      <c r="DF150" s="46"/>
      <c r="DG150" s="46"/>
      <c r="DH150" s="46"/>
      <c r="DI150" s="46"/>
      <c r="DJ150" s="46"/>
      <c r="DK150" s="46"/>
      <c r="DL150" s="46"/>
      <c r="DM150" s="46"/>
      <c r="DN150" s="46"/>
      <c r="DO150" s="46"/>
      <c r="DP150" s="46"/>
      <c r="DQ150" s="46"/>
      <c r="DR150" s="46"/>
      <c r="DS150" s="46"/>
      <c r="DT150" s="46"/>
      <c r="DU150" s="46"/>
      <c r="DV150" s="46"/>
      <c r="DW150" s="46"/>
      <c r="DX150" s="46"/>
      <c r="DY150" s="46"/>
      <c r="DZ150" s="46"/>
      <c r="EA150" s="46"/>
      <c r="EB150" s="46"/>
      <c r="EC150" s="46"/>
      <c r="ED150" s="46"/>
      <c r="EE150" s="46"/>
      <c r="EF150" s="46"/>
      <c r="EG150" s="46"/>
      <c r="EH150" s="46"/>
      <c r="EI150" s="46"/>
      <c r="EJ150" s="46"/>
      <c r="EK150" s="46"/>
      <c r="EL150" s="46"/>
      <c r="EM150" s="46"/>
    </row>
    <row r="151" spans="1:143" ht="18" customHeight="1">
      <c r="A151" s="47"/>
      <c r="B151" s="51" t="str">
        <f t="shared" si="4"/>
        <v/>
      </c>
      <c r="C151" s="47"/>
      <c r="D151" s="47"/>
      <c r="E151" s="66"/>
      <c r="F151" s="47"/>
      <c r="G151" s="50"/>
      <c r="H151" s="48"/>
      <c r="I151" s="48"/>
      <c r="J151" s="47"/>
      <c r="K151" s="48"/>
      <c r="L151" s="66"/>
      <c r="M151" s="56"/>
      <c r="N151" s="56"/>
      <c r="O151" s="46"/>
      <c r="P151" s="46"/>
      <c r="Q151" s="46"/>
      <c r="R151" s="46"/>
      <c r="S151" s="46"/>
      <c r="T151" s="46"/>
      <c r="U151" s="46"/>
      <c r="V151" s="46"/>
      <c r="W151" s="46"/>
      <c r="X151" s="46"/>
      <c r="Y151" s="46"/>
      <c r="Z151" s="46"/>
      <c r="AA151" s="46"/>
      <c r="AB151" s="46"/>
      <c r="AC151" s="46"/>
      <c r="AD151" s="46"/>
      <c r="AE151" s="46"/>
      <c r="AF151" s="46"/>
      <c r="AG151" s="46"/>
      <c r="AH151" s="46"/>
      <c r="AI151" s="46"/>
      <c r="AJ151" s="46"/>
      <c r="AK151" s="46"/>
      <c r="AL151" s="46"/>
      <c r="AM151" s="46"/>
      <c r="AN151" s="46"/>
      <c r="AO151" s="46"/>
      <c r="AP151" s="46"/>
      <c r="AQ151" s="46"/>
      <c r="AR151" s="46"/>
      <c r="AS151" s="46"/>
      <c r="AT151" s="46"/>
      <c r="AU151" s="46"/>
      <c r="AV151" s="46"/>
      <c r="AW151" s="46"/>
      <c r="AX151" s="46"/>
      <c r="AY151" s="46"/>
      <c r="AZ151" s="46"/>
      <c r="BA151" s="46"/>
      <c r="BB151" s="46"/>
      <c r="BC151" s="46"/>
      <c r="BD151" s="46"/>
      <c r="BE151" s="46"/>
      <c r="BF151" s="46"/>
      <c r="BG151" s="46"/>
      <c r="BH151" s="46"/>
      <c r="BI151" s="46"/>
      <c r="BJ151" s="46"/>
      <c r="BK151" s="46"/>
      <c r="BL151" s="46"/>
      <c r="BM151" s="46"/>
      <c r="BN151" s="46"/>
      <c r="BO151" s="46"/>
      <c r="BP151" s="46"/>
      <c r="BQ151" s="46"/>
      <c r="BR151" s="46"/>
      <c r="BS151" s="46"/>
      <c r="BT151" s="46"/>
      <c r="BU151" s="46"/>
      <c r="BV151" s="46"/>
      <c r="BW151" s="46"/>
      <c r="BX151" s="46"/>
      <c r="BY151" s="46"/>
      <c r="BZ151" s="46"/>
      <c r="CA151" s="46"/>
      <c r="CB151" s="46"/>
      <c r="CC151" s="46"/>
      <c r="CD151" s="46"/>
      <c r="CE151" s="46"/>
      <c r="CF151" s="46"/>
      <c r="CG151" s="46"/>
      <c r="CH151" s="46"/>
      <c r="CI151" s="46"/>
      <c r="CJ151" s="46"/>
      <c r="CK151" s="46"/>
      <c r="CL151" s="46"/>
      <c r="CM151" s="46"/>
      <c r="CN151" s="46"/>
      <c r="CO151" s="46"/>
      <c r="CP151" s="46"/>
      <c r="CQ151" s="46"/>
      <c r="CR151" s="46"/>
      <c r="CS151" s="46"/>
      <c r="CT151" s="46"/>
      <c r="CU151" s="46"/>
      <c r="CV151" s="46"/>
      <c r="CW151" s="46"/>
      <c r="CX151" s="46"/>
      <c r="CY151" s="46"/>
      <c r="CZ151" s="46"/>
      <c r="DA151" s="46"/>
      <c r="DB151" s="46"/>
      <c r="DC151" s="46"/>
      <c r="DD151" s="46"/>
      <c r="DE151" s="46"/>
      <c r="DF151" s="46"/>
      <c r="DG151" s="46"/>
      <c r="DH151" s="46"/>
      <c r="DI151" s="46"/>
      <c r="DJ151" s="46"/>
      <c r="DK151" s="46"/>
      <c r="DL151" s="46"/>
      <c r="DM151" s="46"/>
      <c r="DN151" s="46"/>
      <c r="DO151" s="46"/>
      <c r="DP151" s="46"/>
      <c r="DQ151" s="46"/>
      <c r="DR151" s="46"/>
      <c r="DS151" s="46"/>
      <c r="DT151" s="46"/>
      <c r="DU151" s="46"/>
      <c r="DV151" s="46"/>
      <c r="DW151" s="46"/>
      <c r="DX151" s="46"/>
      <c r="DY151" s="46"/>
      <c r="DZ151" s="46"/>
      <c r="EA151" s="46"/>
      <c r="EB151" s="46"/>
      <c r="EC151" s="46"/>
      <c r="ED151" s="46"/>
      <c r="EE151" s="46"/>
      <c r="EF151" s="46"/>
      <c r="EG151" s="46"/>
      <c r="EH151" s="46"/>
      <c r="EI151" s="46"/>
      <c r="EJ151" s="46"/>
      <c r="EK151" s="46"/>
      <c r="EL151" s="46"/>
      <c r="EM151" s="46"/>
    </row>
    <row r="152" spans="1:143" ht="18" customHeight="1">
      <c r="A152" s="47"/>
      <c r="B152" s="51" t="str">
        <f t="shared" si="4"/>
        <v/>
      </c>
      <c r="C152" s="47"/>
      <c r="D152" s="47"/>
      <c r="E152" s="66"/>
      <c r="F152" s="47"/>
      <c r="G152" s="50"/>
      <c r="H152" s="48"/>
      <c r="I152" s="48"/>
      <c r="J152" s="47"/>
      <c r="K152" s="48"/>
      <c r="L152" s="66"/>
      <c r="M152" s="56"/>
      <c r="N152" s="56"/>
      <c r="O152" s="46"/>
      <c r="P152" s="46"/>
      <c r="Q152" s="46"/>
      <c r="R152" s="46"/>
      <c r="S152" s="46"/>
      <c r="T152" s="46"/>
      <c r="U152" s="46"/>
      <c r="V152" s="46"/>
      <c r="W152" s="46"/>
      <c r="X152" s="46"/>
      <c r="Y152" s="46"/>
      <c r="Z152" s="46"/>
      <c r="AA152" s="46"/>
      <c r="AB152" s="46"/>
      <c r="AC152" s="46"/>
      <c r="AD152" s="46"/>
      <c r="AE152" s="46"/>
      <c r="AF152" s="46"/>
      <c r="AG152" s="46"/>
      <c r="AH152" s="46"/>
      <c r="AI152" s="46"/>
      <c r="AJ152" s="46"/>
      <c r="AK152" s="46"/>
      <c r="AL152" s="46"/>
      <c r="AM152" s="46"/>
      <c r="AN152" s="46"/>
      <c r="AO152" s="46"/>
      <c r="AP152" s="46"/>
      <c r="AQ152" s="46"/>
      <c r="AR152" s="46"/>
      <c r="AS152" s="46"/>
      <c r="AT152" s="46"/>
      <c r="AU152" s="46"/>
      <c r="AV152" s="46"/>
      <c r="AW152" s="46"/>
      <c r="AX152" s="46"/>
      <c r="AY152" s="46"/>
      <c r="AZ152" s="46"/>
      <c r="BA152" s="46"/>
      <c r="BB152" s="46"/>
      <c r="BC152" s="46"/>
      <c r="BD152" s="46"/>
      <c r="BE152" s="46"/>
      <c r="BF152" s="46"/>
      <c r="BG152" s="46"/>
      <c r="BH152" s="46"/>
      <c r="BI152" s="46"/>
      <c r="BJ152" s="46"/>
      <c r="BK152" s="46"/>
      <c r="BL152" s="46"/>
      <c r="BM152" s="46"/>
      <c r="BN152" s="46"/>
      <c r="BO152" s="46"/>
      <c r="BP152" s="46"/>
      <c r="BQ152" s="46"/>
      <c r="BR152" s="46"/>
      <c r="BS152" s="46"/>
      <c r="BT152" s="46"/>
      <c r="BU152" s="46"/>
      <c r="BV152" s="46"/>
      <c r="BW152" s="46"/>
      <c r="BX152" s="46"/>
      <c r="BY152" s="46"/>
      <c r="BZ152" s="46"/>
      <c r="CA152" s="46"/>
      <c r="CB152" s="46"/>
      <c r="CC152" s="46"/>
      <c r="CD152" s="46"/>
      <c r="CE152" s="46"/>
      <c r="CF152" s="46"/>
      <c r="CG152" s="46"/>
      <c r="CH152" s="46"/>
      <c r="CI152" s="46"/>
      <c r="CJ152" s="46"/>
      <c r="CK152" s="46"/>
      <c r="CL152" s="46"/>
      <c r="CM152" s="46"/>
      <c r="CN152" s="46"/>
      <c r="CO152" s="46"/>
      <c r="CP152" s="46"/>
      <c r="CQ152" s="46"/>
      <c r="CR152" s="46"/>
      <c r="CS152" s="46"/>
      <c r="CT152" s="46"/>
      <c r="CU152" s="46"/>
      <c r="CV152" s="46"/>
      <c r="CW152" s="46"/>
      <c r="CX152" s="46"/>
      <c r="CY152" s="46"/>
      <c r="CZ152" s="46"/>
      <c r="DA152" s="46"/>
      <c r="DB152" s="46"/>
      <c r="DC152" s="46"/>
      <c r="DD152" s="46"/>
      <c r="DE152" s="46"/>
      <c r="DF152" s="46"/>
      <c r="DG152" s="46"/>
      <c r="DH152" s="46"/>
      <c r="DI152" s="46"/>
      <c r="DJ152" s="46"/>
      <c r="DK152" s="46"/>
      <c r="DL152" s="46"/>
      <c r="DM152" s="46"/>
      <c r="DN152" s="46"/>
      <c r="DO152" s="46"/>
      <c r="DP152" s="46"/>
      <c r="DQ152" s="46"/>
      <c r="DR152" s="46"/>
      <c r="DS152" s="46"/>
      <c r="DT152" s="46"/>
      <c r="DU152" s="46"/>
      <c r="DV152" s="46"/>
      <c r="DW152" s="46"/>
      <c r="DX152" s="46"/>
      <c r="DY152" s="46"/>
      <c r="DZ152" s="46"/>
      <c r="EA152" s="46"/>
      <c r="EB152" s="46"/>
      <c r="EC152" s="46"/>
      <c r="ED152" s="46"/>
      <c r="EE152" s="46"/>
      <c r="EF152" s="46"/>
      <c r="EG152" s="46"/>
      <c r="EH152" s="46"/>
      <c r="EI152" s="46"/>
      <c r="EJ152" s="46"/>
      <c r="EK152" s="46"/>
      <c r="EL152" s="46"/>
      <c r="EM152" s="46"/>
    </row>
    <row r="153" spans="1:143" ht="18" customHeight="1">
      <c r="A153" s="47"/>
      <c r="B153" s="51" t="str">
        <f t="shared" si="4"/>
        <v/>
      </c>
      <c r="C153" s="47"/>
      <c r="D153" s="47"/>
      <c r="E153" s="66"/>
      <c r="F153" s="47"/>
      <c r="G153" s="50"/>
      <c r="H153" s="48"/>
      <c r="I153" s="48"/>
      <c r="J153" s="47"/>
      <c r="K153" s="48"/>
      <c r="L153" s="66"/>
      <c r="M153" s="56"/>
      <c r="N153" s="56"/>
      <c r="O153" s="46"/>
      <c r="P153" s="46"/>
      <c r="Q153" s="46"/>
      <c r="R153" s="46"/>
      <c r="S153" s="46"/>
      <c r="T153" s="46"/>
      <c r="U153" s="46"/>
      <c r="V153" s="46"/>
      <c r="W153" s="46"/>
      <c r="X153" s="46"/>
      <c r="Y153" s="46"/>
      <c r="Z153" s="46"/>
      <c r="AA153" s="46"/>
      <c r="AB153" s="46"/>
      <c r="AC153" s="46"/>
      <c r="AD153" s="46"/>
      <c r="AE153" s="46"/>
      <c r="AF153" s="46"/>
      <c r="AG153" s="46"/>
      <c r="AH153" s="46"/>
      <c r="AI153" s="46"/>
      <c r="AJ153" s="46"/>
      <c r="AK153" s="46"/>
      <c r="AL153" s="46"/>
      <c r="AM153" s="46"/>
      <c r="AN153" s="46"/>
      <c r="AO153" s="46"/>
      <c r="AP153" s="46"/>
      <c r="AQ153" s="46"/>
      <c r="AR153" s="46"/>
      <c r="AS153" s="46"/>
      <c r="AT153" s="46"/>
      <c r="AU153" s="46"/>
      <c r="AV153" s="46"/>
      <c r="AW153" s="46"/>
      <c r="AX153" s="46"/>
      <c r="AY153" s="46"/>
      <c r="AZ153" s="46"/>
      <c r="BA153" s="46"/>
      <c r="BB153" s="46"/>
      <c r="BC153" s="46"/>
      <c r="BD153" s="46"/>
      <c r="BE153" s="46"/>
      <c r="BF153" s="46"/>
      <c r="BG153" s="46"/>
      <c r="BH153" s="46"/>
      <c r="BI153" s="46"/>
      <c r="BJ153" s="46"/>
      <c r="BK153" s="46"/>
      <c r="BL153" s="46"/>
      <c r="BM153" s="46"/>
      <c r="BN153" s="46"/>
      <c r="BO153" s="46"/>
      <c r="BP153" s="46"/>
      <c r="BQ153" s="46"/>
      <c r="BR153" s="46"/>
      <c r="BS153" s="46"/>
      <c r="BT153" s="46"/>
      <c r="BU153" s="46"/>
      <c r="BV153" s="46"/>
      <c r="BW153" s="46"/>
      <c r="BX153" s="46"/>
      <c r="BY153" s="46"/>
      <c r="BZ153" s="46"/>
      <c r="CA153" s="46"/>
      <c r="CB153" s="46"/>
      <c r="CC153" s="46"/>
      <c r="CD153" s="46"/>
      <c r="CE153" s="46"/>
      <c r="CF153" s="46"/>
      <c r="CG153" s="46"/>
      <c r="CH153" s="46"/>
      <c r="CI153" s="46"/>
      <c r="CJ153" s="46"/>
      <c r="CK153" s="46"/>
      <c r="CL153" s="46"/>
      <c r="CM153" s="46"/>
      <c r="CN153" s="46"/>
      <c r="CO153" s="46"/>
      <c r="CP153" s="46"/>
      <c r="CQ153" s="46"/>
      <c r="CR153" s="46"/>
      <c r="CS153" s="46"/>
      <c r="CT153" s="46"/>
      <c r="CU153" s="46"/>
      <c r="CV153" s="46"/>
      <c r="CW153" s="46"/>
      <c r="CX153" s="46"/>
      <c r="CY153" s="46"/>
      <c r="CZ153" s="46"/>
      <c r="DA153" s="46"/>
      <c r="DB153" s="46"/>
      <c r="DC153" s="46"/>
      <c r="DD153" s="46"/>
      <c r="DE153" s="46"/>
      <c r="DF153" s="46"/>
      <c r="DG153" s="46"/>
      <c r="DH153" s="46"/>
      <c r="DI153" s="46"/>
      <c r="DJ153" s="46"/>
      <c r="DK153" s="46"/>
      <c r="DL153" s="46"/>
      <c r="DM153" s="46"/>
      <c r="DN153" s="46"/>
      <c r="DO153" s="46"/>
      <c r="DP153" s="46"/>
      <c r="DQ153" s="46"/>
      <c r="DR153" s="46"/>
      <c r="DS153" s="46"/>
      <c r="DT153" s="46"/>
      <c r="DU153" s="46"/>
      <c r="DV153" s="46"/>
      <c r="DW153" s="46"/>
      <c r="DX153" s="46"/>
      <c r="DY153" s="46"/>
      <c r="DZ153" s="46"/>
      <c r="EA153" s="46"/>
      <c r="EB153" s="46"/>
      <c r="EC153" s="46"/>
      <c r="ED153" s="46"/>
      <c r="EE153" s="46"/>
      <c r="EF153" s="46"/>
      <c r="EG153" s="46"/>
      <c r="EH153" s="46"/>
      <c r="EI153" s="46"/>
      <c r="EJ153" s="46"/>
      <c r="EK153" s="46"/>
      <c r="EL153" s="46"/>
      <c r="EM153" s="46"/>
    </row>
    <row r="154" spans="1:143" ht="18" customHeight="1">
      <c r="A154" s="47"/>
      <c r="B154" s="51" t="str">
        <f t="shared" si="4"/>
        <v/>
      </c>
      <c r="C154" s="47"/>
      <c r="D154" s="47"/>
      <c r="E154" s="66"/>
      <c r="F154" s="47"/>
      <c r="G154" s="50"/>
      <c r="H154" s="48"/>
      <c r="I154" s="48"/>
      <c r="J154" s="47"/>
      <c r="K154" s="48"/>
      <c r="L154" s="66"/>
      <c r="M154" s="56"/>
      <c r="N154" s="56"/>
      <c r="O154" s="46"/>
      <c r="P154" s="46"/>
      <c r="Q154" s="46"/>
      <c r="R154" s="46"/>
      <c r="S154" s="46"/>
      <c r="T154" s="46"/>
      <c r="U154" s="46"/>
      <c r="V154" s="46"/>
      <c r="W154" s="46"/>
      <c r="X154" s="46"/>
      <c r="Y154" s="46"/>
      <c r="Z154" s="46"/>
      <c r="AA154" s="46"/>
      <c r="AB154" s="46"/>
      <c r="AC154" s="46"/>
      <c r="AD154" s="46"/>
      <c r="AE154" s="46"/>
      <c r="AF154" s="46"/>
      <c r="AG154" s="46"/>
      <c r="AH154" s="46"/>
      <c r="AI154" s="46"/>
      <c r="AJ154" s="46"/>
      <c r="AK154" s="46"/>
      <c r="AL154" s="46"/>
      <c r="AM154" s="46"/>
      <c r="AN154" s="46"/>
      <c r="AO154" s="46"/>
      <c r="AP154" s="46"/>
      <c r="AQ154" s="46"/>
      <c r="AR154" s="46"/>
      <c r="AS154" s="46"/>
      <c r="AT154" s="46"/>
      <c r="AU154" s="46"/>
      <c r="AV154" s="46"/>
      <c r="AW154" s="46"/>
      <c r="AX154" s="46"/>
      <c r="AY154" s="46"/>
      <c r="AZ154" s="46"/>
      <c r="BA154" s="46"/>
      <c r="BB154" s="46"/>
      <c r="BC154" s="46"/>
      <c r="BD154" s="46"/>
      <c r="BE154" s="46"/>
      <c r="BF154" s="46"/>
      <c r="BG154" s="46"/>
      <c r="BH154" s="46"/>
      <c r="BI154" s="46"/>
      <c r="BJ154" s="46"/>
      <c r="BK154" s="46"/>
      <c r="BL154" s="46"/>
      <c r="BM154" s="46"/>
      <c r="BN154" s="46"/>
      <c r="BO154" s="46"/>
      <c r="BP154" s="46"/>
      <c r="BQ154" s="46"/>
      <c r="BR154" s="46"/>
      <c r="BS154" s="46"/>
      <c r="BT154" s="46"/>
      <c r="BU154" s="46"/>
      <c r="BV154" s="46"/>
      <c r="BW154" s="46"/>
      <c r="BX154" s="46"/>
      <c r="BY154" s="46"/>
      <c r="BZ154" s="46"/>
      <c r="CA154" s="46"/>
      <c r="CB154" s="46"/>
      <c r="CC154" s="46"/>
      <c r="CD154" s="46"/>
      <c r="CE154" s="46"/>
      <c r="CF154" s="46"/>
      <c r="CG154" s="46"/>
      <c r="CH154" s="46"/>
      <c r="CI154" s="46"/>
      <c r="CJ154" s="46"/>
      <c r="CK154" s="46"/>
      <c r="CL154" s="46"/>
      <c r="CM154" s="46"/>
      <c r="CN154" s="46"/>
      <c r="CO154" s="46"/>
      <c r="CP154" s="46"/>
      <c r="CQ154" s="46"/>
      <c r="CR154" s="46"/>
      <c r="CS154" s="46"/>
      <c r="CT154" s="46"/>
      <c r="CU154" s="46"/>
      <c r="CV154" s="46"/>
      <c r="CW154" s="46"/>
      <c r="CX154" s="46"/>
      <c r="CY154" s="46"/>
      <c r="CZ154" s="46"/>
      <c r="DA154" s="46"/>
      <c r="DB154" s="46"/>
      <c r="DC154" s="46"/>
      <c r="DD154" s="46"/>
      <c r="DE154" s="46"/>
      <c r="DF154" s="46"/>
      <c r="DG154" s="46"/>
      <c r="DH154" s="46"/>
      <c r="DI154" s="46"/>
      <c r="DJ154" s="46"/>
      <c r="DK154" s="46"/>
      <c r="DL154" s="46"/>
      <c r="DM154" s="46"/>
      <c r="DN154" s="46"/>
      <c r="DO154" s="46"/>
      <c r="DP154" s="46"/>
      <c r="DQ154" s="46"/>
      <c r="DR154" s="46"/>
      <c r="DS154" s="46"/>
      <c r="DT154" s="46"/>
      <c r="DU154" s="46"/>
      <c r="DV154" s="46"/>
      <c r="DW154" s="46"/>
      <c r="DX154" s="46"/>
      <c r="DY154" s="46"/>
      <c r="DZ154" s="46"/>
      <c r="EA154" s="46"/>
      <c r="EB154" s="46"/>
      <c r="EC154" s="46"/>
      <c r="ED154" s="46"/>
      <c r="EE154" s="46"/>
      <c r="EF154" s="46"/>
      <c r="EG154" s="46"/>
      <c r="EH154" s="46"/>
      <c r="EI154" s="46"/>
      <c r="EJ154" s="46"/>
      <c r="EK154" s="46"/>
      <c r="EL154" s="46"/>
      <c r="EM154" s="46"/>
    </row>
    <row r="155" spans="1:143" ht="18" customHeight="1">
      <c r="A155" s="47"/>
      <c r="B155" s="51" t="str">
        <f t="shared" si="4"/>
        <v/>
      </c>
      <c r="C155" s="47"/>
      <c r="D155" s="47"/>
      <c r="E155" s="66"/>
      <c r="F155" s="47"/>
      <c r="G155" s="50"/>
      <c r="H155" s="48"/>
      <c r="I155" s="48"/>
      <c r="J155" s="47"/>
      <c r="K155" s="48"/>
      <c r="L155" s="66"/>
      <c r="M155" s="56"/>
      <c r="N155" s="56"/>
      <c r="O155" s="46"/>
      <c r="P155" s="46"/>
      <c r="Q155" s="46"/>
      <c r="R155" s="46"/>
      <c r="S155" s="46"/>
      <c r="T155" s="46"/>
      <c r="U155" s="46"/>
      <c r="V155" s="46"/>
      <c r="W155" s="46"/>
      <c r="X155" s="46"/>
      <c r="Y155" s="46"/>
      <c r="Z155" s="46"/>
      <c r="AA155" s="46"/>
      <c r="AB155" s="46"/>
      <c r="AC155" s="46"/>
      <c r="AD155" s="46"/>
      <c r="AE155" s="46"/>
      <c r="AF155" s="46"/>
      <c r="AG155" s="46"/>
      <c r="AH155" s="46"/>
      <c r="AI155" s="46"/>
      <c r="AJ155" s="46"/>
      <c r="AK155" s="46"/>
      <c r="AL155" s="46"/>
      <c r="AM155" s="46"/>
      <c r="AN155" s="46"/>
      <c r="AO155" s="46"/>
      <c r="AP155" s="46"/>
      <c r="AQ155" s="46"/>
      <c r="AR155" s="46"/>
      <c r="AS155" s="46"/>
      <c r="AT155" s="46"/>
      <c r="AU155" s="46"/>
      <c r="AV155" s="46"/>
      <c r="AW155" s="46"/>
      <c r="AX155" s="46"/>
      <c r="AY155" s="46"/>
      <c r="AZ155" s="46"/>
      <c r="BA155" s="46"/>
      <c r="BB155" s="46"/>
      <c r="BC155" s="46"/>
      <c r="BD155" s="46"/>
      <c r="BE155" s="46"/>
      <c r="BF155" s="46"/>
      <c r="BG155" s="46"/>
      <c r="BH155" s="46"/>
      <c r="BI155" s="46"/>
      <c r="BJ155" s="46"/>
      <c r="BK155" s="46"/>
      <c r="BL155" s="46"/>
      <c r="BM155" s="46"/>
      <c r="BN155" s="46"/>
      <c r="BO155" s="46"/>
      <c r="BP155" s="46"/>
      <c r="BQ155" s="46"/>
      <c r="BR155" s="46"/>
      <c r="BS155" s="46"/>
      <c r="BT155" s="46"/>
      <c r="BU155" s="46"/>
      <c r="BV155" s="46"/>
      <c r="BW155" s="46"/>
      <c r="BX155" s="46"/>
      <c r="BY155" s="46"/>
      <c r="BZ155" s="46"/>
      <c r="CA155" s="46"/>
      <c r="CB155" s="46"/>
      <c r="CC155" s="46"/>
      <c r="CD155" s="46"/>
      <c r="CE155" s="46"/>
      <c r="CF155" s="46"/>
      <c r="CG155" s="46"/>
      <c r="CH155" s="46"/>
      <c r="CI155" s="46"/>
      <c r="CJ155" s="46"/>
      <c r="CK155" s="46"/>
      <c r="CL155" s="46"/>
      <c r="CM155" s="46"/>
      <c r="CN155" s="46"/>
      <c r="CO155" s="46"/>
      <c r="CP155" s="46"/>
      <c r="CQ155" s="46"/>
      <c r="CR155" s="46"/>
      <c r="CS155" s="46"/>
      <c r="CT155" s="46"/>
      <c r="CU155" s="46"/>
      <c r="CV155" s="46"/>
      <c r="CW155" s="46"/>
      <c r="CX155" s="46"/>
      <c r="CY155" s="46"/>
      <c r="CZ155" s="46"/>
      <c r="DA155" s="46"/>
      <c r="DB155" s="46"/>
      <c r="DC155" s="46"/>
      <c r="DD155" s="46"/>
      <c r="DE155" s="46"/>
      <c r="DF155" s="46"/>
      <c r="DG155" s="46"/>
      <c r="DH155" s="46"/>
      <c r="DI155" s="46"/>
      <c r="DJ155" s="46"/>
      <c r="DK155" s="46"/>
      <c r="DL155" s="46"/>
      <c r="DM155" s="46"/>
      <c r="DN155" s="46"/>
      <c r="DO155" s="46"/>
      <c r="DP155" s="46"/>
      <c r="DQ155" s="46"/>
      <c r="DR155" s="46"/>
      <c r="DS155" s="46"/>
      <c r="DT155" s="46"/>
      <c r="DU155" s="46"/>
      <c r="DV155" s="46"/>
      <c r="DW155" s="46"/>
      <c r="DX155" s="46"/>
      <c r="DY155" s="46"/>
      <c r="DZ155" s="46"/>
      <c r="EA155" s="46"/>
      <c r="EB155" s="46"/>
      <c r="EC155" s="46"/>
      <c r="ED155" s="46"/>
      <c r="EE155" s="46"/>
      <c r="EF155" s="46"/>
      <c r="EG155" s="46"/>
      <c r="EH155" s="46"/>
      <c r="EI155" s="46"/>
      <c r="EJ155" s="46"/>
      <c r="EK155" s="46"/>
      <c r="EL155" s="46"/>
      <c r="EM155" s="46"/>
    </row>
    <row r="156" spans="1:143" ht="18" customHeight="1">
      <c r="A156" s="47"/>
      <c r="B156" s="51" t="str">
        <f t="shared" si="4"/>
        <v/>
      </c>
      <c r="C156" s="47"/>
      <c r="D156" s="47"/>
      <c r="E156" s="66"/>
      <c r="F156" s="47"/>
      <c r="G156" s="50"/>
      <c r="H156" s="48"/>
      <c r="I156" s="48"/>
      <c r="J156" s="47"/>
      <c r="K156" s="48"/>
      <c r="L156" s="66"/>
      <c r="M156" s="56"/>
      <c r="N156" s="56"/>
      <c r="O156" s="46"/>
      <c r="P156" s="46"/>
      <c r="Q156" s="46"/>
      <c r="R156" s="46"/>
      <c r="S156" s="46"/>
      <c r="T156" s="46"/>
      <c r="U156" s="46"/>
      <c r="V156" s="46"/>
      <c r="W156" s="46"/>
      <c r="X156" s="46"/>
      <c r="Y156" s="46"/>
      <c r="Z156" s="46"/>
      <c r="AA156" s="46"/>
      <c r="AB156" s="46"/>
      <c r="AC156" s="46"/>
      <c r="AD156" s="46"/>
      <c r="AE156" s="46"/>
      <c r="AF156" s="46"/>
      <c r="AG156" s="46"/>
      <c r="AH156" s="46"/>
      <c r="AI156" s="46"/>
      <c r="AJ156" s="46"/>
      <c r="AK156" s="46"/>
      <c r="AL156" s="46"/>
      <c r="AM156" s="46"/>
      <c r="AN156" s="46"/>
      <c r="AO156" s="46"/>
      <c r="AP156" s="46"/>
      <c r="AQ156" s="46"/>
      <c r="AR156" s="46"/>
      <c r="AS156" s="46"/>
      <c r="AT156" s="46"/>
      <c r="AU156" s="46"/>
      <c r="AV156" s="46"/>
      <c r="AW156" s="46"/>
      <c r="AX156" s="46"/>
      <c r="AY156" s="46"/>
      <c r="AZ156" s="46"/>
      <c r="BA156" s="46"/>
      <c r="BB156" s="46"/>
      <c r="BC156" s="46"/>
      <c r="BD156" s="46"/>
      <c r="BE156" s="46"/>
      <c r="BF156" s="46"/>
      <c r="BG156" s="46"/>
      <c r="BH156" s="46"/>
      <c r="BI156" s="46"/>
      <c r="BJ156" s="46"/>
      <c r="BK156" s="46"/>
      <c r="BL156" s="46"/>
      <c r="BM156" s="46"/>
      <c r="BN156" s="46"/>
      <c r="BO156" s="46"/>
      <c r="BP156" s="46"/>
      <c r="BQ156" s="46"/>
      <c r="BR156" s="46"/>
      <c r="BS156" s="46"/>
      <c r="BT156" s="46"/>
      <c r="BU156" s="46"/>
      <c r="BV156" s="46"/>
      <c r="BW156" s="46"/>
      <c r="BX156" s="46"/>
      <c r="BY156" s="46"/>
      <c r="BZ156" s="46"/>
      <c r="CA156" s="46"/>
      <c r="CB156" s="46"/>
      <c r="CC156" s="46"/>
      <c r="CD156" s="46"/>
      <c r="CE156" s="46"/>
      <c r="CF156" s="46"/>
      <c r="CG156" s="46"/>
      <c r="CH156" s="46"/>
      <c r="CI156" s="46"/>
      <c r="CJ156" s="46"/>
      <c r="CK156" s="46"/>
      <c r="CL156" s="46"/>
      <c r="CM156" s="46"/>
      <c r="CN156" s="46"/>
      <c r="CO156" s="46"/>
      <c r="CP156" s="46"/>
      <c r="CQ156" s="46"/>
      <c r="CR156" s="46"/>
      <c r="CS156" s="46"/>
      <c r="CT156" s="46"/>
      <c r="CU156" s="46"/>
      <c r="CV156" s="46"/>
      <c r="CW156" s="46"/>
      <c r="CX156" s="46"/>
      <c r="CY156" s="46"/>
      <c r="CZ156" s="46"/>
      <c r="DA156" s="46"/>
      <c r="DB156" s="46"/>
      <c r="DC156" s="46"/>
      <c r="DD156" s="46"/>
      <c r="DE156" s="46"/>
      <c r="DF156" s="46"/>
      <c r="DG156" s="46"/>
      <c r="DH156" s="46"/>
      <c r="DI156" s="46"/>
      <c r="DJ156" s="46"/>
      <c r="DK156" s="46"/>
      <c r="DL156" s="46"/>
      <c r="DM156" s="46"/>
      <c r="DN156" s="46"/>
      <c r="DO156" s="46"/>
      <c r="DP156" s="46"/>
      <c r="DQ156" s="46"/>
      <c r="DR156" s="46"/>
      <c r="DS156" s="46"/>
      <c r="DT156" s="46"/>
      <c r="DU156" s="46"/>
      <c r="DV156" s="46"/>
      <c r="DW156" s="46"/>
      <c r="DX156" s="46"/>
      <c r="DY156" s="46"/>
      <c r="DZ156" s="46"/>
      <c r="EA156" s="46"/>
      <c r="EB156" s="46"/>
      <c r="EC156" s="46"/>
      <c r="ED156" s="46"/>
      <c r="EE156" s="46"/>
      <c r="EF156" s="46"/>
      <c r="EG156" s="46"/>
      <c r="EH156" s="46"/>
      <c r="EI156" s="46"/>
      <c r="EJ156" s="46"/>
      <c r="EK156" s="46"/>
      <c r="EL156" s="46"/>
      <c r="EM156" s="46"/>
    </row>
    <row r="157" spans="1:143" ht="18" customHeight="1">
      <c r="A157" s="47"/>
      <c r="B157" s="51" t="str">
        <f t="shared" si="4"/>
        <v/>
      </c>
      <c r="C157" s="47"/>
      <c r="D157" s="47"/>
      <c r="E157" s="66"/>
      <c r="F157" s="47"/>
      <c r="G157" s="50"/>
      <c r="H157" s="48"/>
      <c r="I157" s="48"/>
      <c r="J157" s="47"/>
      <c r="K157" s="48"/>
      <c r="L157" s="66"/>
      <c r="M157" s="56"/>
      <c r="N157" s="56"/>
      <c r="O157" s="46"/>
      <c r="P157" s="46"/>
      <c r="Q157" s="46"/>
      <c r="R157" s="46"/>
      <c r="S157" s="46"/>
      <c r="T157" s="46"/>
      <c r="U157" s="46"/>
      <c r="V157" s="46"/>
      <c r="W157" s="46"/>
      <c r="X157" s="46"/>
      <c r="Y157" s="46"/>
      <c r="Z157" s="46"/>
      <c r="AA157" s="46"/>
      <c r="AB157" s="46"/>
      <c r="AC157" s="46"/>
      <c r="AD157" s="46"/>
      <c r="AE157" s="46"/>
      <c r="AF157" s="46"/>
      <c r="AG157" s="46"/>
      <c r="AH157" s="46"/>
      <c r="AI157" s="46"/>
      <c r="AJ157" s="46"/>
      <c r="AK157" s="46"/>
      <c r="AL157" s="46"/>
      <c r="AM157" s="46"/>
      <c r="AN157" s="46"/>
      <c r="AO157" s="46"/>
      <c r="AP157" s="46"/>
      <c r="AQ157" s="46"/>
      <c r="AR157" s="46"/>
      <c r="AS157" s="46"/>
      <c r="AT157" s="46"/>
      <c r="AU157" s="46"/>
      <c r="AV157" s="46"/>
      <c r="AW157" s="46"/>
      <c r="AX157" s="46"/>
      <c r="AY157" s="46"/>
      <c r="AZ157" s="46"/>
      <c r="BA157" s="46"/>
      <c r="BB157" s="46"/>
      <c r="BC157" s="46"/>
      <c r="BD157" s="46"/>
      <c r="BE157" s="46"/>
      <c r="BF157" s="46"/>
      <c r="BG157" s="46"/>
      <c r="BH157" s="46"/>
      <c r="BI157" s="46"/>
      <c r="BJ157" s="46"/>
      <c r="BK157" s="46"/>
      <c r="BL157" s="46"/>
      <c r="BM157" s="46"/>
      <c r="BN157" s="46"/>
      <c r="BO157" s="46"/>
      <c r="BP157" s="46"/>
      <c r="BQ157" s="46"/>
      <c r="BR157" s="46"/>
      <c r="BS157" s="46"/>
      <c r="BT157" s="46"/>
      <c r="BU157" s="46"/>
      <c r="BV157" s="46"/>
      <c r="BW157" s="46"/>
      <c r="BX157" s="46"/>
      <c r="BY157" s="46"/>
      <c r="BZ157" s="46"/>
      <c r="CA157" s="46"/>
      <c r="CB157" s="46"/>
      <c r="CC157" s="46"/>
      <c r="CD157" s="46"/>
      <c r="CE157" s="46"/>
      <c r="CF157" s="46"/>
      <c r="CG157" s="46"/>
      <c r="CH157" s="46"/>
      <c r="CI157" s="46"/>
      <c r="CJ157" s="46"/>
      <c r="CK157" s="46"/>
      <c r="CL157" s="46"/>
      <c r="CM157" s="46"/>
      <c r="CN157" s="46"/>
      <c r="CO157" s="46"/>
      <c r="CP157" s="46"/>
      <c r="CQ157" s="46"/>
      <c r="CR157" s="46"/>
      <c r="CS157" s="46"/>
      <c r="CT157" s="46"/>
      <c r="CU157" s="46"/>
      <c r="CV157" s="46"/>
      <c r="CW157" s="46"/>
      <c r="CX157" s="46"/>
      <c r="CY157" s="46"/>
      <c r="CZ157" s="46"/>
      <c r="DA157" s="46"/>
      <c r="DB157" s="46"/>
      <c r="DC157" s="46"/>
      <c r="DD157" s="46"/>
      <c r="DE157" s="46"/>
      <c r="DF157" s="46"/>
      <c r="DG157" s="46"/>
      <c r="DH157" s="46"/>
      <c r="DI157" s="46"/>
      <c r="DJ157" s="46"/>
      <c r="DK157" s="46"/>
      <c r="DL157" s="46"/>
      <c r="DM157" s="46"/>
      <c r="DN157" s="46"/>
      <c r="DO157" s="46"/>
      <c r="DP157" s="46"/>
      <c r="DQ157" s="46"/>
      <c r="DR157" s="46"/>
      <c r="DS157" s="46"/>
      <c r="DT157" s="46"/>
      <c r="DU157" s="46"/>
      <c r="DV157" s="46"/>
      <c r="DW157" s="46"/>
      <c r="DX157" s="46"/>
      <c r="DY157" s="46"/>
      <c r="DZ157" s="46"/>
      <c r="EA157" s="46"/>
      <c r="EB157" s="46"/>
      <c r="EC157" s="46"/>
      <c r="ED157" s="46"/>
      <c r="EE157" s="46"/>
      <c r="EF157" s="46"/>
      <c r="EG157" s="46"/>
      <c r="EH157" s="46"/>
      <c r="EI157" s="46"/>
      <c r="EJ157" s="46"/>
      <c r="EK157" s="46"/>
      <c r="EL157" s="46"/>
      <c r="EM157" s="46"/>
    </row>
    <row r="158" spans="1:143" ht="18" customHeight="1">
      <c r="A158" s="47"/>
      <c r="B158" s="51" t="str">
        <f t="shared" si="4"/>
        <v/>
      </c>
      <c r="C158" s="47"/>
      <c r="D158" s="47"/>
      <c r="E158" s="66"/>
      <c r="F158" s="47"/>
      <c r="G158" s="50"/>
      <c r="H158" s="48"/>
      <c r="I158" s="48"/>
      <c r="J158" s="47"/>
      <c r="K158" s="48"/>
      <c r="L158" s="66"/>
      <c r="M158" s="56"/>
      <c r="N158" s="56"/>
      <c r="O158" s="46"/>
      <c r="P158" s="46"/>
      <c r="Q158" s="46"/>
      <c r="R158" s="46"/>
      <c r="S158" s="46"/>
      <c r="T158" s="46"/>
      <c r="U158" s="46"/>
      <c r="V158" s="46"/>
      <c r="W158" s="46"/>
      <c r="X158" s="46"/>
      <c r="Y158" s="46"/>
      <c r="Z158" s="46"/>
      <c r="AA158" s="46"/>
      <c r="AB158" s="46"/>
      <c r="AC158" s="46"/>
      <c r="AD158" s="46"/>
      <c r="AE158" s="46"/>
      <c r="AF158" s="46"/>
      <c r="AG158" s="46"/>
      <c r="AH158" s="46"/>
      <c r="AI158" s="46"/>
      <c r="AJ158" s="46"/>
      <c r="AK158" s="46"/>
      <c r="AL158" s="46"/>
      <c r="AM158" s="46"/>
      <c r="AN158" s="46"/>
      <c r="AO158" s="46"/>
      <c r="AP158" s="46"/>
      <c r="AQ158" s="46"/>
      <c r="AR158" s="46"/>
      <c r="AS158" s="46"/>
      <c r="AT158" s="46"/>
      <c r="AU158" s="46"/>
      <c r="AV158" s="46"/>
      <c r="AW158" s="46"/>
      <c r="AX158" s="46"/>
      <c r="AY158" s="46"/>
      <c r="AZ158" s="46"/>
      <c r="BA158" s="46"/>
      <c r="BB158" s="46"/>
      <c r="BC158" s="46"/>
      <c r="BD158" s="46"/>
      <c r="BE158" s="46"/>
      <c r="BF158" s="46"/>
      <c r="BG158" s="46"/>
      <c r="BH158" s="46"/>
      <c r="BI158" s="46"/>
      <c r="BJ158" s="46"/>
      <c r="BK158" s="46"/>
      <c r="BL158" s="46"/>
      <c r="BM158" s="46"/>
      <c r="BN158" s="46"/>
      <c r="BO158" s="46"/>
      <c r="BP158" s="46"/>
      <c r="BQ158" s="46"/>
      <c r="BR158" s="46"/>
      <c r="BS158" s="46"/>
      <c r="BT158" s="46"/>
      <c r="BU158" s="46"/>
      <c r="BV158" s="46"/>
      <c r="BW158" s="46"/>
      <c r="BX158" s="46"/>
      <c r="BY158" s="46"/>
      <c r="BZ158" s="46"/>
      <c r="CA158" s="46"/>
      <c r="CB158" s="46"/>
      <c r="CC158" s="46"/>
      <c r="CD158" s="46"/>
      <c r="CE158" s="46"/>
      <c r="CF158" s="46"/>
      <c r="CG158" s="46"/>
      <c r="CH158" s="46"/>
      <c r="CI158" s="46"/>
      <c r="CJ158" s="46"/>
      <c r="CK158" s="46"/>
      <c r="CL158" s="46"/>
      <c r="CM158" s="46"/>
      <c r="CN158" s="46"/>
      <c r="CO158" s="46"/>
      <c r="CP158" s="46"/>
      <c r="CQ158" s="46"/>
      <c r="CR158" s="46"/>
      <c r="CS158" s="46"/>
      <c r="CT158" s="46"/>
      <c r="CU158" s="46"/>
      <c r="CV158" s="46"/>
      <c r="CW158" s="46"/>
      <c r="CX158" s="46"/>
      <c r="CY158" s="46"/>
      <c r="CZ158" s="46"/>
      <c r="DA158" s="46"/>
      <c r="DB158" s="46"/>
      <c r="DC158" s="46"/>
      <c r="DD158" s="46"/>
      <c r="DE158" s="46"/>
      <c r="DF158" s="46"/>
      <c r="DG158" s="46"/>
      <c r="DH158" s="46"/>
      <c r="DI158" s="46"/>
      <c r="DJ158" s="46"/>
      <c r="DK158" s="46"/>
      <c r="DL158" s="46"/>
      <c r="DM158" s="46"/>
      <c r="DN158" s="46"/>
      <c r="DO158" s="46"/>
      <c r="DP158" s="46"/>
      <c r="DQ158" s="46"/>
      <c r="DR158" s="46"/>
      <c r="DS158" s="46"/>
      <c r="DT158" s="46"/>
      <c r="DU158" s="46"/>
      <c r="DV158" s="46"/>
      <c r="DW158" s="46"/>
      <c r="DX158" s="46"/>
      <c r="DY158" s="46"/>
      <c r="DZ158" s="46"/>
      <c r="EA158" s="46"/>
      <c r="EB158" s="46"/>
      <c r="EC158" s="46"/>
      <c r="ED158" s="46"/>
      <c r="EE158" s="46"/>
      <c r="EF158" s="46"/>
      <c r="EG158" s="46"/>
      <c r="EH158" s="46"/>
      <c r="EI158" s="46"/>
      <c r="EJ158" s="46"/>
      <c r="EK158" s="46"/>
      <c r="EL158" s="46"/>
      <c r="EM158" s="46"/>
    </row>
    <row r="159" spans="1:143" ht="18" customHeight="1">
      <c r="A159" s="47"/>
      <c r="B159" s="51" t="str">
        <f t="shared" si="4"/>
        <v/>
      </c>
      <c r="C159" s="47"/>
      <c r="D159" s="47"/>
      <c r="E159" s="66"/>
      <c r="F159" s="47"/>
      <c r="G159" s="50"/>
      <c r="H159" s="48"/>
      <c r="I159" s="48"/>
      <c r="J159" s="47"/>
      <c r="K159" s="48"/>
      <c r="L159" s="66"/>
      <c r="M159" s="56"/>
      <c r="N159" s="56"/>
      <c r="O159" s="46"/>
      <c r="P159" s="46"/>
      <c r="Q159" s="46"/>
      <c r="R159" s="46"/>
      <c r="S159" s="46"/>
      <c r="T159" s="46"/>
      <c r="U159" s="46"/>
      <c r="V159" s="46"/>
      <c r="W159" s="46"/>
      <c r="X159" s="46"/>
      <c r="Y159" s="46"/>
      <c r="Z159" s="46"/>
      <c r="AA159" s="46"/>
      <c r="AB159" s="46"/>
      <c r="AC159" s="46"/>
      <c r="AD159" s="46"/>
      <c r="AE159" s="46"/>
      <c r="AF159" s="46"/>
      <c r="AG159" s="46"/>
      <c r="AH159" s="46"/>
      <c r="AI159" s="46"/>
      <c r="AJ159" s="46"/>
      <c r="AK159" s="46"/>
      <c r="AL159" s="46"/>
      <c r="AM159" s="46"/>
      <c r="AN159" s="46"/>
      <c r="AO159" s="46"/>
      <c r="AP159" s="46"/>
      <c r="AQ159" s="46"/>
      <c r="AR159" s="46"/>
      <c r="AS159" s="46"/>
      <c r="AT159" s="46"/>
      <c r="AU159" s="46"/>
      <c r="AV159" s="46"/>
      <c r="AW159" s="46"/>
      <c r="AX159" s="46"/>
      <c r="AY159" s="46"/>
      <c r="AZ159" s="46"/>
      <c r="BA159" s="46"/>
      <c r="BB159" s="46"/>
      <c r="BC159" s="46"/>
      <c r="BD159" s="46"/>
      <c r="BE159" s="46"/>
      <c r="BF159" s="46"/>
      <c r="BG159" s="46"/>
      <c r="BH159" s="46"/>
      <c r="BI159" s="46"/>
      <c r="BJ159" s="46"/>
      <c r="BK159" s="46"/>
      <c r="BL159" s="46"/>
      <c r="BM159" s="46"/>
      <c r="BN159" s="46"/>
      <c r="BO159" s="46"/>
      <c r="BP159" s="46"/>
      <c r="BQ159" s="46"/>
      <c r="BR159" s="46"/>
      <c r="BS159" s="46"/>
      <c r="BT159" s="46"/>
      <c r="BU159" s="46"/>
      <c r="BV159" s="46"/>
      <c r="BW159" s="46"/>
      <c r="BX159" s="46"/>
      <c r="BY159" s="46"/>
      <c r="BZ159" s="46"/>
      <c r="CA159" s="46"/>
      <c r="CB159" s="46"/>
      <c r="CC159" s="46"/>
      <c r="CD159" s="46"/>
      <c r="CE159" s="46"/>
      <c r="CF159" s="46"/>
      <c r="CG159" s="46"/>
      <c r="CH159" s="46"/>
      <c r="CI159" s="46"/>
      <c r="CJ159" s="46"/>
      <c r="CK159" s="46"/>
      <c r="CL159" s="46"/>
      <c r="CM159" s="46"/>
      <c r="CN159" s="46"/>
      <c r="CO159" s="46"/>
      <c r="CP159" s="46"/>
      <c r="CQ159" s="46"/>
      <c r="CR159" s="46"/>
      <c r="CS159" s="46"/>
      <c r="CT159" s="46"/>
      <c r="CU159" s="46"/>
      <c r="CV159" s="46"/>
      <c r="CW159" s="46"/>
      <c r="CX159" s="46"/>
      <c r="CY159" s="46"/>
      <c r="CZ159" s="46"/>
      <c r="DA159" s="46"/>
      <c r="DB159" s="46"/>
      <c r="DC159" s="46"/>
      <c r="DD159" s="46"/>
      <c r="DE159" s="46"/>
      <c r="DF159" s="46"/>
      <c r="DG159" s="46"/>
      <c r="DH159" s="46"/>
      <c r="DI159" s="46"/>
      <c r="DJ159" s="46"/>
      <c r="DK159" s="46"/>
      <c r="DL159" s="46"/>
      <c r="DM159" s="46"/>
      <c r="DN159" s="46"/>
      <c r="DO159" s="46"/>
      <c r="DP159" s="46"/>
      <c r="DQ159" s="46"/>
      <c r="DR159" s="46"/>
      <c r="DS159" s="46"/>
      <c r="DT159" s="46"/>
      <c r="DU159" s="46"/>
      <c r="DV159" s="46"/>
      <c r="DW159" s="46"/>
      <c r="DX159" s="46"/>
      <c r="DY159" s="46"/>
      <c r="DZ159" s="46"/>
      <c r="EA159" s="46"/>
      <c r="EB159" s="46"/>
      <c r="EC159" s="46"/>
      <c r="ED159" s="46"/>
      <c r="EE159" s="46"/>
      <c r="EF159" s="46"/>
      <c r="EG159" s="46"/>
      <c r="EH159" s="46"/>
      <c r="EI159" s="46"/>
      <c r="EJ159" s="46"/>
      <c r="EK159" s="46"/>
      <c r="EL159" s="46"/>
      <c r="EM159" s="46"/>
    </row>
    <row r="160" spans="1:143" s="63" customFormat="1" ht="18" customHeight="1"/>
    <row r="161" s="63" customFormat="1" ht="18" customHeight="1"/>
    <row r="162" s="63" customFormat="1" ht="18" customHeight="1"/>
    <row r="163" s="63" customFormat="1" ht="18" customHeight="1"/>
    <row r="164" s="63" customFormat="1" ht="18" customHeight="1"/>
    <row r="165" s="63" customFormat="1" ht="18" customHeight="1"/>
    <row r="166" s="63" customFormat="1" ht="18" customHeight="1"/>
    <row r="167" s="63" customFormat="1" ht="18" customHeight="1"/>
    <row r="168" s="63" customFormat="1" ht="18" customHeight="1"/>
    <row r="169" s="63" customFormat="1" ht="18" customHeight="1"/>
    <row r="170" s="63" customFormat="1" ht="18" customHeight="1"/>
    <row r="171" s="63" customFormat="1" ht="18" customHeight="1"/>
    <row r="172" s="63" customFormat="1" ht="18" customHeight="1"/>
    <row r="173" s="63" customFormat="1" ht="18" customHeight="1"/>
    <row r="174" s="63" customFormat="1" ht="18" customHeight="1"/>
    <row r="175" s="63" customFormat="1" ht="18" customHeight="1"/>
    <row r="176" s="63" customFormat="1" ht="18" customHeight="1"/>
    <row r="177" s="63" customFormat="1" ht="18" customHeight="1"/>
    <row r="178" s="63" customFormat="1" ht="18" customHeight="1"/>
    <row r="179" s="63" customFormat="1" ht="18" customHeight="1"/>
    <row r="180" s="63" customFormat="1" ht="18" customHeight="1"/>
    <row r="181" s="63" customFormat="1" ht="18" customHeight="1"/>
    <row r="182" s="63" customFormat="1" ht="18" customHeight="1"/>
    <row r="183" s="63" customFormat="1" ht="18" customHeight="1"/>
    <row r="184" s="63" customFormat="1" ht="18" customHeight="1"/>
    <row r="185" s="63" customFormat="1" ht="18" customHeight="1"/>
    <row r="186" s="63" customFormat="1" ht="18" customHeight="1"/>
    <row r="187" s="63" customFormat="1" ht="18" customHeight="1"/>
    <row r="188" s="63" customFormat="1" ht="18" customHeight="1"/>
    <row r="189" s="63" customFormat="1" ht="18" customHeight="1"/>
    <row r="190" s="63" customFormat="1" ht="18" customHeight="1"/>
    <row r="191" s="63" customFormat="1" ht="18" customHeight="1"/>
    <row r="192" s="63" customFormat="1" ht="18" customHeight="1"/>
    <row r="193" s="63" customFormat="1" ht="18" customHeight="1"/>
    <row r="194" s="63" customFormat="1" ht="18" customHeight="1"/>
    <row r="195" s="63" customFormat="1" ht="18" customHeight="1"/>
    <row r="196" s="63" customFormat="1" ht="18" customHeight="1"/>
    <row r="197" s="63" customFormat="1" ht="18" customHeight="1"/>
    <row r="198" s="63" customFormat="1" ht="18" customHeight="1"/>
    <row r="199" s="63" customFormat="1" ht="18" customHeight="1"/>
    <row r="200" s="63" customFormat="1" ht="18" customHeight="1"/>
    <row r="201" s="63" customFormat="1" ht="18" customHeight="1"/>
    <row r="202" s="63" customFormat="1" ht="18" customHeight="1"/>
    <row r="203" s="63" customFormat="1" ht="18" customHeight="1"/>
    <row r="204" s="63" customFormat="1" ht="18" customHeight="1"/>
    <row r="205" s="63" customFormat="1" ht="18" customHeight="1"/>
    <row r="206" s="63" customFormat="1" ht="18" customHeight="1"/>
    <row r="207" s="63" customFormat="1" ht="18" customHeight="1"/>
    <row r="208" s="63" customFormat="1" ht="18" customHeight="1"/>
    <row r="209" s="63" customFormat="1" ht="18" customHeight="1"/>
    <row r="210" s="63" customFormat="1" ht="18" customHeight="1"/>
    <row r="211" s="63" customFormat="1" ht="18" customHeight="1"/>
    <row r="212" s="63" customFormat="1" ht="18" customHeight="1"/>
    <row r="213" s="63" customFormat="1" ht="18" customHeight="1"/>
    <row r="214" s="63" customFormat="1" ht="18" customHeight="1"/>
    <row r="215" s="63" customFormat="1" ht="18" customHeight="1"/>
    <row r="216" s="63" customFormat="1" ht="18" customHeight="1"/>
    <row r="217" s="63" customFormat="1" ht="18" customHeight="1"/>
    <row r="218" s="63" customFormat="1" ht="18" customHeight="1"/>
    <row r="219" s="63" customFormat="1" ht="18" customHeight="1"/>
    <row r="220" s="63" customFormat="1" ht="18" customHeight="1"/>
    <row r="221" s="63" customFormat="1" ht="18" customHeight="1"/>
    <row r="222" s="63" customFormat="1" ht="18" customHeight="1"/>
    <row r="223" s="63" customFormat="1" ht="18" customHeight="1"/>
    <row r="224" s="63" customFormat="1" ht="18" customHeight="1"/>
    <row r="225" s="63" customFormat="1" ht="18" customHeight="1"/>
    <row r="226" s="63" customFormat="1" ht="18" customHeight="1"/>
    <row r="227" s="63" customFormat="1" ht="18" customHeight="1"/>
    <row r="228" s="63" customFormat="1" ht="18" customHeight="1"/>
    <row r="229" s="63" customFormat="1" ht="18" customHeight="1"/>
    <row r="230" s="63" customFormat="1" ht="18" customHeight="1"/>
    <row r="231" s="63" customFormat="1" ht="18" customHeight="1"/>
    <row r="232" s="63" customFormat="1" ht="18" customHeight="1"/>
    <row r="233" s="63" customFormat="1" ht="18" customHeight="1"/>
    <row r="234" s="63" customFormat="1" ht="18" customHeight="1"/>
    <row r="235" s="63" customFormat="1" ht="18" customHeight="1"/>
    <row r="236" s="63" customFormat="1" ht="18" customHeight="1"/>
    <row r="237" s="63" customFormat="1" ht="18" customHeight="1"/>
    <row r="238" s="63" customFormat="1" ht="18" customHeight="1"/>
    <row r="239" s="63" customFormat="1" ht="18" customHeight="1"/>
    <row r="240" s="63" customFormat="1" ht="18" customHeight="1"/>
    <row r="241" s="63" customFormat="1" ht="18" customHeight="1"/>
    <row r="242" s="63" customFormat="1" ht="18" customHeight="1"/>
    <row r="243" s="63" customFormat="1" ht="18" customHeight="1"/>
    <row r="244" s="63" customFormat="1" ht="18" customHeight="1"/>
    <row r="245" s="63" customFormat="1" ht="18" customHeight="1"/>
    <row r="246" s="63" customFormat="1" ht="18" customHeight="1"/>
    <row r="247" s="63" customFormat="1" ht="18" customHeight="1"/>
    <row r="248" s="63" customFormat="1" ht="18" customHeight="1"/>
    <row r="249" s="63" customFormat="1" ht="18" customHeight="1"/>
    <row r="250" s="63" customFormat="1" ht="18" customHeight="1"/>
    <row r="251" s="63" customFormat="1" ht="18" customHeight="1"/>
    <row r="252" s="63" customFormat="1" ht="18" customHeight="1"/>
    <row r="253" s="63" customFormat="1" ht="18" customHeight="1"/>
    <row r="254" s="63" customFormat="1" ht="18" customHeight="1"/>
    <row r="255" s="63" customFormat="1" ht="18" customHeight="1"/>
    <row r="256" s="63" customFormat="1" ht="18" customHeight="1"/>
    <row r="257" s="63" customFormat="1" ht="18" customHeight="1"/>
    <row r="258" s="63" customFormat="1" ht="18" customHeight="1"/>
    <row r="259" s="63" customFormat="1" ht="18" customHeight="1"/>
    <row r="260" s="63" customFormat="1" ht="18" customHeight="1"/>
    <row r="261" s="63" customFormat="1" ht="18" customHeight="1"/>
    <row r="262" s="63" customFormat="1" ht="18" customHeight="1"/>
    <row r="263" s="63" customFormat="1" ht="18" customHeight="1"/>
    <row r="264" s="63" customFormat="1" ht="18" customHeight="1"/>
    <row r="265" s="63" customFormat="1" ht="18" customHeight="1"/>
    <row r="266" s="63" customFormat="1" ht="18" customHeight="1"/>
    <row r="267" s="63" customFormat="1" ht="18" customHeight="1"/>
    <row r="268" s="63" customFormat="1" ht="18" customHeight="1"/>
    <row r="269" s="63" customFormat="1" ht="18" customHeight="1"/>
    <row r="270" s="63" customFormat="1" ht="18" customHeight="1"/>
    <row r="271" s="63" customFormat="1" ht="18" customHeight="1"/>
    <row r="272" s="63" customFormat="1" ht="18" customHeight="1"/>
    <row r="273" s="63" customFormat="1" ht="18" customHeight="1"/>
    <row r="274" s="63" customFormat="1" ht="18" customHeight="1"/>
  </sheetData>
  <mergeCells count="73">
    <mergeCell ref="O13:O16"/>
    <mergeCell ref="P13:V16"/>
    <mergeCell ref="O17:O18"/>
    <mergeCell ref="P17:V18"/>
    <mergeCell ref="O7:O8"/>
    <mergeCell ref="P7:V8"/>
    <mergeCell ref="O9:O10"/>
    <mergeCell ref="P9:V10"/>
    <mergeCell ref="O11:O12"/>
    <mergeCell ref="P11:V12"/>
    <mergeCell ref="O1:V1"/>
    <mergeCell ref="O2:V2"/>
    <mergeCell ref="O3:O4"/>
    <mergeCell ref="P3:V4"/>
    <mergeCell ref="O5:O6"/>
    <mergeCell ref="P5:V6"/>
    <mergeCell ref="A2:N2"/>
    <mergeCell ref="A1:J1"/>
    <mergeCell ref="A59:G59"/>
    <mergeCell ref="B17:E17"/>
    <mergeCell ref="G17:H17"/>
    <mergeCell ref="J17:K17"/>
    <mergeCell ref="D18:E18"/>
    <mergeCell ref="F18:G18"/>
    <mergeCell ref="B22:C22"/>
    <mergeCell ref="G22:H22"/>
    <mergeCell ref="J22:N22"/>
    <mergeCell ref="M17:N17"/>
    <mergeCell ref="B3:C3"/>
    <mergeCell ref="I3:J3"/>
    <mergeCell ref="K3:L3"/>
    <mergeCell ref="B4:C4"/>
    <mergeCell ref="I4:J4"/>
    <mergeCell ref="K4:L4"/>
    <mergeCell ref="A16:N16"/>
    <mergeCell ref="B5:C5"/>
    <mergeCell ref="I5:J5"/>
    <mergeCell ref="K5:L5"/>
    <mergeCell ref="B6:C6"/>
    <mergeCell ref="I6:J6"/>
    <mergeCell ref="K6:L6"/>
    <mergeCell ref="B7:C7"/>
    <mergeCell ref="I7:J7"/>
    <mergeCell ref="K7:L7"/>
    <mergeCell ref="B8:C8"/>
    <mergeCell ref="I8:J8"/>
    <mergeCell ref="K8:L8"/>
    <mergeCell ref="B9:C9"/>
    <mergeCell ref="A73:L73"/>
    <mergeCell ref="A25:J25"/>
    <mergeCell ref="B21:H21"/>
    <mergeCell ref="J20:N20"/>
    <mergeCell ref="J21:N21"/>
    <mergeCell ref="I9:J9"/>
    <mergeCell ref="K9:L9"/>
    <mergeCell ref="B10:C10"/>
    <mergeCell ref="I10:J10"/>
    <mergeCell ref="K10:L10"/>
    <mergeCell ref="B13:C13"/>
    <mergeCell ref="I13:J13"/>
    <mergeCell ref="K13:L13"/>
    <mergeCell ref="B11:C11"/>
    <mergeCell ref="I11:J11"/>
    <mergeCell ref="K11:L11"/>
    <mergeCell ref="B12:C12"/>
    <mergeCell ref="I12:J12"/>
    <mergeCell ref="K12:L12"/>
    <mergeCell ref="J18:N18"/>
    <mergeCell ref="B20:C20"/>
    <mergeCell ref="D20:E20"/>
    <mergeCell ref="F20:H20"/>
    <mergeCell ref="A19:H19"/>
    <mergeCell ref="I19:N19"/>
  </mergeCells>
  <phoneticPr fontId="47" type="noConversion"/>
  <conditionalFormatting sqref="E27:E56">
    <cfRule type="dataBar" priority="58">
      <dataBar>
        <cfvo type="min"/>
        <cfvo type="max"/>
        <color rgb="FF70AD47"/>
      </dataBar>
      <extLst>
        <ext xmlns:x14="http://schemas.microsoft.com/office/spreadsheetml/2009/9/main" uri="{B025F937-C7B1-47D3-B67F-A62EFF666E3E}">
          <x14:id>{6D2E98DA-CF03-4F42-AB1B-9F7728C5FEB0}</x14:id>
        </ext>
      </extLst>
    </cfRule>
  </conditionalFormatting>
  <conditionalFormatting sqref="H75:L159 A75:E159">
    <cfRule type="expression" dxfId="1140" priority="64" stopIfTrue="1">
      <formula>AND($F75="In Progress",$J75&lt;&gt;"",COUNTIFS($A$75:$A$159,$A75,$C$75:$C$159,$J75,$F$75:$F$159,"Completed")=0)</formula>
    </cfRule>
  </conditionalFormatting>
  <conditionalFormatting sqref="C27:C56">
    <cfRule type="expression" dxfId="1139" priority="1300" stopIfTrue="1">
      <formula>$C27="Completed"</formula>
    </cfRule>
    <cfRule type="expression" dxfId="1138" priority="1301" stopIfTrue="1">
      <formula>$C27="In Progress"</formula>
    </cfRule>
    <cfRule type="expression" dxfId="1137" priority="1302" stopIfTrue="1">
      <formula>$C27="Waiting"</formula>
    </cfRule>
    <cfRule type="expression" dxfId="1136" priority="1303" stopIfTrue="1">
      <formula>$C27="Blocked"</formula>
    </cfRule>
    <cfRule type="expression" dxfId="1135" priority="1304" stopIfTrue="1">
      <formula>OR($C27="Not Started",$C27="Cancelled")</formula>
    </cfRule>
  </conditionalFormatting>
  <conditionalFormatting sqref="D27:D56">
    <cfRule type="dataBar" priority="1320">
      <dataBar>
        <cfvo type="min"/>
        <cfvo type="max"/>
        <color rgb="FF70AD47"/>
      </dataBar>
      <extLst>
        <ext xmlns:x14="http://schemas.microsoft.com/office/spreadsheetml/2009/9/main" uri="{B025F937-C7B1-47D3-B67F-A62EFF666E3E}">
          <x14:id>{4FA6C966-2FCD-4909-9A60-56D2D8E13675}</x14:id>
        </ext>
      </extLst>
    </cfRule>
  </conditionalFormatting>
  <conditionalFormatting sqref="B22:C22">
    <cfRule type="expression" dxfId="1134" priority="1359" stopIfTrue="1">
      <formula>$B$22="Completed"</formula>
    </cfRule>
    <cfRule type="expression" dxfId="1133" priority="1360" stopIfTrue="1">
      <formula>$B$22="In Progress"</formula>
    </cfRule>
    <cfRule type="expression" dxfId="1132" priority="1361" stopIfTrue="1">
      <formula>$B$22="Waiting"</formula>
    </cfRule>
    <cfRule type="expression" dxfId="1131" priority="1362" stopIfTrue="1">
      <formula>$B$22="Blocked"</formula>
    </cfRule>
    <cfRule type="expression" dxfId="1130" priority="1363" stopIfTrue="1">
      <formula>OR($B$22="Not Started",$B$22="Cancelled")</formula>
    </cfRule>
  </conditionalFormatting>
  <conditionalFormatting sqref="F20">
    <cfRule type="dataBar" priority="1364">
      <dataBar>
        <cfvo type="min"/>
        <cfvo type="max"/>
        <color rgb="FF70AD47"/>
      </dataBar>
      <extLst>
        <ext xmlns:x14="http://schemas.microsoft.com/office/spreadsheetml/2009/9/main" uri="{B025F937-C7B1-47D3-B67F-A62EFF666E3E}">
          <x14:id>{E541F5BA-D7A6-4A04-B3BF-A3CE638E3E32}</x14:id>
        </ext>
      </extLst>
    </cfRule>
  </conditionalFormatting>
  <conditionalFormatting sqref="E4:E13">
    <cfRule type="expression" dxfId="1129" priority="1365" stopIfTrue="1">
      <formula>$E4="Completed"</formula>
    </cfRule>
  </conditionalFormatting>
  <conditionalFormatting sqref="E4:E13">
    <cfRule type="expression" dxfId="1128" priority="1366" stopIfTrue="1">
      <formula>$E4="In Progress"</formula>
    </cfRule>
  </conditionalFormatting>
  <conditionalFormatting sqref="E4:E13">
    <cfRule type="expression" dxfId="1127" priority="1367" stopIfTrue="1">
      <formula>$E4="Waiting"</formula>
    </cfRule>
  </conditionalFormatting>
  <conditionalFormatting sqref="E4:E13">
    <cfRule type="expression" dxfId="1126" priority="1368" stopIfTrue="1">
      <formula>$E4="Blocked"</formula>
    </cfRule>
  </conditionalFormatting>
  <conditionalFormatting sqref="E4:E13">
    <cfRule type="expression" dxfId="1125" priority="1369" stopIfTrue="1">
      <formula>OR($E4="Not Started",$E4="Cancelled")</formula>
    </cfRule>
  </conditionalFormatting>
  <conditionalFormatting sqref="H4:H13">
    <cfRule type="dataBar" priority="1370">
      <dataBar>
        <cfvo type="min"/>
        <cfvo type="max"/>
        <color rgb="FF70AD47"/>
      </dataBar>
      <extLst>
        <ext xmlns:x14="http://schemas.microsoft.com/office/spreadsheetml/2009/9/main" uri="{B025F937-C7B1-47D3-B67F-A62EFF666E3E}">
          <x14:id>{743FB32C-4EF2-45E9-B7A4-8C2FCAB6CFED}</x14:id>
        </ext>
      </extLst>
    </cfRule>
  </conditionalFormatting>
  <conditionalFormatting sqref="M4:M13">
    <cfRule type="expression" dxfId="1124" priority="1371" stopIfTrue="1">
      <formula>AND(ISNUMBER($M4),$M4&lt;0)</formula>
    </cfRule>
  </conditionalFormatting>
  <conditionalFormatting sqref="N4:N13">
    <cfRule type="expression" dxfId="1123" priority="1372" stopIfTrue="1">
      <formula>ISNUMBER(SEARCH("On Track",$N4))</formula>
    </cfRule>
  </conditionalFormatting>
  <conditionalFormatting sqref="N4:N13">
    <cfRule type="expression" dxfId="1122" priority="1373" stopIfTrue="1">
      <formula>ISNUMBER(SEARCH("Attention",$N4))</formula>
    </cfRule>
  </conditionalFormatting>
  <conditionalFormatting sqref="N4:N13">
    <cfRule type="expression" dxfId="1121" priority="1374" stopIfTrue="1">
      <formula>OR(ISNUMBER(SEARCH("Behind",$N4)),ISNUMBER(SEARCH("Blocked",$N4)),ISNUMBER(SEARCH("Overdue",$N4)))</formula>
    </cfRule>
  </conditionalFormatting>
  <conditionalFormatting sqref="N4:N13">
    <cfRule type="expression" dxfId="1120" priority="1375" stopIfTrue="1">
      <formula>ISNUMBER(SEARCH("Completed",$N4))</formula>
    </cfRule>
  </conditionalFormatting>
  <conditionalFormatting sqref="D18:E18">
    <cfRule type="expression" dxfId="1119" priority="1376" stopIfTrue="1">
      <formula>$D$18="Completed"</formula>
    </cfRule>
  </conditionalFormatting>
  <conditionalFormatting sqref="D18:E18">
    <cfRule type="expression" dxfId="1118" priority="1377" stopIfTrue="1">
      <formula>$D$18="In Progress"</formula>
    </cfRule>
  </conditionalFormatting>
  <conditionalFormatting sqref="D18:E18">
    <cfRule type="expression" dxfId="1117" priority="1378" stopIfTrue="1">
      <formula>$D$18="Waiting"</formula>
    </cfRule>
  </conditionalFormatting>
  <conditionalFormatting sqref="D18:E18">
    <cfRule type="expression" dxfId="1116" priority="1379" stopIfTrue="1">
      <formula>$D$18="Blocked"</formula>
    </cfRule>
  </conditionalFormatting>
  <conditionalFormatting sqref="D18:E18">
    <cfRule type="expression" dxfId="1115" priority="1380" stopIfTrue="1">
      <formula>OR($D$18="Not Started",$D$18="Cancelled")</formula>
    </cfRule>
  </conditionalFormatting>
  <conditionalFormatting sqref="H18">
    <cfRule type="dataBar" priority="1381">
      <dataBar>
        <cfvo type="min"/>
        <cfvo type="max"/>
        <color rgb="FF70AD47"/>
      </dataBar>
      <extLst>
        <ext xmlns:x14="http://schemas.microsoft.com/office/spreadsheetml/2009/9/main" uri="{B025F937-C7B1-47D3-B67F-A62EFF666E3E}">
          <x14:id>{EE9DCD83-0331-47F4-9392-D7FA3D708707}</x14:id>
        </ext>
      </extLst>
    </cfRule>
  </conditionalFormatting>
  <conditionalFormatting sqref="J18">
    <cfRule type="expression" dxfId="1114" priority="1382" stopIfTrue="1">
      <formula>ISNUMBER(SEARCH("On Track",$J$18))</formula>
    </cfRule>
  </conditionalFormatting>
  <conditionalFormatting sqref="J18">
    <cfRule type="expression" dxfId="1113" priority="1383" stopIfTrue="1">
      <formula>ISNUMBER(SEARCH("Attention",$J$18))</formula>
    </cfRule>
  </conditionalFormatting>
  <conditionalFormatting sqref="J18">
    <cfRule type="expression" dxfId="1112" priority="1384" stopIfTrue="1">
      <formula>OR(ISNUMBER(SEARCH("Behind",$J$18)),ISNUMBER(SEARCH("Blocked",$J$18)),ISNUMBER(SEARCH("Overdue",$J$18)))</formula>
    </cfRule>
  </conditionalFormatting>
  <conditionalFormatting sqref="J18">
    <cfRule type="expression" dxfId="1111" priority="1385" stopIfTrue="1">
      <formula>ISNUMBER(SEARCH("Completed",$J$18))</formula>
    </cfRule>
  </conditionalFormatting>
  <conditionalFormatting sqref="D61:D70">
    <cfRule type="expression" dxfId="1110" priority="1386" stopIfTrue="1">
      <formula>$D61="Completed"</formula>
    </cfRule>
  </conditionalFormatting>
  <conditionalFormatting sqref="D61:D70">
    <cfRule type="expression" dxfId="1109" priority="1387" stopIfTrue="1">
      <formula>$D61="In Progress"</formula>
    </cfRule>
  </conditionalFormatting>
  <conditionalFormatting sqref="D61:D70">
    <cfRule type="expression" dxfId="1108" priority="1388" stopIfTrue="1">
      <formula>$D61="Waiting"</formula>
    </cfRule>
  </conditionalFormatting>
  <conditionalFormatting sqref="D61:D70">
    <cfRule type="expression" dxfId="1107" priority="1389" stopIfTrue="1">
      <formula>$D61="Blocked"</formula>
    </cfRule>
  </conditionalFormatting>
  <conditionalFormatting sqref="D61:D70">
    <cfRule type="expression" dxfId="1106" priority="1390" stopIfTrue="1">
      <formula>OR($D61="Not Started",$D61="Cancelled")</formula>
    </cfRule>
  </conditionalFormatting>
  <conditionalFormatting sqref="F75:F159">
    <cfRule type="expression" dxfId="1105" priority="1391" stopIfTrue="1">
      <formula>$F75="Completed"</formula>
    </cfRule>
    <cfRule type="expression" dxfId="1104" priority="1392" stopIfTrue="1">
      <formula>$F75="In Progress"</formula>
    </cfRule>
    <cfRule type="expression" dxfId="1103" priority="1393" stopIfTrue="1">
      <formula>$F75="Waiting"</formula>
    </cfRule>
    <cfRule type="expression" dxfId="1102" priority="1394" stopIfTrue="1">
      <formula>$F75="Blocked"</formula>
    </cfRule>
    <cfRule type="expression" dxfId="1101" priority="1395" stopIfTrue="1">
      <formula>OR($F75="Not Started",$F75="Cancelled")</formula>
    </cfRule>
  </conditionalFormatting>
  <conditionalFormatting sqref="G75:G159">
    <cfRule type="dataBar" priority="1396">
      <dataBar>
        <cfvo type="min"/>
        <cfvo type="max"/>
        <color rgb="FF70AD47"/>
      </dataBar>
      <extLst>
        <ext xmlns:x14="http://schemas.microsoft.com/office/spreadsheetml/2009/9/main" uri="{B025F937-C7B1-47D3-B67F-A62EFF666E3E}">
          <x14:id>{B02004AD-6BCD-47E0-B75C-B75DBE85E3BF}</x14:id>
        </ext>
      </extLst>
    </cfRule>
  </conditionalFormatting>
  <dataValidations count="7">
    <dataValidation type="whole" allowBlank="1" showInputMessage="1" showErrorMessage="1" sqref="C75:C159" xr:uid="{3478B3FF-6281-419A-8AC8-D65737A84637}">
      <formula1>1</formula1>
      <formula2>9999</formula2>
    </dataValidation>
    <dataValidation type="decimal" allowBlank="1" showInputMessage="1" showErrorMessage="1" sqref="G75:G159" xr:uid="{C5F09E1E-1A47-4B33-9597-BA594D16825B}">
      <formula1>0</formula1>
      <formula2>1</formula2>
    </dataValidation>
    <dataValidation type="list" allowBlank="1" showInputMessage="1" showErrorMessage="1" errorTitle="Invalid input" error="Select a value from the dropdown list." sqref="B17" xr:uid="{4631DF4C-3058-447B-A47E-4FD189E4CFBC}">
      <formula1>ProjectNameList</formula1>
    </dataValidation>
    <dataValidation type="list" allowBlank="1" showInputMessage="1" showErrorMessage="1" errorTitle="Invalid input" error="Select a value from the dropdown list." sqref="C61:C70" xr:uid="{4DA72F9D-A134-47E4-98F7-531680E80ACB}">
      <formula1>ProjectPriorityList</formula1>
    </dataValidation>
    <dataValidation type="list" allowBlank="1" showInputMessage="1" showErrorMessage="1" errorTitle="Invalid input" error="Select a value from the dropdown list." sqref="D61:D70" xr:uid="{46E2CF3A-E37D-4876-919E-B626EC792BE1}">
      <formula1>ProjectStatusList</formula1>
    </dataValidation>
    <dataValidation type="list" allowBlank="1" showInputMessage="1" showErrorMessage="1" errorTitle="Invalid input" error="Select a value from the dropdown list." sqref="A75:A159" xr:uid="{2B60BDF3-56F3-4421-88C1-25CBFAE42978}">
      <formula1>ProjectIDList</formula1>
    </dataValidation>
    <dataValidation type="list" allowBlank="1" showInputMessage="1" showErrorMessage="1" errorTitle="Invalid input" error="Select a value from the dropdown list." sqref="F75:F159" xr:uid="{1CD617E0-C176-458D-B0EA-E02DE6EF5437}">
      <formula1>StepStatusList</formula1>
    </dataValidation>
  </dataValidations>
  <pageMargins left="0.7" right="0.7" top="0.75" bottom="0.75" header="0.3" footer="0.3"/>
  <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6D2E98DA-CF03-4F42-AB1B-9F7728C5FEB0}">
            <x14:dataBar minLength="0" maxLength="100" negativeBarColorSameAsPositive="1" axisPosition="none">
              <x14:cfvo type="min"/>
              <x14:cfvo type="max"/>
            </x14:dataBar>
          </x14:cfRule>
          <xm:sqref>E27:E56</xm:sqref>
        </x14:conditionalFormatting>
        <x14:conditionalFormatting xmlns:xm="http://schemas.microsoft.com/office/excel/2006/main">
          <x14:cfRule type="dataBar" id="{4FA6C966-2FCD-4909-9A60-56D2D8E13675}">
            <x14:dataBar minLength="0" maxLength="100" negativeBarColorSameAsPositive="1" axisPosition="none">
              <x14:cfvo type="min"/>
              <x14:cfvo type="max"/>
            </x14:dataBar>
          </x14:cfRule>
          <xm:sqref>D27:D56</xm:sqref>
        </x14:conditionalFormatting>
        <x14:conditionalFormatting xmlns:xm="http://schemas.microsoft.com/office/excel/2006/main">
          <x14:cfRule type="dataBar" id="{E541F5BA-D7A6-4A04-B3BF-A3CE638E3E32}">
            <x14:dataBar minLength="0" maxLength="100" negativeBarColorSameAsPositive="1" axisPosition="none">
              <x14:cfvo type="min"/>
              <x14:cfvo type="max"/>
            </x14:dataBar>
          </x14:cfRule>
          <xm:sqref>F20</xm:sqref>
        </x14:conditionalFormatting>
        <x14:conditionalFormatting xmlns:xm="http://schemas.microsoft.com/office/excel/2006/main">
          <x14:cfRule type="dataBar" id="{743FB32C-4EF2-45E9-B7A4-8C2FCAB6CFED}">
            <x14:dataBar minLength="0" maxLength="100" negativeBarColorSameAsPositive="1" axisPosition="none">
              <x14:cfvo type="min"/>
              <x14:cfvo type="max"/>
            </x14:dataBar>
          </x14:cfRule>
          <xm:sqref>H4:H13</xm:sqref>
        </x14:conditionalFormatting>
        <x14:conditionalFormatting xmlns:xm="http://schemas.microsoft.com/office/excel/2006/main">
          <x14:cfRule type="dataBar" id="{EE9DCD83-0331-47F4-9392-D7FA3D708707}">
            <x14:dataBar minLength="0" maxLength="100" negativeBarColorSameAsPositive="1" axisPosition="none">
              <x14:cfvo type="min"/>
              <x14:cfvo type="max"/>
            </x14:dataBar>
          </x14:cfRule>
          <xm:sqref>H18</xm:sqref>
        </x14:conditionalFormatting>
        <x14:conditionalFormatting xmlns:xm="http://schemas.microsoft.com/office/excel/2006/main">
          <x14:cfRule type="dataBar" id="{B02004AD-6BCD-47E0-B75C-B75DBE85E3BF}">
            <x14:dataBar minLength="0" maxLength="100" negativeBarColorSameAsPositive="1" axisPosition="none">
              <x14:cfvo type="min"/>
              <x14:cfvo type="max"/>
            </x14:dataBar>
          </x14:cfRule>
          <xm:sqref>G75:G159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DB409-FB08-426C-89CB-3D5B8958E6CB}">
  <sheetPr codeName="Sheet5">
    <tabColor rgb="FFFF0000"/>
  </sheetPr>
  <dimension ref="A1:U27"/>
  <sheetViews>
    <sheetView zoomScale="115" zoomScaleNormal="115" workbookViewId="0">
      <selection activeCell="I11" sqref="I11:K11"/>
    </sheetView>
  </sheetViews>
  <sheetFormatPr defaultColWidth="8.77734375" defaultRowHeight="13.8"/>
  <cols>
    <col min="1" max="1" width="8.77734375" style="2"/>
    <col min="2" max="3" width="8.77734375" style="2" customWidth="1"/>
    <col min="4" max="4" width="8.44140625" style="2" customWidth="1"/>
    <col min="5" max="5" width="10.77734375" style="2" customWidth="1"/>
    <col min="6" max="6" width="8.77734375" style="2" customWidth="1"/>
    <col min="7" max="9" width="8.77734375" style="2"/>
    <col min="10" max="10" width="8.77734375" style="2" customWidth="1"/>
    <col min="11" max="14" width="8.77734375" style="2"/>
    <col min="15" max="16" width="9.77734375" style="2" bestFit="1" customWidth="1"/>
    <col min="17" max="16384" width="8.77734375" style="2"/>
  </cols>
  <sheetData>
    <row r="1" spans="1:21" ht="17.399999999999999" customHeight="1">
      <c r="A1" s="146" t="s">
        <v>180</v>
      </c>
      <c r="B1" s="147"/>
      <c r="C1" s="147"/>
      <c r="D1" s="147"/>
      <c r="E1" s="147"/>
      <c r="F1" s="147"/>
      <c r="G1" s="147"/>
      <c r="H1" s="147"/>
      <c r="I1" s="147"/>
      <c r="J1" s="147"/>
      <c r="K1" s="147"/>
      <c r="L1" s="147"/>
      <c r="M1" s="147"/>
      <c r="N1" s="147"/>
      <c r="O1" s="147"/>
      <c r="P1" s="147"/>
      <c r="Q1" s="147"/>
      <c r="R1" s="148"/>
      <c r="S1" s="149" t="s">
        <v>66</v>
      </c>
      <c r="T1" s="150"/>
      <c r="U1" s="151"/>
    </row>
    <row r="2" spans="1:21" ht="15.6" customHeight="1">
      <c r="A2" s="152" t="s">
        <v>5</v>
      </c>
      <c r="B2" s="153"/>
      <c r="C2" s="154"/>
      <c r="D2" s="152" t="s">
        <v>6</v>
      </c>
      <c r="E2" s="154"/>
      <c r="F2" s="5" t="s">
        <v>7</v>
      </c>
      <c r="G2" s="3" t="s">
        <v>8</v>
      </c>
      <c r="H2" s="4" t="s">
        <v>14</v>
      </c>
      <c r="I2" s="152" t="s">
        <v>31</v>
      </c>
      <c r="J2" s="153"/>
      <c r="K2" s="154"/>
      <c r="L2" s="152" t="s">
        <v>9</v>
      </c>
      <c r="M2" s="154"/>
      <c r="N2" s="3" t="inlineStr">
        <is>
          <t>Complete</t>
        </is>
      </c>
      <c r="O2" s="5" t="inlineStr">
        <is>
          <t>Incomplete</t>
        </is>
      </c>
      <c r="P2" s="3" t="inlineStr">
        <is>
          <t>Behind</t>
        </is>
      </c>
      <c r="Q2" s="152" t="s">
        <v>43</v>
      </c>
      <c r="R2" s="154"/>
      <c r="S2" s="155" t="s">
        <v>10</v>
      </c>
      <c r="T2" s="156"/>
      <c r="U2" s="157"/>
    </row>
    <row r="3" spans="1:21" ht="20.399999999999999" customHeight="1">
      <c r="A3" s="95"/>
      <c r="B3" s="96"/>
      <c r="C3" s="97"/>
      <c r="D3" s="98"/>
      <c r="E3" s="99"/>
      <c r="F3" s="1"/>
      <c r="G3" s="1"/>
      <c r="H3" s="6">
        <v>0.04</v>
      </c>
      <c r="I3" s="100"/>
      <c r="J3" s="101"/>
      <c r="K3" s="102"/>
      <c r="L3" s="103" t="str" cm="1">
        <f t="array" ref="L3">IF(A3="","",IFS(F3="/","Cancelled",D3&gt;=F3,"Completed",D3*2&lt;F3,"Behind",D3&lt;F3,"Incomplete"))</f>
        <v/>
      </c>
      <c r="M3" s="104"/>
      <c r="N3" s="7">
        <f>IF(L3="","",IF(L3="Completed",H3,0%))</f>
        <v/>
      </c>
      <c r="O3" s="8">
        <f>IF(L3="","",IF(L3="Incomplete",H3,0%))</f>
        <v/>
      </c>
      <c r="P3" s="9">
        <f>IF(L3="","",IF(L3="Behind",H3,0%))</f>
        <v/>
      </c>
      <c r="Q3" s="105" t="str">
        <f t="shared" ref="Q3:Q16" si="0">IF(OR(A3="",F3="",F3=0,F3="/"),"",IFERROR(D3/F3,""))</f>
        <v/>
      </c>
      <c r="R3" s="106"/>
      <c r="S3" s="158"/>
      <c r="T3" s="159"/>
      <c r="U3" s="160"/>
    </row>
    <row r="4" spans="1:21" ht="20.399999999999999" customHeight="1">
      <c r="A4" s="95"/>
      <c r="B4" s="96"/>
      <c r="C4" s="97"/>
      <c r="D4" s="98"/>
      <c r="E4" s="99"/>
      <c r="F4" s="1"/>
      <c r="G4" s="1"/>
      <c r="H4" s="6">
        <v>0.08</v>
      </c>
      <c r="I4" s="100"/>
      <c r="J4" s="101"/>
      <c r="K4" s="102"/>
      <c r="L4" s="103" t="str" cm="1">
        <f t="array" ref="L4">IF(A4="","",IFS(F4="/","Cancelled",D4&gt;=F4,"Completed",D4*2&lt;F4,"Behind",D4&lt;F4,"Incomplete"))</f>
        <v/>
      </c>
      <c r="M4" s="104"/>
      <c r="N4" s="7">
        <f>IF(L4="","",IF(L4="Completed",H4,0%))</f>
        <v/>
      </c>
      <c r="O4" s="8">
        <f>IF(L4="","",IF(L4="Incomplete",H4,0%))</f>
        <v/>
      </c>
      <c r="P4" s="9">
        <f>IF(L4="","",IF(L4="Behind",H4,0%))</f>
        <v/>
      </c>
      <c r="Q4" s="105" t="str">
        <f t="shared" si="0"/>
        <v/>
      </c>
      <c r="R4" s="106"/>
      <c r="S4" s="158"/>
      <c r="T4" s="159"/>
      <c r="U4" s="160"/>
    </row>
    <row r="5" spans="1:21" ht="20.399999999999999" customHeight="1">
      <c r="A5" s="95"/>
      <c r="B5" s="96"/>
      <c r="C5" s="97"/>
      <c r="D5" s="98"/>
      <c r="E5" s="99"/>
      <c r="F5" s="1"/>
      <c r="G5" s="1"/>
      <c r="H5" s="6">
        <v>0.08</v>
      </c>
      <c r="I5" s="100"/>
      <c r="J5" s="101"/>
      <c r="K5" s="102"/>
      <c r="L5" s="103" t="str" cm="1">
        <f t="array" ref="L5">IF(A5="","",IFS(F5="/","Cancelled",D5&gt;=F5,"Completed",D5*2&lt;F5,"Behind",D5&lt;F5,"Incomplete"))</f>
        <v/>
      </c>
      <c r="M5" s="104"/>
      <c r="N5" s="7">
        <f t="shared" ref="N5:N23" si="1">IF(L5="","",IF(L5="Completed",H5,0%))</f>
        <v/>
      </c>
      <c r="O5" s="8">
        <f t="shared" ref="O5:O19" si="2">IF(L5="","",IF(L5="Incomplete",H5,0%))</f>
        <v/>
      </c>
      <c r="P5" s="9">
        <f>IF(L5="","",IF(L5="Behind",H5,0%))</f>
        <v/>
      </c>
      <c r="Q5" s="105" t="str">
        <f t="shared" si="0"/>
        <v/>
      </c>
      <c r="R5" s="106"/>
      <c r="S5" s="161" cm="1">
        <f t="array" ref="S5">IF(COUNTA(A3:A23)=0,"",SUM(N3:N23)+IF(I21="Completed",10%,IF(I21="Incomplete",4%,0%)))</f>
        <v/>
      </c>
      <c r="T5" s="162"/>
      <c r="U5" s="163"/>
    </row>
    <row r="6" spans="1:21" ht="20.399999999999999" customHeight="1">
      <c r="A6" s="95"/>
      <c r="B6" s="96"/>
      <c r="C6" s="97"/>
      <c r="D6" s="98"/>
      <c r="E6" s="99"/>
      <c r="F6" s="1"/>
      <c r="G6" s="1"/>
      <c r="H6" s="6">
        <v>0.08</v>
      </c>
      <c r="I6" s="100"/>
      <c r="J6" s="101"/>
      <c r="K6" s="102"/>
      <c r="L6" s="103" t="str" cm="1">
        <f t="array" ref="L6">IF(A6="","",IFS(F6="/","Cancelled",D6&gt;=F6,"Completed",D6*2&lt;F6,"Behind",D6&lt;F6,"Incomplete"))</f>
        <v/>
      </c>
      <c r="M6" s="104"/>
      <c r="N6" s="7">
        <f t="shared" si="1"/>
        <v/>
      </c>
      <c r="O6" s="8">
        <f t="shared" si="2"/>
        <v/>
      </c>
      <c r="P6" s="9">
        <f t="shared" ref="P6:P19" si="3">IF(L6="","",IF(L6="Behind",H6,0%))</f>
        <v/>
      </c>
      <c r="Q6" s="105" t="str">
        <f t="shared" si="0"/>
        <v/>
      </c>
      <c r="R6" s="106"/>
      <c r="S6" s="161"/>
      <c r="T6" s="162"/>
      <c r="U6" s="163"/>
    </row>
    <row r="7" spans="1:21" ht="20.399999999999999" customHeight="1">
      <c r="A7" s="95"/>
      <c r="B7" s="96"/>
      <c r="C7" s="97"/>
      <c r="D7" s="98"/>
      <c r="E7" s="99"/>
      <c r="F7" s="1"/>
      <c r="G7" s="1"/>
      <c r="H7" s="6">
        <v>0.04</v>
      </c>
      <c r="I7" s="100"/>
      <c r="J7" s="101"/>
      <c r="K7" s="102"/>
      <c r="L7" s="103" t="str" cm="1">
        <f t="array" ref="L7">IF(A7="","",IFS(F7="/","Cancelled",D7&gt;=F7,"Completed",D7*2&lt;F7,"Behind",D7&lt;F7,"Incomplete"))</f>
        <v/>
      </c>
      <c r="M7" s="104"/>
      <c r="N7" s="7">
        <f t="shared" si="1"/>
        <v/>
      </c>
      <c r="O7" s="8">
        <f t="shared" si="2"/>
        <v/>
      </c>
      <c r="P7" s="9">
        <f t="shared" si="3"/>
        <v/>
      </c>
      <c r="Q7" s="105" t="str">
        <f t="shared" si="0"/>
        <v/>
      </c>
      <c r="R7" s="106"/>
      <c r="S7" s="161"/>
      <c r="T7" s="162"/>
      <c r="U7" s="163"/>
    </row>
    <row r="8" spans="1:21" ht="20.399999999999999" customHeight="1">
      <c r="A8" s="95"/>
      <c r="B8" s="96"/>
      <c r="C8" s="97"/>
      <c r="D8" s="98"/>
      <c r="E8" s="99"/>
      <c r="F8" s="1"/>
      <c r="G8" s="1"/>
      <c r="H8" s="6">
        <v>0.04</v>
      </c>
      <c r="I8" s="100"/>
      <c r="J8" s="101"/>
      <c r="K8" s="102"/>
      <c r="L8" s="103" t="str" cm="1">
        <f t="array" ref="L8">IF(A8="","",IFS(F8="/","Cancelled",D8&gt;=F8,"Completed",D8*2&lt;F8,"Behind",D8&lt;F8,"Incomplete"))</f>
        <v/>
      </c>
      <c r="M8" s="104"/>
      <c r="N8" s="7">
        <f t="shared" si="1"/>
        <v/>
      </c>
      <c r="O8" s="8">
        <f t="shared" si="2"/>
        <v/>
      </c>
      <c r="P8" s="9">
        <f t="shared" si="3"/>
        <v/>
      </c>
      <c r="Q8" s="105" t="str">
        <f t="shared" si="0"/>
        <v/>
      </c>
      <c r="R8" s="106"/>
      <c r="S8" s="161"/>
      <c r="T8" s="162"/>
      <c r="U8" s="163"/>
    </row>
    <row r="9" spans="1:21" ht="20.399999999999999" customHeight="1">
      <c r="A9" s="95"/>
      <c r="B9" s="96"/>
      <c r="C9" s="97"/>
      <c r="D9" s="98"/>
      <c r="E9" s="99"/>
      <c r="F9" s="1"/>
      <c r="G9" s="1"/>
      <c r="H9" s="6">
        <v>0.08</v>
      </c>
      <c r="I9" s="100"/>
      <c r="J9" s="101"/>
      <c r="K9" s="102"/>
      <c r="L9" s="103" t="str" cm="1">
        <f t="array" ref="L9">IF(A9="","",IFS(F9="/","Cancelled",D9&gt;=F9,"Completed",D9*2&lt;F9,"Behind",D9&lt;F9,"Incomplete"))</f>
        <v/>
      </c>
      <c r="M9" s="104"/>
      <c r="N9" s="7">
        <f t="shared" si="1"/>
        <v/>
      </c>
      <c r="O9" s="8">
        <f t="shared" si="2"/>
        <v/>
      </c>
      <c r="P9" s="9">
        <f t="shared" si="3"/>
        <v/>
      </c>
      <c r="Q9" s="105" t="str">
        <f t="shared" si="0"/>
        <v/>
      </c>
      <c r="R9" s="106"/>
      <c r="S9" s="161"/>
      <c r="T9" s="162"/>
      <c r="U9" s="163"/>
    </row>
    <row r="10" spans="1:21" ht="20.399999999999999" customHeight="1">
      <c r="A10" s="95"/>
      <c r="B10" s="96"/>
      <c r="C10" s="97"/>
      <c r="D10" s="98"/>
      <c r="E10" s="99"/>
      <c r="F10" s="1"/>
      <c r="G10" s="1"/>
      <c r="H10" s="6">
        <v>0.04</v>
      </c>
      <c r="I10" s="100"/>
      <c r="J10" s="101"/>
      <c r="K10" s="102"/>
      <c r="L10" s="103" t="str" cm="1">
        <f t="array" ref="L10">IF(A10="","",IFS(F10="/","Cancelled",D10&gt;=F10,"Completed",D10*2&lt;F10,"Behind",D10&lt;F10,"Incomplete"))</f>
        <v/>
      </c>
      <c r="M10" s="104"/>
      <c r="N10" s="7">
        <f t="shared" si="1"/>
        <v/>
      </c>
      <c r="O10" s="8">
        <f t="shared" si="2"/>
        <v/>
      </c>
      <c r="P10" s="9">
        <f t="shared" si="3"/>
        <v/>
      </c>
      <c r="Q10" s="105" t="str">
        <f t="shared" si="0"/>
        <v/>
      </c>
      <c r="R10" s="106"/>
      <c r="S10" s="140" t="s">
        <v>11</v>
      </c>
      <c r="T10" s="141"/>
      <c r="U10" s="142"/>
    </row>
    <row r="11" spans="1:21" ht="20.399999999999999" customHeight="1">
      <c r="A11" s="95"/>
      <c r="B11" s="96"/>
      <c r="C11" s="97"/>
      <c r="D11" s="98"/>
      <c r="E11" s="99"/>
      <c r="F11" s="1"/>
      <c r="G11" s="1"/>
      <c r="H11" s="6">
        <v>0.04</v>
      </c>
      <c r="I11" s="100"/>
      <c r="J11" s="101"/>
      <c r="K11" s="102"/>
      <c r="L11" s="103" t="str" cm="1">
        <f t="array" ref="L11">IF(A11="","",IFS(F11="/","Cancelled",D11&gt;=F11,"Completed",D11*2&lt;F11,"Behind",D11&lt;F11,"Incomplete"))</f>
        <v/>
      </c>
      <c r="M11" s="104"/>
      <c r="N11" s="7">
        <f t="shared" si="1"/>
        <v/>
      </c>
      <c r="O11" s="8">
        <f t="shared" si="2"/>
        <v/>
      </c>
      <c r="P11" s="9">
        <f t="shared" si="3"/>
        <v/>
      </c>
      <c r="Q11" s="105" t="str">
        <f t="shared" si="0"/>
        <v/>
      </c>
      <c r="R11" s="106"/>
      <c r="S11" s="140"/>
      <c r="T11" s="141"/>
      <c r="U11" s="142"/>
    </row>
    <row r="12" spans="1:21" ht="20.399999999999999" customHeight="1">
      <c r="A12" s="95"/>
      <c r="B12" s="96"/>
      <c r="C12" s="97"/>
      <c r="D12" s="98"/>
      <c r="E12" s="99"/>
      <c r="F12" s="1"/>
      <c r="G12" s="1"/>
      <c r="H12" s="6">
        <v>0.04</v>
      </c>
      <c r="I12" s="100"/>
      <c r="J12" s="101"/>
      <c r="K12" s="102"/>
      <c r="L12" s="103" t="str" cm="1">
        <f t="array" ref="L12">IF(A12="","",IFS(F12="/","Cancelled",D12&gt;=F12,"Completed",D12*2&lt;F12,"Behind",D12&lt;F12,"Incomplete"))</f>
        <v/>
      </c>
      <c r="M12" s="104"/>
      <c r="N12" s="7">
        <f t="shared" si="1"/>
        <v/>
      </c>
      <c r="O12" s="8">
        <f t="shared" si="2"/>
        <v/>
      </c>
      <c r="P12" s="9">
        <f t="shared" si="3"/>
        <v/>
      </c>
      <c r="Q12" s="105" t="str">
        <f t="shared" si="0"/>
        <v/>
      </c>
      <c r="R12" s="106"/>
      <c r="S12" s="143">
        <f>IF(COUNTA(A3:A23)=0,"",SUM(O3:O19))</f>
        <v/>
      </c>
      <c r="T12" s="144"/>
      <c r="U12" s="145"/>
    </row>
    <row r="13" spans="1:21" ht="20.399999999999999" customHeight="1">
      <c r="A13" s="95"/>
      <c r="B13" s="96"/>
      <c r="C13" s="97"/>
      <c r="D13" s="98"/>
      <c r="E13" s="99"/>
      <c r="F13" s="1"/>
      <c r="G13" s="1"/>
      <c r="H13" s="6">
        <v>0.04</v>
      </c>
      <c r="I13" s="100"/>
      <c r="J13" s="101"/>
      <c r="K13" s="102"/>
      <c r="L13" s="103" t="str" cm="1">
        <f t="array" ref="L13">IF(A13="","",IFS(F13="/","Cancelled",D13&gt;=F13,"Completed",D13*2&lt;F13,"Behind",D13&lt;F13,"Incomplete"))</f>
        <v/>
      </c>
      <c r="M13" s="104"/>
      <c r="N13" s="7">
        <f t="shared" si="1"/>
        <v/>
      </c>
      <c r="O13" s="8">
        <f t="shared" si="2"/>
        <v/>
      </c>
      <c r="P13" s="9">
        <f t="shared" si="3"/>
        <v/>
      </c>
      <c r="Q13" s="105" t="str">
        <f t="shared" si="0"/>
        <v/>
      </c>
      <c r="R13" s="106"/>
      <c r="S13" s="143"/>
      <c r="T13" s="144"/>
      <c r="U13" s="145"/>
    </row>
    <row r="14" spans="1:21" ht="20.399999999999999" customHeight="1">
      <c r="A14" s="95"/>
      <c r="B14" s="96"/>
      <c r="C14" s="97"/>
      <c r="D14" s="98"/>
      <c r="E14" s="99"/>
      <c r="F14" s="1"/>
      <c r="G14" s="1"/>
      <c r="H14" s="6">
        <v>0.04</v>
      </c>
      <c r="I14" s="100"/>
      <c r="J14" s="101"/>
      <c r="K14" s="102"/>
      <c r="L14" s="103" t="str" cm="1">
        <f t="array" ref="L14">IF(A14="","",IFS(F14="/","Cancelled",D14&gt;=F14,"Completed",D14*2&lt;F14,"Behind",D14&lt;F14,"Incomplete"))</f>
        <v/>
      </c>
      <c r="M14" s="104"/>
      <c r="N14" s="7">
        <f t="shared" si="1"/>
        <v/>
      </c>
      <c r="O14" s="8">
        <f t="shared" si="2"/>
        <v/>
      </c>
      <c r="P14" s="9">
        <f t="shared" si="3"/>
        <v/>
      </c>
      <c r="Q14" s="105" t="str">
        <f t="shared" si="0"/>
        <v/>
      </c>
      <c r="R14" s="106"/>
      <c r="S14" s="143"/>
      <c r="T14" s="144"/>
      <c r="U14" s="145"/>
    </row>
    <row r="15" spans="1:21" ht="20.399999999999999" customHeight="1">
      <c r="A15" s="95"/>
      <c r="B15" s="96"/>
      <c r="C15" s="97"/>
      <c r="D15" s="98"/>
      <c r="E15" s="99"/>
      <c r="F15" s="1"/>
      <c r="G15" s="1"/>
      <c r="H15" s="6">
        <v>0.1</v>
      </c>
      <c r="I15" s="100"/>
      <c r="J15" s="101"/>
      <c r="K15" s="102"/>
      <c r="L15" s="103" t="str" cm="1">
        <f t="array" ref="L15">IF(A15="","",IFS(F15="/","Cancelled",D15&gt;=F15,"Completed",D15*2&lt;F15,"Behind",D15&lt;F15,"Incomplete"))</f>
        <v/>
      </c>
      <c r="M15" s="104"/>
      <c r="N15" s="7">
        <f t="shared" si="1"/>
        <v/>
      </c>
      <c r="O15" s="8">
        <f t="shared" si="2"/>
        <v/>
      </c>
      <c r="P15" s="9">
        <f t="shared" si="3"/>
        <v/>
      </c>
      <c r="Q15" s="105" t="str">
        <f t="shared" si="0"/>
        <v/>
      </c>
      <c r="R15" s="106"/>
      <c r="S15" s="143"/>
      <c r="T15" s="144"/>
      <c r="U15" s="145"/>
    </row>
    <row r="16" spans="1:21" ht="20.399999999999999" customHeight="1">
      <c r="A16" s="95"/>
      <c r="B16" s="96"/>
      <c r="C16" s="97"/>
      <c r="D16" s="98"/>
      <c r="E16" s="99"/>
      <c r="F16" s="1"/>
      <c r="G16" s="1"/>
      <c r="H16" s="6">
        <v>0.1</v>
      </c>
      <c r="I16" s="100"/>
      <c r="J16" s="101"/>
      <c r="K16" s="102"/>
      <c r="L16" s="103" t="str" cm="1">
        <f t="array" ref="L16">IF(A16="","",IFS(F16="/","Cancelled",D16&gt;=F16,"Completed",D16*2&lt;F16,"Behind",D16&lt;F16,"Incomplete"))</f>
        <v/>
      </c>
      <c r="M16" s="104"/>
      <c r="N16" s="7">
        <f t="shared" si="1"/>
        <v/>
      </c>
      <c r="O16" s="8">
        <f t="shared" si="2"/>
        <v/>
      </c>
      <c r="P16" s="9">
        <f t="shared" si="3"/>
        <v/>
      </c>
      <c r="Q16" s="105" t="str">
        <f t="shared" si="0"/>
        <v/>
      </c>
      <c r="R16" s="106"/>
      <c r="S16" s="143"/>
      <c r="T16" s="144"/>
      <c r="U16" s="145"/>
    </row>
    <row r="17" spans="1:21" ht="20.399999999999999" customHeight="1">
      <c r="A17" s="95"/>
      <c r="B17" s="96"/>
      <c r="C17" s="97"/>
      <c r="D17" s="98"/>
      <c r="E17" s="99"/>
      <c r="F17" s="1"/>
      <c r="G17" s="1"/>
      <c r="H17" s="6">
        <v>0.08</v>
      </c>
      <c r="I17" s="100"/>
      <c r="J17" s="101"/>
      <c r="K17" s="102"/>
      <c r="L17" s="103" t="str" cm="1">
        <f t="array" ref="L17">IF(A17="","",IFS(F17="/","Cancelled",D17&gt;=F17,"Completed",D17*2&lt;F17,"Behind",D17&lt;F17,"Incomplete"))</f>
        <v/>
      </c>
      <c r="M17" s="104"/>
      <c r="N17" s="13">
        <f t="shared" si="1"/>
        <v/>
      </c>
      <c r="O17" s="8">
        <f t="shared" si="2"/>
        <v/>
      </c>
      <c r="P17" s="9">
        <f t="shared" si="3"/>
        <v/>
      </c>
      <c r="Q17" s="105" t="str">
        <f>IF(OR(A17="",F17="",F17=0,F17="/"),"",IFERROR(D17/F17,""))</f>
        <v/>
      </c>
      <c r="R17" s="106"/>
      <c r="S17" s="143"/>
      <c r="T17" s="144"/>
      <c r="U17" s="145"/>
    </row>
    <row r="18" spans="1:21" ht="20.399999999999999" customHeight="1">
      <c r="A18" s="95"/>
      <c r="B18" s="96"/>
      <c r="C18" s="97"/>
      <c r="D18" s="98"/>
      <c r="E18" s="99"/>
      <c r="F18" s="1"/>
      <c r="G18" s="1"/>
      <c r="H18" s="6">
        <v>0.04</v>
      </c>
      <c r="I18" s="100"/>
      <c r="J18" s="101"/>
      <c r="K18" s="102"/>
      <c r="L18" s="103" t="str" cm="1">
        <f t="array" ref="L18">IF(A18="","",IFS(F18="/","Cancelled",D18&gt;=F18,"Completed",D18*2&lt;F18,"Behind",D18&lt;F18,"Incomplete"))</f>
        <v/>
      </c>
      <c r="M18" s="104"/>
      <c r="N18" s="13">
        <f t="shared" si="1"/>
        <v/>
      </c>
      <c r="O18" s="8">
        <f t="shared" si="2"/>
        <v/>
      </c>
      <c r="P18" s="9">
        <f t="shared" si="3"/>
        <v/>
      </c>
      <c r="Q18" s="105" t="str">
        <f>IF(OR(A18="",F18="",F18=0,F18="/"),"",IFERROR(D18/F18,""))</f>
        <v/>
      </c>
      <c r="R18" s="106"/>
      <c r="S18" s="107" t="s">
        <v>12</v>
      </c>
      <c r="T18" s="108"/>
      <c r="U18" s="109"/>
    </row>
    <row r="19" spans="1:21" ht="21" customHeight="1" thickBot="1">
      <c r="A19" s="95"/>
      <c r="B19" s="96"/>
      <c r="C19" s="97"/>
      <c r="D19" s="110"/>
      <c r="E19" s="111"/>
      <c r="F19" s="1"/>
      <c r="G19" s="1"/>
      <c r="H19" s="6">
        <v>0.04</v>
      </c>
      <c r="I19" s="112" t="inlineStr">
        <is>
          <t>Other Status:</t>
        </is>
      </c>
      <c r="J19" s="112"/>
      <c r="K19" s="113"/>
      <c r="L19" s="103" t="str" cm="1">
        <f t="array" ref="L19">IF(A19="","",IFS(F19="/","Cancelled",D19&gt;=F19,"Completed",D19*2&lt;F19,"Behind",D19&lt;F19,"Incomplete"))</f>
        <v/>
      </c>
      <c r="M19" s="104"/>
      <c r="N19" s="13">
        <f t="shared" si="1"/>
        <v/>
      </c>
      <c r="O19" s="8">
        <f t="shared" si="2"/>
        <v/>
      </c>
      <c r="P19" s="9">
        <f t="shared" si="3"/>
        <v/>
      </c>
      <c r="Q19" s="105" t="str">
        <f t="shared" ref="Q19" si="4">IF(OR(A19="",F19="",F19=0,F19="/"),"",IFERROR(D19/F19,""))</f>
        <v/>
      </c>
      <c r="R19" s="106"/>
      <c r="S19" s="107"/>
      <c r="T19" s="108"/>
      <c r="U19" s="109"/>
    </row>
    <row r="20" spans="1:21" ht="20.399999999999999" customHeight="1">
      <c r="A20" s="114"/>
      <c r="B20" s="114"/>
      <c r="C20" s="115"/>
      <c r="D20" s="116"/>
      <c r="E20" s="117"/>
      <c r="F20" s="14" t="inlineStr">
        <is>
          <t>Done</t>
        </is>
      </c>
      <c r="G20" s="15" t="inlineStr">
        <is>
          <t>Done</t>
        </is>
      </c>
      <c r="H20" s="16">
        <v>0.03</v>
      </c>
      <c r="I20" s="112"/>
      <c r="J20" s="112"/>
      <c r="K20" s="113"/>
      <c r="L20" s="103" t="str" cm="1">
        <f t="array" ref="L20">IF(A20="","",IFS(F20="/","Cancelled",D20&gt;=F20,"Completed",D20*2&lt;F20,"Behind",D20&lt;F20,"Incomplete"))</f>
        <v/>
      </c>
      <c r="M20" s="104"/>
      <c r="N20" s="13">
        <f t="shared" si="1"/>
        <v/>
      </c>
      <c r="O20" s="118" t="s">
        <v>44</v>
      </c>
      <c r="P20" s="119"/>
      <c r="Q20" s="119"/>
      <c r="R20" s="120"/>
      <c r="S20" s="121" cm="1">
        <f t="array" ref="S20">IF(COUNTA(A3:A23)=0,"",SUM(P3:P19)-IF(I21="Completed",10%,IF(I21="Incomplete",4%,0%)))</f>
        <v/>
      </c>
      <c r="T20" s="122"/>
      <c r="U20" s="123"/>
    </row>
    <row r="21" spans="1:21" ht="17.399999999999999" customHeight="1">
      <c r="A21" s="95"/>
      <c r="B21" s="96"/>
      <c r="C21" s="97"/>
      <c r="D21" s="98"/>
      <c r="E21" s="99"/>
      <c r="F21" s="1" t="inlineStr">
        <is>
          <t>Done</t>
        </is>
      </c>
      <c r="G21" s="1" t="inlineStr">
        <is>
          <t>Done</t>
        </is>
      </c>
      <c r="H21" s="17">
        <v>0.03</v>
      </c>
      <c r="I21" s="127" t="str" cm="1">
        <f t="array" ref="I21">IF(COUNTA(I3:K18)=0,"",IFS(COUNTA(I3:K18)&gt;=7,"Completed",COUNTA(I3:K18)&gt;3,"Incomplete",COUNTA(I3:K18)&lt;=3,"Behind"))</f>
        <v/>
      </c>
      <c r="J21" s="127"/>
      <c r="K21" s="128"/>
      <c r="L21" s="103" t="str" cm="1">
        <f t="array" ref="L21">IF(A21="","",IFS(F21="/","Cancelled",D21&gt;=F21,"Completed",D21*2&lt;F21,"Behind",D21&lt;F21,"Incomplete"))</f>
        <v/>
      </c>
      <c r="M21" s="104"/>
      <c r="N21" s="13">
        <f t="shared" si="1"/>
        <v/>
      </c>
      <c r="O21" s="129"/>
      <c r="P21" s="130"/>
      <c r="Q21" s="130"/>
      <c r="R21" s="131"/>
      <c r="S21" s="121"/>
      <c r="T21" s="122"/>
      <c r="U21" s="123"/>
    </row>
    <row r="22" spans="1:21" ht="17.399999999999999" customHeight="1">
      <c r="A22" s="95"/>
      <c r="B22" s="96"/>
      <c r="C22" s="97"/>
      <c r="D22" s="98"/>
      <c r="E22" s="99"/>
      <c r="F22" s="1" t="inlineStr">
        <is>
          <t>Done</t>
        </is>
      </c>
      <c r="G22" s="1" t="inlineStr">
        <is>
          <t>Done</t>
        </is>
      </c>
      <c r="H22" s="17">
        <v>0.03</v>
      </c>
      <c r="I22" s="127"/>
      <c r="J22" s="127"/>
      <c r="K22" s="128"/>
      <c r="L22" s="103" t="str" cm="1">
        <f t="array" ref="L22">IF(A22="","",IFS(F22="/","Cancelled",D22&gt;=F22,"Completed",D22*2&lt;F22,"Behind",D22&lt;F22,"Incomplete"))</f>
        <v/>
      </c>
      <c r="M22" s="104"/>
      <c r="N22" s="13">
        <f t="shared" si="1"/>
        <v/>
      </c>
      <c r="O22" s="129"/>
      <c r="P22" s="130"/>
      <c r="Q22" s="130"/>
      <c r="R22" s="131"/>
      <c r="S22" s="121"/>
      <c r="T22" s="122"/>
      <c r="U22" s="123"/>
    </row>
    <row r="23" spans="1:21" ht="17.399999999999999" customHeight="1">
      <c r="A23" s="135"/>
      <c r="B23" s="136"/>
      <c r="C23" s="137"/>
      <c r="D23" s="98"/>
      <c r="E23" s="99"/>
      <c r="F23" s="1" t="inlineStr">
        <is>
          <t>Done</t>
        </is>
      </c>
      <c r="G23" s="1" t="inlineStr">
        <is>
          <t>Done</t>
        </is>
      </c>
      <c r="H23" s="18">
        <v>0.03</v>
      </c>
      <c r="I23" s="127"/>
      <c r="J23" s="127"/>
      <c r="K23" s="128"/>
      <c r="L23" s="138" t="str" cm="1">
        <f t="array" ref="L23">IF(A23="","",IFS(F23="/","Cancelled",D23&gt;=F23,"Completed",D23*2&lt;F23,"Behind",D23&lt;F23,"Incomplete"))</f>
        <v/>
      </c>
      <c r="M23" s="139"/>
      <c r="N23" s="13">
        <f t="shared" si="1"/>
        <v/>
      </c>
      <c r="O23" s="132"/>
      <c r="P23" s="133"/>
      <c r="Q23" s="133"/>
      <c r="R23" s="134"/>
      <c r="S23" s="121"/>
      <c r="T23" s="122"/>
      <c r="U23" s="123"/>
    </row>
    <row r="24" spans="1:21" ht="13.8" customHeight="1">
      <c r="A24" s="89" t="s">
        <v>18</v>
      </c>
      <c r="B24" s="90"/>
      <c r="C24" s="90"/>
      <c r="D24" s="90"/>
      <c r="E24" s="90"/>
      <c r="F24" s="90"/>
      <c r="G24" s="90"/>
      <c r="H24" s="90"/>
      <c r="I24" s="90"/>
      <c r="J24" s="90"/>
      <c r="K24" s="90"/>
      <c r="L24" s="90"/>
      <c r="M24" s="90"/>
      <c r="N24" s="90"/>
      <c r="O24" s="90"/>
      <c r="P24" s="90"/>
      <c r="Q24" s="90"/>
      <c r="R24" s="91"/>
      <c r="S24" s="121"/>
      <c r="T24" s="122"/>
      <c r="U24" s="123"/>
    </row>
    <row r="25" spans="1:21" ht="13.8" customHeight="1">
      <c r="A25" s="92"/>
      <c r="B25" s="93"/>
      <c r="C25" s="93"/>
      <c r="D25" s="93"/>
      <c r="E25" s="93"/>
      <c r="F25" s="93"/>
      <c r="G25" s="93"/>
      <c r="H25" s="93"/>
      <c r="I25" s="93"/>
      <c r="J25" s="93"/>
      <c r="K25" s="93"/>
      <c r="L25" s="93"/>
      <c r="M25" s="93"/>
      <c r="N25" s="93"/>
      <c r="O25" s="93"/>
      <c r="P25" s="93"/>
      <c r="Q25" s="93"/>
      <c r="R25" s="94"/>
      <c r="S25" s="124"/>
      <c r="T25" s="125"/>
      <c r="U25" s="126"/>
    </row>
    <row r="26" spans="1:21" ht="13.8" customHeight="1">
      <c r="A26" s="83" t="s">
        <v>13</v>
      </c>
      <c r="B26" s="84"/>
      <c r="C26" s="84"/>
      <c r="D26" s="84"/>
      <c r="E26" s="84"/>
      <c r="F26" s="84"/>
      <c r="G26" s="84"/>
      <c r="H26" s="84"/>
      <c r="I26" s="84"/>
      <c r="J26" s="84"/>
      <c r="K26" s="84"/>
      <c r="L26" s="84"/>
      <c r="M26" s="84"/>
      <c r="N26" s="84"/>
      <c r="O26" s="84"/>
      <c r="P26" s="84"/>
      <c r="Q26" s="84"/>
      <c r="R26" s="84"/>
      <c r="S26" s="84"/>
      <c r="T26" s="84"/>
      <c r="U26" s="87"/>
    </row>
    <row r="27" spans="1:21" ht="13.8" customHeight="1">
      <c r="A27" s="85"/>
      <c r="B27" s="86"/>
      <c r="C27" s="86"/>
      <c r="D27" s="86"/>
      <c r="E27" s="86"/>
      <c r="F27" s="86"/>
      <c r="G27" s="86"/>
      <c r="H27" s="86"/>
      <c r="I27" s="86"/>
      <c r="J27" s="86"/>
      <c r="K27" s="86"/>
      <c r="L27" s="86"/>
      <c r="M27" s="86"/>
      <c r="N27" s="86"/>
      <c r="O27" s="86"/>
      <c r="P27" s="86"/>
      <c r="Q27" s="86"/>
      <c r="R27" s="86"/>
      <c r="S27" s="86"/>
      <c r="T27" s="86"/>
      <c r="U27" s="88"/>
    </row>
  </sheetData>
  <mergeCells count="116">
    <mergeCell ref="I16:K16"/>
    <mergeCell ref="L16:M16"/>
    <mergeCell ref="Q16:R16"/>
    <mergeCell ref="A17:C17"/>
    <mergeCell ref="D17:E17"/>
    <mergeCell ref="I17:K17"/>
    <mergeCell ref="L17:M17"/>
    <mergeCell ref="Q17:R17"/>
    <mergeCell ref="A1:R1"/>
    <mergeCell ref="S1:U1"/>
    <mergeCell ref="A2:C2"/>
    <mergeCell ref="D2:E2"/>
    <mergeCell ref="I2:K2"/>
    <mergeCell ref="L2:M2"/>
    <mergeCell ref="Q2:R2"/>
    <mergeCell ref="S2:U4"/>
    <mergeCell ref="A3:C3"/>
    <mergeCell ref="D3:E3"/>
    <mergeCell ref="I3:K3"/>
    <mergeCell ref="L3:M3"/>
    <mergeCell ref="Q3:R3"/>
    <mergeCell ref="A4:C4"/>
    <mergeCell ref="D4:E4"/>
    <mergeCell ref="I4:K4"/>
    <mergeCell ref="L4:M4"/>
    <mergeCell ref="Q4:R4"/>
    <mergeCell ref="A5:C5"/>
    <mergeCell ref="D5:E5"/>
    <mergeCell ref="I5:K5"/>
    <mergeCell ref="L5:M5"/>
    <mergeCell ref="Q5:R5"/>
    <mergeCell ref="S5:U9"/>
    <mergeCell ref="A6:C6"/>
    <mergeCell ref="D6:E6"/>
    <mergeCell ref="I6:K6"/>
    <mergeCell ref="L6:M6"/>
    <mergeCell ref="Q6:R6"/>
    <mergeCell ref="A7:C7"/>
    <mergeCell ref="D7:E7"/>
    <mergeCell ref="I7:K7"/>
    <mergeCell ref="L7:M7"/>
    <mergeCell ref="Q7:R7"/>
    <mergeCell ref="A8:C8"/>
    <mergeCell ref="D8:E8"/>
    <mergeCell ref="I8:K8"/>
    <mergeCell ref="L8:M8"/>
    <mergeCell ref="Q8:R8"/>
    <mergeCell ref="A9:C9"/>
    <mergeCell ref="D9:E9"/>
    <mergeCell ref="I9:K9"/>
    <mergeCell ref="L9:M9"/>
    <mergeCell ref="Q9:R9"/>
    <mergeCell ref="A26:B27"/>
    <mergeCell ref="C26:U27"/>
    <mergeCell ref="A24:R25"/>
    <mergeCell ref="A18:C18"/>
    <mergeCell ref="D18:E18"/>
    <mergeCell ref="I18:K18"/>
    <mergeCell ref="L18:M18"/>
    <mergeCell ref="Q18:R18"/>
    <mergeCell ref="S18:U19"/>
    <mergeCell ref="A19:C19"/>
    <mergeCell ref="D19:E19"/>
    <mergeCell ref="I19:K20"/>
    <mergeCell ref="L19:M19"/>
    <mergeCell ref="Q19:R19"/>
    <mergeCell ref="A20:C20"/>
    <mergeCell ref="D20:E20"/>
    <mergeCell ref="L20:M20"/>
    <mergeCell ref="O20:R20"/>
    <mergeCell ref="S20:U25"/>
    <mergeCell ref="A21:C21"/>
    <mergeCell ref="D21:E21"/>
    <mergeCell ref="I21:K23"/>
    <mergeCell ref="L21:M21"/>
    <mergeCell ref="O21:R23"/>
    <mergeCell ref="A22:C22"/>
    <mergeCell ref="D22:E22"/>
    <mergeCell ref="L22:M22"/>
    <mergeCell ref="A23:C23"/>
    <mergeCell ref="D23:E23"/>
    <mergeCell ref="L23:M23"/>
    <mergeCell ref="A10:C10"/>
    <mergeCell ref="D10:E10"/>
    <mergeCell ref="I10:K10"/>
    <mergeCell ref="L10:M10"/>
    <mergeCell ref="Q10:R10"/>
    <mergeCell ref="S10:U11"/>
    <mergeCell ref="A11:C11"/>
    <mergeCell ref="D11:E11"/>
    <mergeCell ref="I11:K11"/>
    <mergeCell ref="L11:M11"/>
    <mergeCell ref="Q11:R11"/>
    <mergeCell ref="A12:C12"/>
    <mergeCell ref="D12:E12"/>
    <mergeCell ref="I12:K12"/>
    <mergeCell ref="L12:M12"/>
    <mergeCell ref="Q12:R12"/>
    <mergeCell ref="S12:U17"/>
    <mergeCell ref="A13:C13"/>
    <mergeCell ref="D13:E13"/>
    <mergeCell ref="I13:K13"/>
    <mergeCell ref="L13:M13"/>
    <mergeCell ref="Q13:R13"/>
    <mergeCell ref="A14:C14"/>
    <mergeCell ref="D14:E14"/>
    <mergeCell ref="I14:K14"/>
    <mergeCell ref="L14:M14"/>
    <mergeCell ref="Q14:R14"/>
    <mergeCell ref="A15:C15"/>
    <mergeCell ref="D15:E15"/>
    <mergeCell ref="I15:K15"/>
    <mergeCell ref="L15:M15"/>
    <mergeCell ref="Q15:R15"/>
    <mergeCell ref="A16:C16"/>
    <mergeCell ref="D16:E16"/>
  </mergeCells>
  <phoneticPr fontId="47" type="noConversion"/>
  <conditionalFormatting sqref="L3:L20 O3:P19 L22:L23 N3:N23">
    <cfRule type="cellIs" dxfId="234" priority="6" operator="equal">
      <formula>"Cancelled"</formula>
    </cfRule>
    <cfRule type="cellIs" dxfId="233" priority="7" operator="equal">
      <formula>"Behind"</formula>
    </cfRule>
    <cfRule type="cellIs" dxfId="232" priority="8" operator="equal">
      <formula>"Incomplete"</formula>
    </cfRule>
    <cfRule type="cellIs" dxfId="231" priority="9" operator="equal">
      <formula>"Completed"</formula>
    </cfRule>
  </conditionalFormatting>
  <conditionalFormatting sqref="Q3:Q19">
    <cfRule type="dataBar" priority="5">
      <dataBar>
        <cfvo type="num" val="0"/>
        <cfvo type="num" val="1"/>
        <color rgb="FFFF0066"/>
      </dataBar>
      <extLst>
        <ext xmlns:x14="http://schemas.microsoft.com/office/spreadsheetml/2009/9/main" uri="{B025F937-C7B1-47D3-B67F-A62EFF666E3E}">
          <x14:id>{D4237A91-1FC9-4B2C-94DB-5318E663C012}</x14:id>
        </ext>
      </extLst>
    </cfRule>
  </conditionalFormatting>
  <conditionalFormatting sqref="L21">
    <cfRule type="cellIs" dxfId="230" priority="1" operator="equal">
      <formula>"Cancelled"</formula>
    </cfRule>
    <cfRule type="cellIs" dxfId="229" priority="2" operator="equal">
      <formula>"Behind"</formula>
    </cfRule>
    <cfRule type="cellIs" dxfId="228" priority="3" operator="equal">
      <formula>"Incomplete"</formula>
    </cfRule>
    <cfRule type="cellIs" dxfId="227" priority="4" operator="equal">
      <formula>"Completed"</formula>
    </cfRule>
  </conditionalFormatting>
  <dataValidations count="2">
    <dataValidation type="list" allowBlank="1" showInputMessage="1" showErrorMessage="1" sqref="D20:E23" xr:uid="{7260BCD6-710C-455C-B8A9-9D9A59703385}">
      <formula1>"Done"</formula1>
    </dataValidation>
    <dataValidation type="list" allowBlank="1" showInputMessage="1" sqref="L1:L1339" xr:uid="{A919A171-77BD-4A00-A200-5312F7B4A4A0}">
      <formula1>"Not Started,In Progress,Completed,Behind,Cancelled,N/A"</formula1>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D4237A91-1FC9-4B2C-94DB-5318E663C012}">
            <x14:dataBar minLength="0" maxLength="100" border="1" direction="leftToRight">
              <x14:cfvo type="num">
                <xm:f>0</xm:f>
              </x14:cfvo>
              <x14:cfvo type="num">
                <xm:f>1</xm:f>
              </x14:cfvo>
              <x14:borderColor theme="1"/>
              <x14:negativeFillColor rgb="FFFF0000"/>
              <x14:axisColor rgb="FF000000"/>
            </x14:dataBar>
          </x14:cfRule>
          <xm:sqref>Q3:Q19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8F017-D2E7-4B16-8112-A4572F1A1B44}">
  <sheetPr codeName="Sheet10">
    <tabColor rgb="FFE6F191"/>
  </sheetPr>
  <dimension ref="A1:Z18"/>
  <sheetViews>
    <sheetView showGridLines="0" workbookViewId="0">
      <selection activeCell="H23" sqref="H23"/>
    </sheetView>
  </sheetViews>
  <sheetFormatPr defaultRowHeight="15"/>
  <cols>
    <col min="1" max="3" width="16.77734375" style="31" customWidth="1"/>
    <col min="4" max="4" width="10.77734375" style="31" customWidth="1"/>
    <col min="5" max="5" width="3.77734375" style="31" customWidth="1"/>
    <col min="6" max="8" width="16.77734375" style="31" customWidth="1"/>
    <col min="9" max="9" width="10.77734375" style="31" customWidth="1"/>
    <col min="10" max="10" width="3.77734375" style="31" customWidth="1"/>
    <col min="11" max="13" width="16.77734375" style="31" customWidth="1"/>
    <col min="14" max="14" width="10.77734375" style="31" customWidth="1"/>
    <col min="15" max="16" width="11.77734375" style="31" customWidth="1"/>
    <col min="17" max="25" width="8.88671875" style="31"/>
    <col min="26" max="26" width="0" style="31" hidden="1" customWidth="1"/>
    <col min="27" max="16384" width="8.88671875" style="31"/>
  </cols>
  <sheetData>
    <row r="1" spans="1:26" ht="34.049999999999997" customHeight="1">
      <c r="A1" s="300" t="s">
        <v>103</v>
      </c>
      <c r="B1" s="300"/>
      <c r="C1" s="300"/>
      <c r="D1" s="300"/>
      <c r="E1" s="300"/>
      <c r="F1" s="300"/>
      <c r="G1" s="300"/>
      <c r="H1" s="300"/>
      <c r="I1" s="300"/>
      <c r="J1" s="300"/>
      <c r="K1" s="300"/>
      <c r="L1" s="300"/>
      <c r="M1" s="300"/>
      <c r="N1" s="300"/>
      <c r="Z1" s="31" t="s">
        <v>100</v>
      </c>
    </row>
    <row r="2" spans="1:26" ht="24" customHeight="1">
      <c r="A2" s="301" t="s">
        <v>104</v>
      </c>
      <c r="B2" s="301"/>
      <c r="C2" s="301"/>
      <c r="D2" s="301"/>
      <c r="E2" s="301"/>
      <c r="F2" s="301"/>
      <c r="G2" s="301"/>
      <c r="H2" s="301"/>
      <c r="I2" s="301"/>
      <c r="J2" s="301"/>
      <c r="K2" s="301"/>
      <c r="L2" s="301"/>
      <c r="M2" s="301"/>
      <c r="N2" s="301"/>
    </row>
    <row r="4" spans="1:26" ht="31.05" customHeight="1">
      <c r="A4" s="302" t="s">
        <v>181</v>
      </c>
      <c r="B4" s="303"/>
      <c r="C4" s="303"/>
      <c r="D4" s="303"/>
      <c r="E4" s="303"/>
      <c r="F4" s="303"/>
      <c r="G4" s="303"/>
      <c r="H4" s="303"/>
      <c r="I4" s="303"/>
      <c r="J4" s="303"/>
      <c r="K4" s="303"/>
      <c r="L4" s="303"/>
      <c r="M4" s="303"/>
      <c r="N4" s="304"/>
    </row>
    <row r="5" spans="1:26">
      <c r="A5" s="488" t="s">
        <v>190</v>
      </c>
      <c r="B5" s="489"/>
      <c r="C5" s="489"/>
      <c r="D5" s="489"/>
      <c r="E5" s="489"/>
      <c r="F5" s="489"/>
      <c r="G5" s="489"/>
      <c r="H5" s="489"/>
      <c r="I5" s="489"/>
      <c r="J5" s="489"/>
      <c r="K5" s="489"/>
      <c r="L5" s="489"/>
      <c r="M5" s="489"/>
      <c r="N5" s="490"/>
    </row>
    <row r="6" spans="1:26">
      <c r="A6" s="32"/>
      <c r="B6" s="483"/>
      <c r="C6" s="483"/>
      <c r="D6" s="483"/>
      <c r="E6" s="483"/>
      <c r="F6" s="483"/>
      <c r="G6" s="483"/>
      <c r="H6" s="483"/>
      <c r="I6" s="483"/>
      <c r="J6" s="483"/>
      <c r="K6" s="483"/>
      <c r="L6" s="483"/>
      <c r="M6" s="483"/>
      <c r="N6" s="33"/>
    </row>
    <row r="7" spans="1:26" ht="30" customHeight="1">
      <c r="A7" s="290" t="s">
        <v>182</v>
      </c>
      <c r="B7" s="291"/>
      <c r="C7" s="291"/>
      <c r="D7" s="292"/>
      <c r="E7" s="483"/>
      <c r="F7" s="296" t="s">
        <v>183</v>
      </c>
      <c r="G7" s="291"/>
      <c r="H7" s="291"/>
      <c r="I7" s="292"/>
      <c r="J7" s="483"/>
      <c r="K7" s="296" t="s">
        <v>184</v>
      </c>
      <c r="L7" s="291"/>
      <c r="M7" s="291"/>
      <c r="N7" s="298"/>
    </row>
    <row r="8" spans="1:26" ht="30" customHeight="1">
      <c r="A8" s="293"/>
      <c r="B8" s="294"/>
      <c r="C8" s="294"/>
      <c r="D8" s="295"/>
      <c r="E8" s="483"/>
      <c r="F8" s="297"/>
      <c r="G8" s="294"/>
      <c r="H8" s="294"/>
      <c r="I8" s="295"/>
      <c r="J8" s="483"/>
      <c r="K8" s="297"/>
      <c r="L8" s="294"/>
      <c r="M8" s="294"/>
      <c r="N8" s="299"/>
    </row>
    <row r="9" spans="1:26">
      <c r="A9" s="32"/>
      <c r="B9" s="483"/>
      <c r="C9" s="483"/>
      <c r="D9" s="483"/>
      <c r="E9" s="483"/>
      <c r="F9" s="483"/>
      <c r="G9" s="483"/>
      <c r="H9" s="483"/>
      <c r="I9" s="483"/>
      <c r="J9" s="483"/>
      <c r="K9" s="483"/>
      <c r="L9" s="483"/>
      <c r="M9" s="483"/>
      <c r="N9" s="33"/>
    </row>
    <row r="10" spans="1:26" ht="30" customHeight="1">
      <c r="A10" s="290" t="s">
        <v>185</v>
      </c>
      <c r="B10" s="291"/>
      <c r="C10" s="291"/>
      <c r="D10" s="292"/>
      <c r="E10" s="483"/>
      <c r="F10" s="296" t="s">
        <v>186</v>
      </c>
      <c r="G10" s="291"/>
      <c r="H10" s="291"/>
      <c r="I10" s="292"/>
      <c r="J10" s="483"/>
      <c r="K10" s="296" t="s">
        <v>187</v>
      </c>
      <c r="L10" s="291"/>
      <c r="M10" s="291"/>
      <c r="N10" s="298"/>
    </row>
    <row r="11" spans="1:26" ht="30" customHeight="1">
      <c r="A11" s="293"/>
      <c r="B11" s="294"/>
      <c r="C11" s="294"/>
      <c r="D11" s="295"/>
      <c r="E11" s="483"/>
      <c r="F11" s="297"/>
      <c r="G11" s="294"/>
      <c r="H11" s="294"/>
      <c r="I11" s="295"/>
      <c r="J11" s="483"/>
      <c r="K11" s="297"/>
      <c r="L11" s="294"/>
      <c r="M11" s="294"/>
      <c r="N11" s="299"/>
    </row>
    <row r="12" spans="1:26">
      <c r="A12" s="32"/>
      <c r="B12" s="483"/>
      <c r="C12" s="483"/>
      <c r="D12" s="483"/>
      <c r="E12" s="483"/>
      <c r="F12" s="483"/>
      <c r="G12" s="483"/>
      <c r="H12" s="483"/>
      <c r="I12" s="483"/>
      <c r="J12" s="483"/>
      <c r="K12" s="483"/>
      <c r="L12" s="483"/>
      <c r="M12" s="483"/>
      <c r="N12" s="33"/>
    </row>
    <row r="13" spans="1:26" ht="19.8">
      <c r="A13" s="288" t="s">
        <v>101</v>
      </c>
      <c r="B13" s="484"/>
      <c r="C13" s="484"/>
      <c r="D13" s="484"/>
      <c r="E13" s="484"/>
      <c r="F13" s="484"/>
      <c r="G13" s="484"/>
      <c r="H13" s="484"/>
      <c r="I13" s="484"/>
      <c r="J13" s="484"/>
      <c r="K13" s="484"/>
      <c r="L13" s="484"/>
      <c r="M13" s="484"/>
      <c r="N13" s="289"/>
    </row>
    <row r="14" spans="1:26">
      <c r="A14" s="485" t="s">
        <v>188</v>
      </c>
      <c r="B14" s="486"/>
      <c r="C14" s="486"/>
      <c r="D14" s="486"/>
      <c r="E14" s="486"/>
      <c r="F14" s="486"/>
      <c r="G14" s="486"/>
      <c r="H14" s="486"/>
      <c r="I14" s="486"/>
      <c r="J14" s="486"/>
      <c r="K14" s="486"/>
      <c r="L14" s="486"/>
      <c r="M14" s="486"/>
      <c r="N14" s="487"/>
    </row>
    <row r="15" spans="1:26">
      <c r="A15" s="32"/>
      <c r="B15" s="483"/>
      <c r="C15" s="483"/>
      <c r="D15" s="483"/>
      <c r="E15" s="483"/>
      <c r="F15" s="483"/>
      <c r="G15" s="483"/>
      <c r="H15" s="483"/>
      <c r="I15" s="483"/>
      <c r="J15" s="483"/>
      <c r="K15" s="483"/>
      <c r="L15" s="483"/>
      <c r="M15" s="483"/>
      <c r="N15" s="33"/>
    </row>
    <row r="16" spans="1:26" ht="19.8">
      <c r="A16" s="288" t="s">
        <v>102</v>
      </c>
      <c r="B16" s="484"/>
      <c r="C16" s="484"/>
      <c r="D16" s="484"/>
      <c r="E16" s="484"/>
      <c r="F16" s="484"/>
      <c r="G16" s="484"/>
      <c r="H16" s="484"/>
      <c r="I16" s="484"/>
      <c r="J16" s="484"/>
      <c r="K16" s="484"/>
      <c r="L16" s="484"/>
      <c r="M16" s="484"/>
      <c r="N16" s="289"/>
    </row>
    <row r="17" spans="1:14">
      <c r="A17" s="485" t="s">
        <v>189</v>
      </c>
      <c r="B17" s="486"/>
      <c r="C17" s="486"/>
      <c r="D17" s="486"/>
      <c r="E17" s="486"/>
      <c r="F17" s="486"/>
      <c r="G17" s="486"/>
      <c r="H17" s="486"/>
      <c r="I17" s="486"/>
      <c r="J17" s="486"/>
      <c r="K17" s="486"/>
      <c r="L17" s="486"/>
      <c r="M17" s="486"/>
      <c r="N17" s="487"/>
    </row>
    <row r="18" spans="1:14">
      <c r="A18" s="34"/>
      <c r="B18" s="35"/>
      <c r="C18" s="35"/>
      <c r="D18" s="35"/>
      <c r="E18" s="35"/>
      <c r="F18" s="35"/>
      <c r="G18" s="35"/>
      <c r="H18" s="35"/>
      <c r="I18" s="35"/>
      <c r="J18" s="35"/>
      <c r="K18" s="35"/>
      <c r="L18" s="35"/>
      <c r="M18" s="35"/>
      <c r="N18" s="36"/>
    </row>
  </sheetData>
  <mergeCells count="14">
    <mergeCell ref="A14:N14"/>
    <mergeCell ref="A16:N16"/>
    <mergeCell ref="A17:N17"/>
    <mergeCell ref="A4:N4"/>
    <mergeCell ref="A5:N5"/>
    <mergeCell ref="A7:D8"/>
    <mergeCell ref="F7:I8"/>
    <mergeCell ref="K7:N8"/>
    <mergeCell ref="A10:D11"/>
    <mergeCell ref="F10:I11"/>
    <mergeCell ref="K10:N11"/>
    <mergeCell ref="A13:N13"/>
    <mergeCell ref="A1:N1"/>
    <mergeCell ref="A2:N2"/>
  </mergeCells>
  <phoneticPr fontId="47"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D669E-4B2A-4A56-AA5F-956E3F7A2C23}">
  <sheetPr codeName="Sheet13">
    <tabColor theme="8"/>
    <pageSetUpPr fitToPage="1"/>
  </sheetPr>
  <dimension ref="A1:S23"/>
  <sheetViews>
    <sheetView showGridLines="0" workbookViewId="0">
      <selection sqref="A1:K1"/>
    </sheetView>
  </sheetViews>
  <sheetFormatPr defaultRowHeight="13.8"/>
  <cols>
    <col min="1" max="1" width="11.6640625" bestFit="1" customWidth="1"/>
    <col min="2" max="2" width="13.88671875" bestFit="1" customWidth="1"/>
    <col min="3" max="3" width="15.33203125" bestFit="1" customWidth="1"/>
    <col min="4" max="4" width="14.109375" bestFit="1" customWidth="1"/>
    <col min="5" max="5" width="20.21875" bestFit="1" customWidth="1"/>
    <col min="6" max="6" width="10.5546875" bestFit="1" customWidth="1"/>
    <col min="7" max="7" width="13.88671875" bestFit="1" customWidth="1"/>
    <col min="8" max="8" width="16.5546875" bestFit="1" customWidth="1"/>
    <col min="9" max="9" width="11.6640625" bestFit="1" customWidth="1"/>
    <col min="10" max="10" width="20.77734375" customWidth="1"/>
    <col min="11" max="11" width="9.5546875" bestFit="1" customWidth="1"/>
    <col min="13" max="19" width="0" hidden="1" customWidth="1"/>
  </cols>
  <sheetData>
    <row r="1" spans="1:19" ht="22.8">
      <c r="A1" s="305" t="s">
        <v>70</v>
      </c>
      <c r="B1" s="306"/>
      <c r="C1" s="306"/>
      <c r="D1" s="306"/>
      <c r="E1" s="306"/>
      <c r="F1" s="306"/>
      <c r="G1" s="306"/>
      <c r="H1" s="306"/>
      <c r="I1" s="306"/>
      <c r="J1" s="306"/>
      <c r="K1" s="306"/>
    </row>
    <row r="2" spans="1:19">
      <c r="A2" t="s">
        <v>71</v>
      </c>
      <c r="B2" t="s">
        <v>68</v>
      </c>
      <c r="D2" t="s">
        <v>72</v>
      </c>
      <c r="E2" s="491"/>
    </row>
    <row r="4" spans="1:19">
      <c r="A4" s="28" t="s">
        <v>73</v>
      </c>
      <c r="B4" s="28"/>
      <c r="C4" s="28" t="s">
        <v>74</v>
      </c>
      <c r="D4" s="28"/>
      <c r="E4" s="28" t="s">
        <v>121</v>
      </c>
      <c r="F4" s="28"/>
      <c r="G4" s="28" t="s">
        <v>122</v>
      </c>
      <c r="H4" s="28"/>
      <c r="I4" s="28" t="s">
        <v>75</v>
      </c>
      <c r="J4" s="28"/>
      <c r="S4" t="s">
        <v>113</v>
      </c>
    </row>
    <row r="5" spans="1:19">
      <c r="A5" s="28"/>
      <c r="B5" s="28">
        <f ca="1">IFERROR(INDEX($B$11:$B$60,MATCH(TEXT(TODAY(),"yyyy-mm"),$A$11:$A$60,0)),0)</f>
        <v>0</v>
      </c>
      <c r="C5" s="28"/>
      <c r="D5" s="30">
        <f ca="1">IFERROR(INDEX($E$11:$E$60,MATCH(TEXT(TODAY(),"yyyy-mm"),$A$11:$A$60,0)),0)</f>
        <v>0</v>
      </c>
      <c r="E5" s="28"/>
      <c r="F5" s="30">
        <f ca="1">IFERROR(INDEX($F$11:$F$60,MATCH(TEXT(TODAY(),"yyyy-mm"),$A$11:$A$60,0)),0)</f>
        <v>0</v>
      </c>
      <c r="G5" s="28"/>
      <c r="H5" s="30">
        <f ca="1">IFERROR(INDEX($G$11:$G$60,MATCH(TEXT(TODAY(),"yyyy-mm"),$A$11:$A$60,0)),0)</f>
        <v>0</v>
      </c>
      <c r="I5" s="28"/>
      <c r="J5" s="28">
        <f>IFERROR($S$5,0)</f>
        <v>1</v>
      </c>
      <c r="S5">
        <v>1</v>
      </c>
    </row>
    <row r="10" spans="1:19">
      <c r="A10" s="29" t="s">
        <v>76</v>
      </c>
      <c r="B10" s="29" t="s">
        <v>77</v>
      </c>
      <c r="C10" s="29" t="s">
        <v>78</v>
      </c>
      <c r="D10" s="29" t="s">
        <v>79</v>
      </c>
      <c r="E10" s="29" t="s">
        <v>80</v>
      </c>
      <c r="F10" s="29" t="s">
        <v>119</v>
      </c>
      <c r="G10" s="29" t="s">
        <v>120</v>
      </c>
      <c r="H10" s="29" t="s">
        <v>81</v>
      </c>
      <c r="J10" s="29" t="s">
        <v>69</v>
      </c>
      <c r="K10" s="29" t="s">
        <v>93</v>
      </c>
      <c r="M10" t="s">
        <v>76</v>
      </c>
      <c r="N10" t="s">
        <v>108</v>
      </c>
      <c r="O10" t="s">
        <v>109</v>
      </c>
      <c r="P10" t="s">
        <v>110</v>
      </c>
      <c r="Q10" t="s">
        <v>111</v>
      </c>
      <c r="R10" t="s">
        <v>112</v>
      </c>
      <c r="S10" t="s">
        <v>118</v>
      </c>
    </row>
    <row r="11" spans="1:19">
      <c r="A11" s="38" t="s">
        <v>82</v>
      </c>
      <c r="B11" s="42">
        <v>0</v>
      </c>
      <c r="C11" s="42">
        <v>0</v>
      </c>
      <c r="D11" s="42">
        <v>0</v>
      </c>
      <c r="E11" s="39">
        <v>0</v>
      </c>
      <c r="F11" s="39">
        <v>0</v>
      </c>
      <c r="G11" s="39">
        <v>0</v>
      </c>
      <c r="H11" s="39">
        <f t="shared" ref="H11:H23" si="0">IFERROR(N11/O11,0)</f>
        <v>0</v>
      </c>
      <c r="J11" t="s">
        <v>67</v>
      </c>
      <c r="K11">
        <f ca="1">IFERROR(INDEX($D$11:$D$60,MATCH(TEXT(TODAY(),"yyyy-mm"),$A$11:$A$60,0)),0)</f>
        <v>0</v>
      </c>
      <c r="M11" t="s">
        <v>82</v>
      </c>
      <c r="N11">
        <v>0</v>
      </c>
      <c r="O11">
        <v>0</v>
      </c>
      <c r="P11">
        <v>0</v>
      </c>
      <c r="Q11">
        <v>0</v>
      </c>
      <c r="R11">
        <v>0</v>
      </c>
      <c r="S11">
        <v>0</v>
      </c>
    </row>
    <row r="12" spans="1:19">
      <c r="A12" s="40" t="s">
        <v>83</v>
      </c>
      <c r="B12" s="43">
        <v>0</v>
      </c>
      <c r="C12" s="43">
        <v>0</v>
      </c>
      <c r="D12" s="43">
        <v>0</v>
      </c>
      <c r="E12" s="41">
        <v>0</v>
      </c>
      <c r="F12" s="41">
        <v>0</v>
      </c>
      <c r="G12" s="41">
        <v>0</v>
      </c>
      <c r="H12" s="41">
        <f>IFERROR(N12/O12,0)</f>
        <v>0</v>
      </c>
      <c r="J12" t="s">
        <v>115</v>
      </c>
      <c r="K12">
        <f ca="1">IFERROR(INDEX($S$11:$S$60,MATCH(TEXT(TODAY(),"yyyy-mm"),$M$11:$M$60,0)),0)</f>
        <v>0</v>
      </c>
      <c r="M12" t="s">
        <v>83</v>
      </c>
      <c r="N12">
        <v>0</v>
      </c>
      <c r="O12">
        <v>0</v>
      </c>
      <c r="P12">
        <v>0</v>
      </c>
      <c r="Q12">
        <v>0</v>
      </c>
      <c r="R12">
        <v>0</v>
      </c>
      <c r="S12">
        <v>0</v>
      </c>
    </row>
    <row r="13" spans="1:19">
      <c r="A13" s="38" t="s">
        <v>84</v>
      </c>
      <c r="B13" s="42">
        <v>0</v>
      </c>
      <c r="C13" s="42">
        <v>0</v>
      </c>
      <c r="D13" s="42">
        <v>0</v>
      </c>
      <c r="E13" s="39">
        <v>0</v>
      </c>
      <c r="F13" s="39">
        <v>0</v>
      </c>
      <c r="G13" s="39">
        <v>0</v>
      </c>
      <c r="H13" s="39">
        <f>IFERROR(N13/O13,0)</f>
        <v>0</v>
      </c>
      <c r="J13" t="s">
        <v>116</v>
      </c>
      <c r="K13">
        <f ca="1">IFERROR(INDEX($Q$11:$Q$60,MATCH(TEXT(TODAY(),"yyyy-mm"),$M$11:$M$60,0)),0)</f>
        <v>0</v>
      </c>
      <c r="M13" t="s">
        <v>84</v>
      </c>
      <c r="N13">
        <v>0</v>
      </c>
      <c r="O13">
        <v>0</v>
      </c>
      <c r="P13">
        <v>0</v>
      </c>
      <c r="Q13">
        <v>0</v>
      </c>
      <c r="R13">
        <v>0</v>
      </c>
      <c r="S13">
        <v>0</v>
      </c>
    </row>
    <row r="14" spans="1:19">
      <c r="A14" s="40" t="s">
        <v>85</v>
      </c>
      <c r="B14" s="43">
        <v>0</v>
      </c>
      <c r="C14" s="43">
        <v>0</v>
      </c>
      <c r="D14" s="43">
        <v>0</v>
      </c>
      <c r="E14" s="41">
        <v>0</v>
      </c>
      <c r="F14" s="41">
        <v>0</v>
      </c>
      <c r="G14" s="41">
        <v>0</v>
      </c>
      <c r="H14" s="41">
        <f>IFERROR(N14/O14,0)</f>
        <v>0</v>
      </c>
      <c r="J14" t="s">
        <v>117</v>
      </c>
      <c r="K14">
        <f ca="1">IFERROR(INDEX($R$11:$R$60,MATCH(TEXT(TODAY(),"yyyy-mm"),$M$11:$M$60,0)),0)</f>
        <v>0</v>
      </c>
      <c r="M14" t="s">
        <v>85</v>
      </c>
      <c r="N14">
        <v>0</v>
      </c>
      <c r="O14">
        <v>0</v>
      </c>
      <c r="P14">
        <v>0</v>
      </c>
      <c r="Q14">
        <v>0</v>
      </c>
      <c r="R14">
        <v>0</v>
      </c>
      <c r="S14">
        <v>0</v>
      </c>
    </row>
    <row r="15" spans="1:19">
      <c r="A15" s="38" t="s">
        <v>86</v>
      </c>
      <c r="B15" s="42">
        <v>0</v>
      </c>
      <c r="C15" s="42">
        <v>0</v>
      </c>
      <c r="D15" s="42">
        <v>0</v>
      </c>
      <c r="E15" s="39">
        <v>0</v>
      </c>
      <c r="F15" s="39">
        <v>0</v>
      </c>
      <c r="G15" s="39">
        <v>0</v>
      </c>
      <c r="H15" s="39">
        <f>IFERROR(N15/O15,0)</f>
        <v>0</v>
      </c>
      <c r="M15" t="s">
        <v>86</v>
      </c>
      <c r="N15">
        <v>0</v>
      </c>
      <c r="O15">
        <v>0</v>
      </c>
      <c r="P15">
        <v>0</v>
      </c>
      <c r="Q15">
        <v>0</v>
      </c>
      <c r="R15">
        <v>0</v>
      </c>
      <c r="S15">
        <v>0</v>
      </c>
    </row>
    <row r="16" spans="1:19">
      <c r="A16" s="40" t="s">
        <v>87</v>
      </c>
      <c r="B16" s="43">
        <v>0</v>
      </c>
      <c r="C16" s="43">
        <v>0</v>
      </c>
      <c r="D16" s="43">
        <v>0</v>
      </c>
      <c r="E16" s="41">
        <v>0</v>
      </c>
      <c r="F16" s="41">
        <v>0</v>
      </c>
      <c r="G16" s="41">
        <v>0</v>
      </c>
      <c r="H16" s="41">
        <f>IFERROR(N16/O16,0)</f>
        <v>0</v>
      </c>
      <c r="M16" t="s">
        <v>87</v>
      </c>
      <c r="N16">
        <v>0</v>
      </c>
      <c r="O16">
        <v>0</v>
      </c>
      <c r="P16">
        <v>0</v>
      </c>
      <c r="Q16">
        <v>0</v>
      </c>
      <c r="R16">
        <v>0</v>
      </c>
      <c r="S16">
        <v>0</v>
      </c>
    </row>
    <row r="17" spans="1:19">
      <c r="A17" s="38" t="s">
        <v>88</v>
      </c>
      <c r="B17" s="42">
        <v>0</v>
      </c>
      <c r="C17" s="42">
        <v>0</v>
      </c>
      <c r="D17" s="42">
        <v>0</v>
      </c>
      <c r="E17" s="39">
        <v>0</v>
      </c>
      <c r="F17" s="39">
        <v>0</v>
      </c>
      <c r="G17" s="39">
        <v>0</v>
      </c>
      <c r="H17" s="39">
        <f>IFERROR(N17/O17,0)</f>
        <v>0</v>
      </c>
      <c r="M17" t="s">
        <v>88</v>
      </c>
      <c r="N17">
        <v>0</v>
      </c>
      <c r="O17">
        <v>0</v>
      </c>
      <c r="P17">
        <v>0</v>
      </c>
      <c r="Q17">
        <v>0</v>
      </c>
      <c r="R17">
        <v>0</v>
      </c>
      <c r="S17">
        <v>0</v>
      </c>
    </row>
    <row r="18" spans="1:19">
      <c r="A18" s="40" t="s">
        <v>89</v>
      </c>
      <c r="B18" s="43">
        <v>0</v>
      </c>
      <c r="C18" s="43">
        <v>0</v>
      </c>
      <c r="D18" s="43">
        <v>0</v>
      </c>
      <c r="E18" s="41">
        <v>0</v>
      </c>
      <c r="F18" s="41">
        <v>0</v>
      </c>
      <c r="G18" s="41">
        <v>0</v>
      </c>
      <c r="H18" s="41">
        <f>IFERROR(N18/O18,0)</f>
        <v>0</v>
      </c>
      <c r="J18" s="29" t="s">
        <v>94</v>
      </c>
      <c r="K18" s="29" t="s">
        <v>95</v>
      </c>
      <c r="M18" t="s">
        <v>89</v>
      </c>
      <c r="N18">
        <v>0</v>
      </c>
      <c r="O18">
        <v>0</v>
      </c>
      <c r="P18">
        <v>0</v>
      </c>
      <c r="Q18">
        <v>0</v>
      </c>
      <c r="R18">
        <v>0</v>
      </c>
      <c r="S18">
        <v>0</v>
      </c>
    </row>
    <row r="19" spans="1:19">
      <c r="A19" s="38" t="s">
        <v>90</v>
      </c>
      <c r="B19" s="42">
        <v>0</v>
      </c>
      <c r="C19" s="42">
        <v>0</v>
      </c>
      <c r="D19" s="42">
        <v>0</v>
      </c>
      <c r="E19" s="39">
        <v>0</v>
      </c>
      <c r="F19" s="39">
        <v>0</v>
      </c>
      <c r="G19" s="39">
        <v>0</v>
      </c>
      <c r="H19" s="39">
        <f>IFERROR(N19/O19,0)</f>
        <v>0</v>
      </c>
      <c r="J19" t="s">
        <v>96</v>
      </c>
      <c r="K19">
        <v>0</v>
      </c>
      <c r="M19" t="s">
        <v>90</v>
      </c>
      <c r="N19">
        <v>0</v>
      </c>
      <c r="O19">
        <v>0</v>
      </c>
      <c r="P19">
        <v>0</v>
      </c>
      <c r="Q19">
        <v>0</v>
      </c>
      <c r="R19">
        <v>0</v>
      </c>
      <c r="S19">
        <v>0</v>
      </c>
    </row>
    <row r="20" spans="1:19">
      <c r="A20" s="40" t="s">
        <v>91</v>
      </c>
      <c r="B20" s="43">
        <v>0</v>
      </c>
      <c r="C20" s="43">
        <v>0</v>
      </c>
      <c r="D20" s="43">
        <v>0</v>
      </c>
      <c r="E20" s="41">
        <v>0</v>
      </c>
      <c r="F20" s="41">
        <v>0</v>
      </c>
      <c r="G20" s="41">
        <v>0</v>
      </c>
      <c r="H20" s="41">
        <f>IFERROR(N20/O20,0)</f>
        <v>0</v>
      </c>
      <c r="J20" t="s">
        <v>97</v>
      </c>
      <c r="K20">
        <v>0</v>
      </c>
      <c r="M20" t="s">
        <v>91</v>
      </c>
      <c r="N20">
        <v>0</v>
      </c>
      <c r="O20">
        <v>0</v>
      </c>
      <c r="P20">
        <v>0</v>
      </c>
      <c r="Q20">
        <v>0</v>
      </c>
      <c r="R20">
        <v>0</v>
      </c>
      <c r="S20">
        <v>0</v>
      </c>
    </row>
    <row r="21" spans="1:19">
      <c r="A21" s="38" t="s">
        <v>92</v>
      </c>
      <c r="B21" s="42">
        <v>0</v>
      </c>
      <c r="C21" s="42">
        <v>0</v>
      </c>
      <c r="D21" s="42">
        <v>0</v>
      </c>
      <c r="E21" s="39">
        <v>0</v>
      </c>
      <c r="F21" s="39">
        <v>0</v>
      </c>
      <c r="G21" s="39">
        <v>0</v>
      </c>
      <c r="H21" s="39">
        <f>IFERROR(N21/O21,0)</f>
        <v>0</v>
      </c>
      <c r="J21" t="s">
        <v>98</v>
      </c>
      <c r="K21">
        <v>0</v>
      </c>
      <c r="M21" t="s">
        <v>92</v>
      </c>
      <c r="N21">
        <v>0</v>
      </c>
      <c r="O21">
        <v>0</v>
      </c>
      <c r="P21">
        <v>0</v>
      </c>
      <c r="Q21">
        <v>0</v>
      </c>
      <c r="R21">
        <v>0</v>
      </c>
      <c r="S21">
        <v>0</v>
      </c>
    </row>
    <row r="22" spans="1:19">
      <c r="A22" s="40" t="s">
        <v>114</v>
      </c>
      <c r="B22" s="43">
        <v>0</v>
      </c>
      <c r="C22" s="43">
        <v>0</v>
      </c>
      <c r="D22" s="43">
        <v>0</v>
      </c>
      <c r="E22" s="41">
        <v>0</v>
      </c>
      <c r="F22" s="41">
        <v>0</v>
      </c>
      <c r="G22" s="41">
        <v>0</v>
      </c>
      <c r="H22" s="41">
        <f>IFERROR(N22/O22,0)</f>
        <v>0</v>
      </c>
      <c r="J22" t="s">
        <v>99</v>
      </c>
      <c r="K22">
        <v>0</v>
      </c>
      <c r="M22" t="s">
        <v>114</v>
      </c>
      <c r="N22">
        <v>0</v>
      </c>
      <c r="O22">
        <v>0</v>
      </c>
      <c r="P22">
        <v>0</v>
      </c>
      <c r="Q22">
        <v>0</v>
      </c>
      <c r="R22">
        <v>0</v>
      </c>
      <c r="S22">
        <v>0</v>
      </c>
    </row>
    <row r="23" spans="1:19">
      <c r="A23" s="38" t="s">
        <v>124</v>
      </c>
      <c r="B23" s="42">
        <v>0</v>
      </c>
      <c r="C23" s="42">
        <v>0</v>
      </c>
      <c r="D23" s="42">
        <v>0</v>
      </c>
      <c r="E23" s="39">
        <v>0</v>
      </c>
      <c r="F23" s="39">
        <v>0</v>
      </c>
      <c r="G23" s="39">
        <v>0</v>
      </c>
      <c r="H23" s="39">
        <f>IFERROR(N23/O23,0)</f>
        <v>0</v>
      </c>
      <c r="M23" t="s">
        <v>124</v>
      </c>
      <c r="N23">
        <v>0</v>
      </c>
      <c r="O23">
        <v>0</v>
      </c>
      <c r="P23">
        <v>0</v>
      </c>
      <c r="Q23">
        <v>0</v>
      </c>
      <c r="R23">
        <v>0</v>
      </c>
      <c r="S23">
        <v>0</v>
      </c>
    </row>
  </sheetData>
  <mergeCells count="1">
    <mergeCell ref="A1:K1"/>
  </mergeCells>
  <phoneticPr fontId="47" type="noConversion"/>
  <pageMargins left="0.7" right="0.7" top="0.75" bottom="0.75" header="0.3" footer="0.3"/>
  <pageSetup paperSize="9" fitToHeight="0" orientation="landscape" horizontalDpi="1200" verticalDpi="1200" r:id="rId1"/>
  <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860CB-7033-4697-8A78-6012519B14E2}">
  <sheetPr codeName="Sheet9">
    <tabColor rgb="FF2A7AA6"/>
  </sheetPr>
  <dimension ref="A1:L442"/>
  <sheetViews>
    <sheetView zoomScale="175" zoomScaleNormal="175" workbookViewId="0">
      <pane ySplit="1" topLeftCell="A2" activePane="bottomLeft" state="frozen"/>
      <selection pane="bottomLeft" activeCell="D115" sqref="D115:I115"/>
    </sheetView>
  </sheetViews>
  <sheetFormatPr defaultRowHeight="13.8"/>
  <cols>
    <col min="3" max="3" width="8.77734375" customWidth="1"/>
    <col min="12" max="12" width="11.5546875" customWidth="1"/>
  </cols>
  <sheetData>
    <row r="1" spans="1:12" ht="28.95" customHeight="1">
      <c r="A1" s="318" t="s">
        <v>25</v>
      </c>
      <c r="B1" s="319"/>
      <c r="C1" s="25" t="s">
        <v>35</v>
      </c>
      <c r="D1" s="318" t="s">
        <v>33</v>
      </c>
      <c r="E1" s="322"/>
      <c r="F1" s="322"/>
      <c r="G1" s="322"/>
      <c r="H1" s="322"/>
      <c r="I1" s="319"/>
      <c r="J1" s="320" t="s">
        <v>36</v>
      </c>
      <c r="K1" s="321"/>
      <c r="L1" s="26" t="s">
        <v>9</v>
      </c>
    </row>
    <row r="2" spans="1:12" ht="19.95" customHeight="1">
      <c r="A2" s="312"/>
      <c r="B2" s="313"/>
      <c r="C2" s="22">
        <v>1</v>
      </c>
      <c r="D2" s="309"/>
      <c r="E2" s="310"/>
      <c r="F2" s="310"/>
      <c r="G2" s="310"/>
      <c r="H2" s="310"/>
      <c r="I2" s="311"/>
      <c r="J2" s="307"/>
      <c r="K2" s="308"/>
      <c r="L2" s="23"/>
    </row>
    <row r="3" spans="1:12" ht="19.95" customHeight="1">
      <c r="A3" s="314"/>
      <c r="B3" s="315"/>
      <c r="C3" s="22">
        <v>2</v>
      </c>
      <c r="D3" s="309"/>
      <c r="E3" s="310"/>
      <c r="F3" s="310"/>
      <c r="G3" s="310"/>
      <c r="H3" s="310"/>
      <c r="I3" s="311"/>
      <c r="J3" s="307"/>
      <c r="K3" s="308"/>
      <c r="L3" s="23"/>
    </row>
    <row r="4" spans="1:12" ht="19.95" customHeight="1">
      <c r="A4" s="314"/>
      <c r="B4" s="315"/>
      <c r="C4" s="22">
        <v>3</v>
      </c>
      <c r="D4" s="309"/>
      <c r="E4" s="310"/>
      <c r="F4" s="310"/>
      <c r="G4" s="310"/>
      <c r="H4" s="310"/>
      <c r="I4" s="311"/>
      <c r="J4" s="307"/>
      <c r="K4" s="308"/>
      <c r="L4" s="24"/>
    </row>
    <row r="5" spans="1:12" ht="19.95" customHeight="1">
      <c r="A5" s="314"/>
      <c r="B5" s="315"/>
      <c r="C5" s="22">
        <v>4</v>
      </c>
      <c r="D5" s="309"/>
      <c r="E5" s="310"/>
      <c r="F5" s="310"/>
      <c r="G5" s="310"/>
      <c r="H5" s="310"/>
      <c r="I5" s="311"/>
      <c r="J5" s="307"/>
      <c r="K5" s="308"/>
      <c r="L5" s="23"/>
    </row>
    <row r="6" spans="1:12" ht="19.95" customHeight="1">
      <c r="A6" s="314"/>
      <c r="B6" s="315"/>
      <c r="C6" s="22">
        <v>5</v>
      </c>
      <c r="D6" s="309"/>
      <c r="E6" s="310"/>
      <c r="F6" s="310"/>
      <c r="G6" s="310"/>
      <c r="H6" s="310"/>
      <c r="I6" s="311"/>
      <c r="J6" s="307"/>
      <c r="K6" s="308"/>
      <c r="L6" s="23"/>
    </row>
    <row r="7" spans="1:12" ht="19.95" customHeight="1">
      <c r="A7" s="314"/>
      <c r="B7" s="315"/>
      <c r="C7" s="22">
        <v>6</v>
      </c>
      <c r="D7" s="309"/>
      <c r="E7" s="310"/>
      <c r="F7" s="310"/>
      <c r="G7" s="310"/>
      <c r="H7" s="310"/>
      <c r="I7" s="311"/>
      <c r="J7" s="307"/>
      <c r="K7" s="308"/>
      <c r="L7" s="23"/>
    </row>
    <row r="8" spans="1:12" ht="19.5" customHeight="1">
      <c r="A8" s="316"/>
      <c r="B8" s="317"/>
      <c r="C8" s="22">
        <v>7</v>
      </c>
      <c r="D8" s="309"/>
      <c r="E8" s="310"/>
      <c r="F8" s="310"/>
      <c r="G8" s="310"/>
      <c r="H8" s="310"/>
      <c r="I8" s="311"/>
      <c r="J8" s="307"/>
      <c r="K8" s="308"/>
      <c r="L8" s="24"/>
    </row>
    <row r="9" spans="1:12" ht="19.95" customHeight="1">
      <c r="A9" s="312"/>
      <c r="B9" s="313"/>
      <c r="C9" s="22">
        <v>1</v>
      </c>
      <c r="D9" s="309"/>
      <c r="E9" s="310"/>
      <c r="F9" s="310"/>
      <c r="G9" s="310"/>
      <c r="H9" s="310"/>
      <c r="I9" s="311"/>
      <c r="J9" s="307"/>
      <c r="K9" s="308"/>
      <c r="L9" s="23"/>
    </row>
    <row r="10" spans="1:12" ht="19.95" customHeight="1">
      <c r="A10" s="314"/>
      <c r="B10" s="315"/>
      <c r="C10" s="22">
        <v>2</v>
      </c>
      <c r="D10" s="309"/>
      <c r="E10" s="310"/>
      <c r="F10" s="310"/>
      <c r="G10" s="310"/>
      <c r="H10" s="310"/>
      <c r="I10" s="311"/>
      <c r="J10" s="307"/>
      <c r="K10" s="308"/>
      <c r="L10" s="23"/>
    </row>
    <row r="11" spans="1:12" ht="19.95" customHeight="1">
      <c r="A11" s="314"/>
      <c r="B11" s="315"/>
      <c r="C11" s="22">
        <v>3</v>
      </c>
      <c r="D11" s="309"/>
      <c r="E11" s="310"/>
      <c r="F11" s="310"/>
      <c r="G11" s="310"/>
      <c r="H11" s="310"/>
      <c r="I11" s="311"/>
      <c r="J11" s="307"/>
      <c r="K11" s="308"/>
      <c r="L11" s="23"/>
    </row>
    <row r="12" spans="1:12" ht="19.95" customHeight="1">
      <c r="A12" s="314"/>
      <c r="B12" s="315"/>
      <c r="C12" s="22">
        <v>4</v>
      </c>
      <c r="D12" s="309"/>
      <c r="E12" s="310"/>
      <c r="F12" s="310"/>
      <c r="G12" s="310"/>
      <c r="H12" s="310"/>
      <c r="I12" s="311"/>
      <c r="J12" s="307"/>
      <c r="K12" s="308"/>
      <c r="L12" s="24"/>
    </row>
    <row r="13" spans="1:12" ht="19.95" customHeight="1">
      <c r="A13" s="314"/>
      <c r="B13" s="315"/>
      <c r="C13" s="22">
        <v>5</v>
      </c>
      <c r="D13" s="309"/>
      <c r="E13" s="310"/>
      <c r="F13" s="310"/>
      <c r="G13" s="310"/>
      <c r="H13" s="310"/>
      <c r="I13" s="311"/>
      <c r="J13" s="307"/>
      <c r="K13" s="308"/>
      <c r="L13" s="24"/>
    </row>
    <row r="14" spans="1:12" ht="19.95" customHeight="1">
      <c r="A14" s="314"/>
      <c r="B14" s="315"/>
      <c r="C14" s="22">
        <v>6</v>
      </c>
      <c r="D14" s="309"/>
      <c r="E14" s="310"/>
      <c r="F14" s="310"/>
      <c r="G14" s="310"/>
      <c r="H14" s="310"/>
      <c r="I14" s="311"/>
      <c r="J14" s="307"/>
      <c r="K14" s="308"/>
      <c r="L14" s="23"/>
    </row>
    <row r="15" spans="1:12" ht="19.5" customHeight="1">
      <c r="A15" s="316"/>
      <c r="B15" s="317"/>
      <c r="C15" s="22">
        <v>7</v>
      </c>
      <c r="D15" s="309"/>
      <c r="E15" s="310"/>
      <c r="F15" s="310"/>
      <c r="G15" s="310"/>
      <c r="H15" s="310"/>
      <c r="I15" s="311"/>
      <c r="J15" s="307"/>
      <c r="K15" s="308"/>
      <c r="L15" s="23"/>
    </row>
    <row r="16" spans="1:12" ht="19.95" customHeight="1">
      <c r="A16" s="312"/>
      <c r="B16" s="313"/>
      <c r="C16" s="22">
        <v>1</v>
      </c>
      <c r="D16" s="309"/>
      <c r="E16" s="310"/>
      <c r="F16" s="310"/>
      <c r="G16" s="310"/>
      <c r="H16" s="310"/>
      <c r="I16" s="311"/>
      <c r="J16" s="307"/>
      <c r="K16" s="308"/>
      <c r="L16" s="23"/>
    </row>
    <row r="17" spans="1:12" ht="19.95" customHeight="1">
      <c r="A17" s="314"/>
      <c r="B17" s="315"/>
      <c r="C17" s="22">
        <v>2</v>
      </c>
      <c r="D17" s="309"/>
      <c r="E17" s="310"/>
      <c r="F17" s="310"/>
      <c r="G17" s="310"/>
      <c r="H17" s="310"/>
      <c r="I17" s="311"/>
      <c r="J17" s="307"/>
      <c r="K17" s="308"/>
      <c r="L17" s="23"/>
    </row>
    <row r="18" spans="1:12" ht="19.95" customHeight="1">
      <c r="A18" s="314"/>
      <c r="B18" s="315"/>
      <c r="C18" s="22">
        <v>3</v>
      </c>
      <c r="D18" s="309"/>
      <c r="E18" s="310"/>
      <c r="F18" s="310"/>
      <c r="G18" s="310"/>
      <c r="H18" s="310"/>
      <c r="I18" s="311"/>
      <c r="J18" s="307"/>
      <c r="K18" s="308"/>
      <c r="L18" s="23"/>
    </row>
    <row r="19" spans="1:12" ht="19.95" customHeight="1">
      <c r="A19" s="314"/>
      <c r="B19" s="315"/>
      <c r="C19" s="22">
        <v>4</v>
      </c>
      <c r="D19" s="309"/>
      <c r="E19" s="310"/>
      <c r="F19" s="310"/>
      <c r="G19" s="310"/>
      <c r="H19" s="310"/>
      <c r="I19" s="311"/>
      <c r="J19" s="307"/>
      <c r="K19" s="308"/>
      <c r="L19" s="23"/>
    </row>
    <row r="20" spans="1:12" ht="19.95" customHeight="1">
      <c r="A20" s="314"/>
      <c r="B20" s="315"/>
      <c r="C20" s="22">
        <v>5</v>
      </c>
      <c r="D20" s="309"/>
      <c r="E20" s="310"/>
      <c r="F20" s="310"/>
      <c r="G20" s="310"/>
      <c r="H20" s="310"/>
      <c r="I20" s="311"/>
      <c r="J20" s="307"/>
      <c r="K20" s="308"/>
      <c r="L20" s="23"/>
    </row>
    <row r="21" spans="1:12" ht="19.95" customHeight="1">
      <c r="A21" s="314"/>
      <c r="B21" s="315"/>
      <c r="C21" s="22">
        <v>6</v>
      </c>
      <c r="D21" s="309"/>
      <c r="E21" s="310"/>
      <c r="F21" s="310"/>
      <c r="G21" s="310"/>
      <c r="H21" s="310"/>
      <c r="I21" s="311"/>
      <c r="J21" s="307"/>
      <c r="K21" s="308"/>
      <c r="L21" s="23"/>
    </row>
    <row r="22" spans="1:12" ht="19.5" customHeight="1">
      <c r="A22" s="316"/>
      <c r="B22" s="317"/>
      <c r="C22" s="22">
        <v>7</v>
      </c>
      <c r="D22" s="309"/>
      <c r="E22" s="310"/>
      <c r="F22" s="310"/>
      <c r="G22" s="310"/>
      <c r="H22" s="310"/>
      <c r="I22" s="311"/>
      <c r="J22" s="307"/>
      <c r="K22" s="308"/>
      <c r="L22" s="24"/>
    </row>
    <row r="23" spans="1:12" ht="19.95" customHeight="1">
      <c r="A23" s="312"/>
      <c r="B23" s="313"/>
      <c r="C23" s="22">
        <v>1</v>
      </c>
      <c r="D23" s="309"/>
      <c r="E23" s="310"/>
      <c r="F23" s="310"/>
      <c r="G23" s="310"/>
      <c r="H23" s="310"/>
      <c r="I23" s="311"/>
      <c r="J23" s="307"/>
      <c r="K23" s="308"/>
      <c r="L23" s="23"/>
    </row>
    <row r="24" spans="1:12" ht="19.95" customHeight="1">
      <c r="A24" s="314"/>
      <c r="B24" s="315"/>
      <c r="C24" s="22">
        <v>2</v>
      </c>
      <c r="D24" s="309"/>
      <c r="E24" s="310"/>
      <c r="F24" s="310"/>
      <c r="G24" s="310"/>
      <c r="H24" s="310"/>
      <c r="I24" s="311"/>
      <c r="J24" s="307"/>
      <c r="K24" s="308"/>
      <c r="L24" s="23"/>
    </row>
    <row r="25" spans="1:12" ht="19.95" customHeight="1">
      <c r="A25" s="314"/>
      <c r="B25" s="315"/>
      <c r="C25" s="22">
        <v>3</v>
      </c>
      <c r="D25" s="309"/>
      <c r="E25" s="310"/>
      <c r="F25" s="310"/>
      <c r="G25" s="310"/>
      <c r="H25" s="310"/>
      <c r="I25" s="311"/>
      <c r="J25" s="307"/>
      <c r="K25" s="308"/>
      <c r="L25" s="23"/>
    </row>
    <row r="26" spans="1:12" ht="19.95" customHeight="1">
      <c r="A26" s="314"/>
      <c r="B26" s="315"/>
      <c r="C26" s="22">
        <v>4</v>
      </c>
      <c r="D26" s="309"/>
      <c r="E26" s="310"/>
      <c r="F26" s="310"/>
      <c r="G26" s="310"/>
      <c r="H26" s="310"/>
      <c r="I26" s="311"/>
      <c r="J26" s="307"/>
      <c r="K26" s="308"/>
      <c r="L26" s="23"/>
    </row>
    <row r="27" spans="1:12" ht="19.95" customHeight="1">
      <c r="A27" s="314"/>
      <c r="B27" s="315"/>
      <c r="C27" s="22">
        <v>5</v>
      </c>
      <c r="D27" s="309"/>
      <c r="E27" s="310"/>
      <c r="F27" s="310"/>
      <c r="G27" s="310"/>
      <c r="H27" s="310"/>
      <c r="I27" s="311"/>
      <c r="J27" s="307"/>
      <c r="K27" s="308"/>
      <c r="L27" s="23"/>
    </row>
    <row r="28" spans="1:12" ht="19.95" customHeight="1">
      <c r="A28" s="314"/>
      <c r="B28" s="315"/>
      <c r="C28" s="22">
        <v>6</v>
      </c>
      <c r="D28" s="309"/>
      <c r="E28" s="310"/>
      <c r="F28" s="310"/>
      <c r="G28" s="310"/>
      <c r="H28" s="310"/>
      <c r="I28" s="311"/>
      <c r="J28" s="307"/>
      <c r="K28" s="308"/>
      <c r="L28" s="23"/>
    </row>
    <row r="29" spans="1:12" ht="19.5" customHeight="1">
      <c r="A29" s="316"/>
      <c r="B29" s="317"/>
      <c r="C29" s="22">
        <v>7</v>
      </c>
      <c r="D29" s="309"/>
      <c r="E29" s="310"/>
      <c r="F29" s="310"/>
      <c r="G29" s="310"/>
      <c r="H29" s="310"/>
      <c r="I29" s="311"/>
      <c r="J29" s="307"/>
      <c r="K29" s="308"/>
      <c r="L29" s="24"/>
    </row>
    <row r="30" spans="1:12" ht="19.95" customHeight="1">
      <c r="A30" s="312"/>
      <c r="B30" s="313"/>
      <c r="C30" s="22">
        <v>1</v>
      </c>
      <c r="D30" s="309"/>
      <c r="E30" s="310"/>
      <c r="F30" s="310"/>
      <c r="G30" s="310"/>
      <c r="H30" s="310"/>
      <c r="I30" s="311"/>
      <c r="J30" s="307"/>
      <c r="K30" s="308"/>
      <c r="L30" s="23"/>
    </row>
    <row r="31" spans="1:12" ht="19.95" customHeight="1">
      <c r="A31" s="314"/>
      <c r="B31" s="315"/>
      <c r="C31" s="22">
        <v>2</v>
      </c>
      <c r="D31" s="309"/>
      <c r="E31" s="310"/>
      <c r="F31" s="310"/>
      <c r="G31" s="310"/>
      <c r="H31" s="310"/>
      <c r="I31" s="311"/>
      <c r="J31" s="307"/>
      <c r="K31" s="308"/>
      <c r="L31" s="23"/>
    </row>
    <row r="32" spans="1:12" ht="19.95" customHeight="1">
      <c r="A32" s="314"/>
      <c r="B32" s="315"/>
      <c r="C32" s="22">
        <v>3</v>
      </c>
      <c r="D32" s="309"/>
      <c r="E32" s="310"/>
      <c r="F32" s="310"/>
      <c r="G32" s="310"/>
      <c r="H32" s="310"/>
      <c r="I32" s="311"/>
      <c r="J32" s="307"/>
      <c r="K32" s="308"/>
      <c r="L32" s="23"/>
    </row>
    <row r="33" spans="1:12" ht="19.95" customHeight="1">
      <c r="A33" s="314"/>
      <c r="B33" s="315"/>
      <c r="C33" s="22">
        <v>4</v>
      </c>
      <c r="D33" s="309"/>
      <c r="E33" s="310"/>
      <c r="F33" s="310"/>
      <c r="G33" s="310"/>
      <c r="H33" s="310"/>
      <c r="I33" s="311"/>
      <c r="J33" s="307"/>
      <c r="K33" s="308"/>
      <c r="L33" s="23"/>
    </row>
    <row r="34" spans="1:12" ht="19.95" customHeight="1">
      <c r="A34" s="314"/>
      <c r="B34" s="315"/>
      <c r="C34" s="22">
        <v>5</v>
      </c>
      <c r="D34" s="309"/>
      <c r="E34" s="310"/>
      <c r="F34" s="310"/>
      <c r="G34" s="310"/>
      <c r="H34" s="310"/>
      <c r="I34" s="311"/>
      <c r="J34" s="307"/>
      <c r="K34" s="308"/>
      <c r="L34" s="23"/>
    </row>
    <row r="35" spans="1:12" ht="19.95" customHeight="1">
      <c r="A35" s="314"/>
      <c r="B35" s="315"/>
      <c r="C35" s="22">
        <v>6</v>
      </c>
      <c r="D35" s="309"/>
      <c r="E35" s="310"/>
      <c r="F35" s="310"/>
      <c r="G35" s="310"/>
      <c r="H35" s="310"/>
      <c r="I35" s="311"/>
      <c r="J35" s="307"/>
      <c r="K35" s="308"/>
      <c r="L35" s="23"/>
    </row>
    <row r="36" spans="1:12" ht="19.5" customHeight="1">
      <c r="A36" s="316"/>
      <c r="B36" s="317"/>
      <c r="C36" s="22">
        <v>7</v>
      </c>
      <c r="D36" s="309"/>
      <c r="E36" s="310"/>
      <c r="F36" s="310"/>
      <c r="G36" s="310"/>
      <c r="H36" s="310"/>
      <c r="I36" s="311"/>
      <c r="J36" s="307"/>
      <c r="K36" s="308"/>
      <c r="L36" s="23"/>
    </row>
    <row r="37" spans="1:12" ht="19.95" customHeight="1">
      <c r="A37" s="312"/>
      <c r="B37" s="313"/>
      <c r="C37" s="22">
        <v>1</v>
      </c>
      <c r="D37" s="309"/>
      <c r="E37" s="310"/>
      <c r="F37" s="310"/>
      <c r="G37" s="310"/>
      <c r="H37" s="310"/>
      <c r="I37" s="311"/>
      <c r="J37" s="307"/>
      <c r="K37" s="308"/>
      <c r="L37" s="24"/>
    </row>
    <row r="38" spans="1:12" ht="19.95" customHeight="1">
      <c r="A38" s="314"/>
      <c r="B38" s="315"/>
      <c r="C38" s="22">
        <v>2</v>
      </c>
      <c r="D38" s="309"/>
      <c r="E38" s="310"/>
      <c r="F38" s="310"/>
      <c r="G38" s="310"/>
      <c r="H38" s="310"/>
      <c r="I38" s="311"/>
      <c r="J38" s="307"/>
      <c r="K38" s="308"/>
      <c r="L38" s="24"/>
    </row>
    <row r="39" spans="1:12" ht="19.95" customHeight="1">
      <c r="A39" s="314"/>
      <c r="B39" s="315"/>
      <c r="C39" s="22">
        <v>3</v>
      </c>
      <c r="D39" s="309"/>
      <c r="E39" s="310"/>
      <c r="F39" s="310"/>
      <c r="G39" s="310"/>
      <c r="H39" s="310"/>
      <c r="I39" s="311"/>
      <c r="J39" s="307"/>
      <c r="K39" s="308"/>
      <c r="L39" s="24"/>
    </row>
    <row r="40" spans="1:12" ht="19.95" customHeight="1">
      <c r="A40" s="314"/>
      <c r="B40" s="315"/>
      <c r="C40" s="22">
        <v>4</v>
      </c>
      <c r="D40" s="309"/>
      <c r="E40" s="310"/>
      <c r="F40" s="310"/>
      <c r="G40" s="310"/>
      <c r="H40" s="310"/>
      <c r="I40" s="311"/>
      <c r="J40" s="307"/>
      <c r="K40" s="308"/>
      <c r="L40" s="24"/>
    </row>
    <row r="41" spans="1:12" ht="19.95" customHeight="1">
      <c r="A41" s="314"/>
      <c r="B41" s="315"/>
      <c r="C41" s="22">
        <v>5</v>
      </c>
      <c r="D41" s="309"/>
      <c r="E41" s="310"/>
      <c r="F41" s="310"/>
      <c r="G41" s="310"/>
      <c r="H41" s="310"/>
      <c r="I41" s="311"/>
      <c r="J41" s="307"/>
      <c r="K41" s="308"/>
      <c r="L41" s="24"/>
    </row>
    <row r="42" spans="1:12" ht="19.95" customHeight="1">
      <c r="A42" s="314"/>
      <c r="B42" s="315"/>
      <c r="C42" s="22">
        <v>6</v>
      </c>
      <c r="D42" s="309"/>
      <c r="E42" s="310"/>
      <c r="F42" s="310"/>
      <c r="G42" s="310"/>
      <c r="H42" s="310"/>
      <c r="I42" s="311"/>
      <c r="J42" s="307"/>
      <c r="K42" s="308"/>
      <c r="L42" s="24"/>
    </row>
    <row r="43" spans="1:12" ht="19.5" customHeight="1">
      <c r="A43" s="316"/>
      <c r="B43" s="317"/>
      <c r="C43" s="22">
        <v>7</v>
      </c>
      <c r="D43" s="309"/>
      <c r="E43" s="310"/>
      <c r="F43" s="310"/>
      <c r="G43" s="310"/>
      <c r="H43" s="310"/>
      <c r="I43" s="311"/>
      <c r="J43" s="307"/>
      <c r="K43" s="308"/>
      <c r="L43" s="24"/>
    </row>
    <row r="44" spans="1:12" ht="19.95" customHeight="1">
      <c r="A44" s="312"/>
      <c r="B44" s="313"/>
      <c r="C44" s="22">
        <v>1</v>
      </c>
      <c r="D44" s="309"/>
      <c r="E44" s="310"/>
      <c r="F44" s="310"/>
      <c r="G44" s="310"/>
      <c r="H44" s="310"/>
      <c r="I44" s="311"/>
      <c r="J44" s="307"/>
      <c r="K44" s="308"/>
      <c r="L44" s="23"/>
    </row>
    <row r="45" spans="1:12" ht="19.95" customHeight="1">
      <c r="A45" s="314"/>
      <c r="B45" s="315"/>
      <c r="C45" s="22">
        <v>2</v>
      </c>
      <c r="D45" s="309"/>
      <c r="E45" s="310"/>
      <c r="F45" s="310"/>
      <c r="G45" s="310"/>
      <c r="H45" s="310"/>
      <c r="I45" s="311"/>
      <c r="J45" s="307"/>
      <c r="K45" s="308"/>
      <c r="L45" s="23"/>
    </row>
    <row r="46" spans="1:12" ht="19.95" customHeight="1">
      <c r="A46" s="314"/>
      <c r="B46" s="315"/>
      <c r="C46" s="22">
        <v>3</v>
      </c>
      <c r="D46" s="309"/>
      <c r="E46" s="310"/>
      <c r="F46" s="310"/>
      <c r="G46" s="310"/>
      <c r="H46" s="310"/>
      <c r="I46" s="311"/>
      <c r="J46" s="307"/>
      <c r="K46" s="308"/>
      <c r="L46" s="23"/>
    </row>
    <row r="47" spans="1:12" ht="19.95" customHeight="1">
      <c r="A47" s="314"/>
      <c r="B47" s="315"/>
      <c r="C47" s="22">
        <v>4</v>
      </c>
      <c r="D47" s="309"/>
      <c r="E47" s="310"/>
      <c r="F47" s="310"/>
      <c r="G47" s="310"/>
      <c r="H47" s="310"/>
      <c r="I47" s="311"/>
      <c r="J47" s="307"/>
      <c r="K47" s="308"/>
      <c r="L47" s="23"/>
    </row>
    <row r="48" spans="1:12" ht="19.95" customHeight="1">
      <c r="A48" s="314"/>
      <c r="B48" s="315"/>
      <c r="C48" s="22">
        <v>5</v>
      </c>
      <c r="D48" s="309"/>
      <c r="E48" s="310"/>
      <c r="F48" s="310"/>
      <c r="G48" s="310"/>
      <c r="H48" s="310"/>
      <c r="I48" s="311"/>
      <c r="J48" s="307"/>
      <c r="K48" s="308"/>
      <c r="L48" s="23"/>
    </row>
    <row r="49" spans="1:12" ht="19.95" customHeight="1">
      <c r="A49" s="314"/>
      <c r="B49" s="315"/>
      <c r="C49" s="22">
        <v>6</v>
      </c>
      <c r="D49" s="309"/>
      <c r="E49" s="310"/>
      <c r="F49" s="310"/>
      <c r="G49" s="310"/>
      <c r="H49" s="310"/>
      <c r="I49" s="311"/>
      <c r="J49" s="307"/>
      <c r="K49" s="308"/>
      <c r="L49" s="23"/>
    </row>
    <row r="50" spans="1:12" ht="19.5" customHeight="1">
      <c r="A50" s="316"/>
      <c r="B50" s="317"/>
      <c r="C50" s="22">
        <v>7</v>
      </c>
      <c r="D50" s="309"/>
      <c r="E50" s="310"/>
      <c r="F50" s="310"/>
      <c r="G50" s="310"/>
      <c r="H50" s="310"/>
      <c r="I50" s="311"/>
      <c r="J50" s="307"/>
      <c r="K50" s="308"/>
      <c r="L50" s="24"/>
    </row>
    <row r="51" spans="1:12" ht="19.95" customHeight="1">
      <c r="A51" s="312"/>
      <c r="B51" s="313"/>
      <c r="C51" s="22">
        <v>1</v>
      </c>
      <c r="D51" s="309"/>
      <c r="E51" s="310"/>
      <c r="F51" s="310"/>
      <c r="G51" s="310"/>
      <c r="H51" s="310"/>
      <c r="I51" s="311"/>
      <c r="J51" s="307"/>
      <c r="K51" s="308"/>
      <c r="L51" s="23"/>
    </row>
    <row r="52" spans="1:12" ht="19.95" customHeight="1">
      <c r="A52" s="314"/>
      <c r="B52" s="315"/>
      <c r="C52" s="22">
        <v>2</v>
      </c>
      <c r="D52" s="309"/>
      <c r="E52" s="310"/>
      <c r="F52" s="310"/>
      <c r="G52" s="310"/>
      <c r="H52" s="310"/>
      <c r="I52" s="311"/>
      <c r="J52" s="307"/>
      <c r="K52" s="308"/>
      <c r="L52" s="23"/>
    </row>
    <row r="53" spans="1:12" ht="19.95" customHeight="1">
      <c r="A53" s="314"/>
      <c r="B53" s="315"/>
      <c r="C53" s="22">
        <v>3</v>
      </c>
      <c r="D53" s="309"/>
      <c r="E53" s="310"/>
      <c r="F53" s="310"/>
      <c r="G53" s="310"/>
      <c r="H53" s="310"/>
      <c r="I53" s="311"/>
      <c r="J53" s="307"/>
      <c r="K53" s="308"/>
      <c r="L53" s="23"/>
    </row>
    <row r="54" spans="1:12" ht="21" customHeight="1">
      <c r="A54" s="314"/>
      <c r="B54" s="315"/>
      <c r="C54" s="22">
        <v>4</v>
      </c>
      <c r="D54" s="309"/>
      <c r="E54" s="310"/>
      <c r="F54" s="310"/>
      <c r="G54" s="310"/>
      <c r="H54" s="310"/>
      <c r="I54" s="311"/>
      <c r="J54" s="307"/>
      <c r="K54" s="308"/>
      <c r="L54" s="23"/>
    </row>
    <row r="55" spans="1:12" ht="19.95" customHeight="1">
      <c r="A55" s="314"/>
      <c r="B55" s="315"/>
      <c r="C55" s="22">
        <v>5</v>
      </c>
      <c r="D55" s="309"/>
      <c r="E55" s="310"/>
      <c r="F55" s="310"/>
      <c r="G55" s="310"/>
      <c r="H55" s="310"/>
      <c r="I55" s="311"/>
      <c r="J55" s="307"/>
      <c r="K55" s="308"/>
      <c r="L55" s="24"/>
    </row>
    <row r="56" spans="1:12" ht="19.95" customHeight="1">
      <c r="A56" s="314"/>
      <c r="B56" s="315"/>
      <c r="C56" s="22">
        <v>6</v>
      </c>
      <c r="D56" s="309"/>
      <c r="E56" s="310"/>
      <c r="F56" s="310"/>
      <c r="G56" s="310"/>
      <c r="H56" s="310"/>
      <c r="I56" s="311"/>
      <c r="J56" s="307"/>
      <c r="K56" s="308"/>
      <c r="L56" s="24"/>
    </row>
    <row r="57" spans="1:12" ht="19.5" customHeight="1">
      <c r="A57" s="316"/>
      <c r="B57" s="317"/>
      <c r="C57" s="22">
        <v>7</v>
      </c>
      <c r="D57" s="309"/>
      <c r="E57" s="310"/>
      <c r="F57" s="310"/>
      <c r="G57" s="310"/>
      <c r="H57" s="310"/>
      <c r="I57" s="311"/>
      <c r="J57" s="307"/>
      <c r="K57" s="308"/>
      <c r="L57" s="24"/>
    </row>
    <row r="58" spans="1:12" ht="19.95" customHeight="1">
      <c r="A58" s="312"/>
      <c r="B58" s="313"/>
      <c r="C58" s="22">
        <v>1</v>
      </c>
      <c r="D58" s="309"/>
      <c r="E58" s="310"/>
      <c r="F58" s="310"/>
      <c r="G58" s="310"/>
      <c r="H58" s="310"/>
      <c r="I58" s="311"/>
      <c r="J58" s="307"/>
      <c r="K58" s="308"/>
      <c r="L58" s="24"/>
    </row>
    <row r="59" spans="1:12" ht="19.95" customHeight="1">
      <c r="A59" s="314"/>
      <c r="B59" s="315"/>
      <c r="C59" s="22">
        <v>2</v>
      </c>
      <c r="D59" s="309"/>
      <c r="E59" s="310"/>
      <c r="F59" s="310"/>
      <c r="G59" s="310"/>
      <c r="H59" s="310"/>
      <c r="I59" s="311"/>
      <c r="J59" s="307"/>
      <c r="K59" s="308"/>
      <c r="L59" s="24"/>
    </row>
    <row r="60" spans="1:12" ht="19.95" customHeight="1">
      <c r="A60" s="314"/>
      <c r="B60" s="315"/>
      <c r="C60" s="22">
        <v>3</v>
      </c>
      <c r="D60" s="309"/>
      <c r="E60" s="310"/>
      <c r="F60" s="310"/>
      <c r="G60" s="310"/>
      <c r="H60" s="310"/>
      <c r="I60" s="311"/>
      <c r="J60" s="307"/>
      <c r="K60" s="308"/>
      <c r="L60" s="24"/>
    </row>
    <row r="61" spans="1:12" ht="19.95" customHeight="1">
      <c r="A61" s="314"/>
      <c r="B61" s="315"/>
      <c r="C61" s="22">
        <v>4</v>
      </c>
      <c r="D61" s="309"/>
      <c r="E61" s="310"/>
      <c r="F61" s="310"/>
      <c r="G61" s="310"/>
      <c r="H61" s="310"/>
      <c r="I61" s="311"/>
      <c r="J61" s="307"/>
      <c r="K61" s="308"/>
      <c r="L61" s="23"/>
    </row>
    <row r="62" spans="1:12" ht="19.95" customHeight="1">
      <c r="A62" s="314"/>
      <c r="B62" s="315"/>
      <c r="C62" s="22">
        <v>5</v>
      </c>
      <c r="D62" s="309"/>
      <c r="E62" s="310"/>
      <c r="F62" s="310"/>
      <c r="G62" s="310"/>
      <c r="H62" s="310"/>
      <c r="I62" s="311"/>
      <c r="J62" s="307"/>
      <c r="K62" s="308"/>
      <c r="L62" s="24"/>
    </row>
    <row r="63" spans="1:12" ht="19.95" customHeight="1">
      <c r="A63" s="314"/>
      <c r="B63" s="315"/>
      <c r="C63" s="22">
        <v>6</v>
      </c>
      <c r="D63" s="309"/>
      <c r="E63" s="310"/>
      <c r="F63" s="310"/>
      <c r="G63" s="310"/>
      <c r="H63" s="310"/>
      <c r="I63" s="311"/>
      <c r="J63" s="307"/>
      <c r="K63" s="308"/>
      <c r="L63" s="24"/>
    </row>
    <row r="64" spans="1:12" ht="19.5" customHeight="1">
      <c r="A64" s="316"/>
      <c r="B64" s="317"/>
      <c r="C64" s="22">
        <v>7</v>
      </c>
      <c r="D64" s="309"/>
      <c r="E64" s="310"/>
      <c r="F64" s="310"/>
      <c r="G64" s="310"/>
      <c r="H64" s="310"/>
      <c r="I64" s="311"/>
      <c r="J64" s="307"/>
      <c r="K64" s="308"/>
      <c r="L64" s="24"/>
    </row>
    <row r="65" spans="1:12" ht="19.95" customHeight="1">
      <c r="A65" s="312"/>
      <c r="B65" s="313"/>
      <c r="C65" s="22">
        <v>1</v>
      </c>
      <c r="D65" s="309"/>
      <c r="E65" s="310"/>
      <c r="F65" s="310"/>
      <c r="G65" s="310"/>
      <c r="H65" s="310"/>
      <c r="I65" s="311"/>
      <c r="J65" s="307"/>
      <c r="K65" s="308"/>
      <c r="L65" s="23"/>
    </row>
    <row r="66" spans="1:12" ht="19.95" customHeight="1">
      <c r="A66" s="314"/>
      <c r="B66" s="315"/>
      <c r="C66" s="22">
        <v>2</v>
      </c>
      <c r="D66" s="309"/>
      <c r="E66" s="310"/>
      <c r="F66" s="310"/>
      <c r="G66" s="310"/>
      <c r="H66" s="310"/>
      <c r="I66" s="311"/>
      <c r="J66" s="307"/>
      <c r="K66" s="308"/>
      <c r="L66" s="23"/>
    </row>
    <row r="67" spans="1:12" ht="19.95" customHeight="1">
      <c r="A67" s="314"/>
      <c r="B67" s="315"/>
      <c r="C67" s="22">
        <v>3</v>
      </c>
      <c r="D67" s="309"/>
      <c r="E67" s="310"/>
      <c r="F67" s="310"/>
      <c r="G67" s="310"/>
      <c r="H67" s="310"/>
      <c r="I67" s="311"/>
      <c r="J67" s="307"/>
      <c r="K67" s="308"/>
      <c r="L67" s="23"/>
    </row>
    <row r="68" spans="1:12" ht="19.95" customHeight="1">
      <c r="A68" s="314"/>
      <c r="B68" s="315"/>
      <c r="C68" s="22">
        <v>4</v>
      </c>
      <c r="D68" s="309"/>
      <c r="E68" s="310"/>
      <c r="F68" s="310"/>
      <c r="G68" s="310"/>
      <c r="H68" s="310"/>
      <c r="I68" s="311"/>
      <c r="J68" s="307"/>
      <c r="K68" s="308"/>
      <c r="L68" s="24"/>
    </row>
    <row r="69" spans="1:12" ht="19.95" customHeight="1">
      <c r="A69" s="314"/>
      <c r="B69" s="315"/>
      <c r="C69" s="22">
        <v>5</v>
      </c>
      <c r="D69" s="309"/>
      <c r="E69" s="310"/>
      <c r="F69" s="310"/>
      <c r="G69" s="310"/>
      <c r="H69" s="310"/>
      <c r="I69" s="311"/>
      <c r="J69" s="307"/>
      <c r="K69" s="308"/>
      <c r="L69" s="24"/>
    </row>
    <row r="70" spans="1:12" ht="19.95" customHeight="1">
      <c r="A70" s="314"/>
      <c r="B70" s="315"/>
      <c r="C70" s="22">
        <v>6</v>
      </c>
      <c r="D70" s="309"/>
      <c r="E70" s="310"/>
      <c r="F70" s="310"/>
      <c r="G70" s="310"/>
      <c r="H70" s="310"/>
      <c r="I70" s="311"/>
      <c r="J70" s="307"/>
      <c r="K70" s="308"/>
      <c r="L70" s="24"/>
    </row>
    <row r="71" spans="1:12" ht="19.5" customHeight="1">
      <c r="A71" s="316"/>
      <c r="B71" s="317"/>
      <c r="C71" s="22">
        <v>7</v>
      </c>
      <c r="D71" s="309"/>
      <c r="E71" s="310"/>
      <c r="F71" s="310"/>
      <c r="G71" s="310"/>
      <c r="H71" s="310"/>
      <c r="I71" s="311"/>
      <c r="J71" s="307"/>
      <c r="K71" s="308"/>
      <c r="L71" s="24"/>
    </row>
    <row r="72" spans="1:12" ht="19.95" customHeight="1">
      <c r="A72" s="312"/>
      <c r="B72" s="313"/>
      <c r="C72" s="22">
        <v>1</v>
      </c>
      <c r="D72" s="309"/>
      <c r="E72" s="310"/>
      <c r="F72" s="310"/>
      <c r="G72" s="310"/>
      <c r="H72" s="310"/>
      <c r="I72" s="311"/>
      <c r="J72" s="307"/>
      <c r="K72" s="308"/>
      <c r="L72" s="23"/>
    </row>
    <row r="73" spans="1:12" ht="19.95" customHeight="1">
      <c r="A73" s="314"/>
      <c r="B73" s="315"/>
      <c r="C73" s="22">
        <v>2</v>
      </c>
      <c r="D73" s="309"/>
      <c r="E73" s="310"/>
      <c r="F73" s="310"/>
      <c r="G73" s="310"/>
      <c r="H73" s="310"/>
      <c r="I73" s="311"/>
      <c r="J73" s="307"/>
      <c r="K73" s="308"/>
      <c r="L73" s="23"/>
    </row>
    <row r="74" spans="1:12" ht="19.95" customHeight="1">
      <c r="A74" s="314"/>
      <c r="B74" s="315"/>
      <c r="C74" s="22">
        <v>3</v>
      </c>
      <c r="D74" s="309"/>
      <c r="E74" s="310"/>
      <c r="F74" s="310"/>
      <c r="G74" s="310"/>
      <c r="H74" s="310"/>
      <c r="I74" s="311"/>
      <c r="J74" s="307"/>
      <c r="K74" s="308"/>
      <c r="L74" s="23"/>
    </row>
    <row r="75" spans="1:12" ht="19.95" customHeight="1">
      <c r="A75" s="314"/>
      <c r="B75" s="315"/>
      <c r="C75" s="22">
        <v>4</v>
      </c>
      <c r="D75" s="309"/>
      <c r="E75" s="310"/>
      <c r="F75" s="310"/>
      <c r="G75" s="310"/>
      <c r="H75" s="310"/>
      <c r="I75" s="311"/>
      <c r="J75" s="307"/>
      <c r="K75" s="308"/>
      <c r="L75" s="23"/>
    </row>
    <row r="76" spans="1:12" ht="19.95" customHeight="1">
      <c r="A76" s="314"/>
      <c r="B76" s="315"/>
      <c r="C76" s="22">
        <v>5</v>
      </c>
      <c r="D76" s="309"/>
      <c r="E76" s="310"/>
      <c r="F76" s="310"/>
      <c r="G76" s="310"/>
      <c r="H76" s="310"/>
      <c r="I76" s="311"/>
      <c r="J76" s="307"/>
      <c r="K76" s="308"/>
      <c r="L76" s="24"/>
    </row>
    <row r="77" spans="1:12" ht="19.95" customHeight="1">
      <c r="A77" s="314"/>
      <c r="B77" s="315"/>
      <c r="C77" s="22">
        <v>6</v>
      </c>
      <c r="D77" s="309"/>
      <c r="E77" s="310"/>
      <c r="F77" s="310"/>
      <c r="G77" s="310"/>
      <c r="H77" s="310"/>
      <c r="I77" s="311"/>
      <c r="J77" s="307"/>
      <c r="K77" s="308"/>
      <c r="L77" s="23"/>
    </row>
    <row r="78" spans="1:12" ht="19.5" customHeight="1">
      <c r="A78" s="316"/>
      <c r="B78" s="317"/>
      <c r="C78" s="22">
        <v>7</v>
      </c>
      <c r="D78" s="309"/>
      <c r="E78" s="310"/>
      <c r="F78" s="310"/>
      <c r="G78" s="310"/>
      <c r="H78" s="310"/>
      <c r="I78" s="311"/>
      <c r="J78" s="307"/>
      <c r="K78" s="308"/>
      <c r="L78" s="24"/>
    </row>
    <row r="79" spans="1:12" ht="19.95" customHeight="1">
      <c r="A79" s="312"/>
      <c r="B79" s="313"/>
      <c r="C79" s="22">
        <v>1</v>
      </c>
      <c r="D79" s="309"/>
      <c r="E79" s="310"/>
      <c r="F79" s="310"/>
      <c r="G79" s="310"/>
      <c r="H79" s="310"/>
      <c r="I79" s="311"/>
      <c r="J79" s="307"/>
      <c r="K79" s="308"/>
      <c r="L79" s="23"/>
    </row>
    <row r="80" spans="1:12" ht="19.95" customHeight="1">
      <c r="A80" s="314"/>
      <c r="B80" s="315"/>
      <c r="C80" s="22">
        <v>2</v>
      </c>
      <c r="D80" s="309"/>
      <c r="E80" s="310"/>
      <c r="F80" s="310"/>
      <c r="G80" s="310"/>
      <c r="H80" s="310"/>
      <c r="I80" s="311"/>
      <c r="J80" s="307"/>
      <c r="K80" s="308"/>
      <c r="L80" s="24"/>
    </row>
    <row r="81" spans="1:12" ht="19.95" customHeight="1">
      <c r="A81" s="314"/>
      <c r="B81" s="315"/>
      <c r="C81" s="22">
        <v>3</v>
      </c>
      <c r="D81" s="309"/>
      <c r="E81" s="310"/>
      <c r="F81" s="310"/>
      <c r="G81" s="310"/>
      <c r="H81" s="310"/>
      <c r="I81" s="311"/>
      <c r="J81" s="307"/>
      <c r="K81" s="308"/>
      <c r="L81" s="23"/>
    </row>
    <row r="82" spans="1:12" ht="19.95" customHeight="1">
      <c r="A82" s="314"/>
      <c r="B82" s="315"/>
      <c r="C82" s="22">
        <v>4</v>
      </c>
      <c r="D82" s="309"/>
      <c r="E82" s="310"/>
      <c r="F82" s="310"/>
      <c r="G82" s="310"/>
      <c r="H82" s="310"/>
      <c r="I82" s="311"/>
      <c r="J82" s="307"/>
      <c r="K82" s="308"/>
      <c r="L82" s="23"/>
    </row>
    <row r="83" spans="1:12" ht="19.95" customHeight="1">
      <c r="A83" s="314"/>
      <c r="B83" s="315"/>
      <c r="C83" s="22">
        <v>5</v>
      </c>
      <c r="D83" s="309"/>
      <c r="E83" s="310"/>
      <c r="F83" s="310"/>
      <c r="G83" s="310"/>
      <c r="H83" s="310"/>
      <c r="I83" s="311"/>
      <c r="J83" s="307"/>
      <c r="K83" s="308"/>
      <c r="L83" s="23"/>
    </row>
    <row r="84" spans="1:12" ht="19.95" customHeight="1">
      <c r="A84" s="314"/>
      <c r="B84" s="315"/>
      <c r="C84" s="22">
        <v>6</v>
      </c>
      <c r="D84" s="309"/>
      <c r="E84" s="310"/>
      <c r="F84" s="310"/>
      <c r="G84" s="310"/>
      <c r="H84" s="310"/>
      <c r="I84" s="311"/>
      <c r="J84" s="307"/>
      <c r="K84" s="308"/>
      <c r="L84" s="24"/>
    </row>
    <row r="85" spans="1:12" ht="19.5" customHeight="1">
      <c r="A85" s="316"/>
      <c r="B85" s="317"/>
      <c r="C85" s="22">
        <v>7</v>
      </c>
      <c r="D85" s="309"/>
      <c r="E85" s="310"/>
      <c r="F85" s="310"/>
      <c r="G85" s="310"/>
      <c r="H85" s="310"/>
      <c r="I85" s="311"/>
      <c r="J85" s="307"/>
      <c r="K85" s="308"/>
      <c r="L85" s="24"/>
    </row>
    <row r="86" spans="1:12" ht="19.95" customHeight="1">
      <c r="A86" s="312"/>
      <c r="B86" s="313"/>
      <c r="C86" s="22">
        <v>1</v>
      </c>
      <c r="D86" s="309"/>
      <c r="E86" s="310"/>
      <c r="F86" s="310"/>
      <c r="G86" s="310"/>
      <c r="H86" s="310"/>
      <c r="I86" s="311"/>
      <c r="J86" s="307"/>
      <c r="K86" s="308"/>
      <c r="L86" s="23"/>
    </row>
    <row r="87" spans="1:12" ht="19.95" customHeight="1">
      <c r="A87" s="314"/>
      <c r="B87" s="315"/>
      <c r="C87" s="22">
        <v>2</v>
      </c>
      <c r="D87" s="309"/>
      <c r="E87" s="310"/>
      <c r="F87" s="310"/>
      <c r="G87" s="310"/>
      <c r="H87" s="310"/>
      <c r="I87" s="311"/>
      <c r="J87" s="307"/>
      <c r="K87" s="308"/>
      <c r="L87" s="24"/>
    </row>
    <row r="88" spans="1:12" ht="19.95" customHeight="1">
      <c r="A88" s="314"/>
      <c r="B88" s="315"/>
      <c r="C88" s="22">
        <v>3</v>
      </c>
      <c r="D88" s="309"/>
      <c r="E88" s="310"/>
      <c r="F88" s="310"/>
      <c r="G88" s="310"/>
      <c r="H88" s="310"/>
      <c r="I88" s="311"/>
      <c r="J88" s="307"/>
      <c r="K88" s="308"/>
      <c r="L88" s="23"/>
    </row>
    <row r="89" spans="1:12" ht="19.95" customHeight="1">
      <c r="A89" s="314"/>
      <c r="B89" s="315"/>
      <c r="C89" s="22">
        <v>4</v>
      </c>
      <c r="D89" s="309"/>
      <c r="E89" s="310"/>
      <c r="F89" s="310"/>
      <c r="G89" s="310"/>
      <c r="H89" s="310"/>
      <c r="I89" s="311"/>
      <c r="J89" s="307"/>
      <c r="K89" s="308"/>
      <c r="L89" s="23"/>
    </row>
    <row r="90" spans="1:12" ht="19.95" customHeight="1">
      <c r="A90" s="314"/>
      <c r="B90" s="315"/>
      <c r="C90" s="22">
        <v>5</v>
      </c>
      <c r="D90" s="309"/>
      <c r="E90" s="310"/>
      <c r="F90" s="310"/>
      <c r="G90" s="310"/>
      <c r="H90" s="310"/>
      <c r="I90" s="311"/>
      <c r="J90" s="307"/>
      <c r="K90" s="308"/>
      <c r="L90" s="23"/>
    </row>
    <row r="91" spans="1:12" ht="19.95" customHeight="1">
      <c r="A91" s="314"/>
      <c r="B91" s="315"/>
      <c r="C91" s="22">
        <v>6</v>
      </c>
      <c r="D91" s="309"/>
      <c r="E91" s="310"/>
      <c r="F91" s="310"/>
      <c r="G91" s="310"/>
      <c r="H91" s="310"/>
      <c r="I91" s="311"/>
      <c r="J91" s="307"/>
      <c r="K91" s="308"/>
      <c r="L91" s="24"/>
    </row>
    <row r="92" spans="1:12" ht="19.5" customHeight="1">
      <c r="A92" s="316"/>
      <c r="B92" s="317"/>
      <c r="C92" s="22">
        <v>7</v>
      </c>
      <c r="D92" s="309"/>
      <c r="E92" s="310"/>
      <c r="F92" s="310"/>
      <c r="G92" s="310"/>
      <c r="H92" s="310"/>
      <c r="I92" s="311"/>
      <c r="J92" s="307"/>
      <c r="K92" s="308"/>
      <c r="L92" s="24"/>
    </row>
    <row r="93" spans="1:12" ht="19.95" customHeight="1">
      <c r="A93" s="312"/>
      <c r="B93" s="313"/>
      <c r="C93" s="22">
        <v>1</v>
      </c>
      <c r="D93" s="309"/>
      <c r="E93" s="310"/>
      <c r="F93" s="310"/>
      <c r="G93" s="310"/>
      <c r="H93" s="310"/>
      <c r="I93" s="311"/>
      <c r="J93" s="307"/>
      <c r="K93" s="308"/>
      <c r="L93" s="23"/>
    </row>
    <row r="94" spans="1:12" ht="19.95" customHeight="1">
      <c r="A94" s="314"/>
      <c r="B94" s="315"/>
      <c r="C94" s="22">
        <v>2</v>
      </c>
      <c r="D94" s="309"/>
      <c r="E94" s="310"/>
      <c r="F94" s="310"/>
      <c r="G94" s="310"/>
      <c r="H94" s="310"/>
      <c r="I94" s="311"/>
      <c r="J94" s="307"/>
      <c r="K94" s="308"/>
      <c r="L94" s="23"/>
    </row>
    <row r="95" spans="1:12" ht="19.95" customHeight="1">
      <c r="A95" s="314"/>
      <c r="B95" s="315"/>
      <c r="C95" s="22">
        <v>3</v>
      </c>
      <c r="D95" s="309"/>
      <c r="E95" s="310"/>
      <c r="F95" s="310"/>
      <c r="G95" s="310"/>
      <c r="H95" s="310"/>
      <c r="I95" s="311"/>
      <c r="J95" s="307"/>
      <c r="K95" s="308"/>
      <c r="L95" s="23"/>
    </row>
    <row r="96" spans="1:12" ht="19.95" customHeight="1">
      <c r="A96" s="314"/>
      <c r="B96" s="315"/>
      <c r="C96" s="22">
        <v>4</v>
      </c>
      <c r="D96" s="309"/>
      <c r="E96" s="310"/>
      <c r="F96" s="310"/>
      <c r="G96" s="310"/>
      <c r="H96" s="310"/>
      <c r="I96" s="311"/>
      <c r="J96" s="307"/>
      <c r="K96" s="308"/>
      <c r="L96" s="23"/>
    </row>
    <row r="97" spans="1:12" ht="19.95" customHeight="1">
      <c r="A97" s="314"/>
      <c r="B97" s="315"/>
      <c r="C97" s="22">
        <v>5</v>
      </c>
      <c r="D97" s="309"/>
      <c r="E97" s="310"/>
      <c r="F97" s="310"/>
      <c r="G97" s="310"/>
      <c r="H97" s="310"/>
      <c r="I97" s="311"/>
      <c r="J97" s="307"/>
      <c r="K97" s="308"/>
      <c r="L97" s="24"/>
    </row>
    <row r="98" spans="1:12" ht="19.95" customHeight="1">
      <c r="A98" s="314"/>
      <c r="B98" s="315"/>
      <c r="C98" s="22">
        <v>6</v>
      </c>
      <c r="D98" s="309"/>
      <c r="E98" s="310"/>
      <c r="F98" s="310"/>
      <c r="G98" s="310"/>
      <c r="H98" s="310"/>
      <c r="I98" s="311"/>
      <c r="J98" s="307"/>
      <c r="K98" s="308"/>
      <c r="L98" s="24"/>
    </row>
    <row r="99" spans="1:12" ht="19.5" customHeight="1">
      <c r="A99" s="316"/>
      <c r="B99" s="317"/>
      <c r="C99" s="22">
        <v>7</v>
      </c>
      <c r="D99" s="309"/>
      <c r="E99" s="310"/>
      <c r="F99" s="310"/>
      <c r="G99" s="310"/>
      <c r="H99" s="310"/>
      <c r="I99" s="311"/>
      <c r="J99" s="307"/>
      <c r="K99" s="308"/>
      <c r="L99" s="24"/>
    </row>
    <row r="100" spans="1:12" ht="19.95" customHeight="1">
      <c r="A100" s="312"/>
      <c r="B100" s="313"/>
      <c r="C100" s="22">
        <v>1</v>
      </c>
      <c r="D100" s="309"/>
      <c r="E100" s="310"/>
      <c r="F100" s="310"/>
      <c r="G100" s="310"/>
      <c r="H100" s="310"/>
      <c r="I100" s="311"/>
      <c r="J100" s="307"/>
      <c r="K100" s="308"/>
      <c r="L100" s="23"/>
    </row>
    <row r="101" spans="1:12" ht="19.95" customHeight="1">
      <c r="A101" s="314"/>
      <c r="B101" s="315"/>
      <c r="C101" s="22">
        <v>2</v>
      </c>
      <c r="D101" s="309"/>
      <c r="E101" s="310"/>
      <c r="F101" s="310"/>
      <c r="G101" s="310"/>
      <c r="H101" s="310"/>
      <c r="I101" s="311"/>
      <c r="J101" s="307"/>
      <c r="K101" s="308"/>
      <c r="L101" s="23"/>
    </row>
    <row r="102" spans="1:12" ht="19.95" customHeight="1">
      <c r="A102" s="314"/>
      <c r="B102" s="315"/>
      <c r="C102" s="22">
        <v>3</v>
      </c>
      <c r="D102" s="309"/>
      <c r="E102" s="310"/>
      <c r="F102" s="310"/>
      <c r="G102" s="310"/>
      <c r="H102" s="310"/>
      <c r="I102" s="311"/>
      <c r="J102" s="307"/>
      <c r="K102" s="308"/>
      <c r="L102" s="23"/>
    </row>
    <row r="103" spans="1:12" ht="19.95" customHeight="1">
      <c r="A103" s="314"/>
      <c r="B103" s="315"/>
      <c r="C103" s="22">
        <v>4</v>
      </c>
      <c r="D103" s="309"/>
      <c r="E103" s="310"/>
      <c r="F103" s="310"/>
      <c r="G103" s="310"/>
      <c r="H103" s="310"/>
      <c r="I103" s="311"/>
      <c r="J103" s="307"/>
      <c r="K103" s="308"/>
      <c r="L103" s="24"/>
    </row>
    <row r="104" spans="1:12" ht="19.95" customHeight="1">
      <c r="A104" s="314"/>
      <c r="B104" s="315"/>
      <c r="C104" s="22">
        <v>5</v>
      </c>
      <c r="D104" s="309"/>
      <c r="E104" s="310"/>
      <c r="F104" s="310"/>
      <c r="G104" s="310"/>
      <c r="H104" s="310"/>
      <c r="I104" s="311"/>
      <c r="J104" s="307"/>
      <c r="K104" s="308"/>
      <c r="L104" s="23"/>
    </row>
    <row r="105" spans="1:12" ht="19.95" customHeight="1">
      <c r="A105" s="314"/>
      <c r="B105" s="315"/>
      <c r="C105" s="22">
        <v>6</v>
      </c>
      <c r="D105" s="309"/>
      <c r="E105" s="310"/>
      <c r="F105" s="310"/>
      <c r="G105" s="310"/>
      <c r="H105" s="310"/>
      <c r="I105" s="311"/>
      <c r="J105" s="307"/>
      <c r="K105" s="308"/>
      <c r="L105" s="24"/>
    </row>
    <row r="106" spans="1:12" ht="19.5" customHeight="1">
      <c r="A106" s="316"/>
      <c r="B106" s="317"/>
      <c r="C106" s="22">
        <v>7</v>
      </c>
      <c r="D106" s="309"/>
      <c r="E106" s="310"/>
      <c r="F106" s="310"/>
      <c r="G106" s="310"/>
      <c r="H106" s="310"/>
      <c r="I106" s="311"/>
      <c r="J106" s="307"/>
      <c r="K106" s="308"/>
      <c r="L106" s="24"/>
    </row>
    <row r="107" spans="1:12" ht="19.95" customHeight="1">
      <c r="A107" s="312"/>
      <c r="B107" s="313"/>
      <c r="C107" s="22">
        <v>1</v>
      </c>
      <c r="D107" s="309"/>
      <c r="E107" s="310"/>
      <c r="F107" s="310"/>
      <c r="G107" s="310"/>
      <c r="H107" s="310"/>
      <c r="I107" s="311"/>
      <c r="J107" s="307"/>
      <c r="K107" s="308"/>
      <c r="L107" s="23"/>
    </row>
    <row r="108" spans="1:12" ht="19.95" customHeight="1">
      <c r="A108" s="314"/>
      <c r="B108" s="315"/>
      <c r="C108" s="22">
        <v>2</v>
      </c>
      <c r="D108" s="309"/>
      <c r="E108" s="310"/>
      <c r="F108" s="310"/>
      <c r="G108" s="310"/>
      <c r="H108" s="310"/>
      <c r="I108" s="311"/>
      <c r="J108" s="307"/>
      <c r="K108" s="308"/>
      <c r="L108" s="24"/>
    </row>
    <row r="109" spans="1:12" ht="19.95" customHeight="1">
      <c r="A109" s="314"/>
      <c r="B109" s="315"/>
      <c r="C109" s="22">
        <v>3</v>
      </c>
      <c r="D109" s="309"/>
      <c r="E109" s="310"/>
      <c r="F109" s="310"/>
      <c r="G109" s="310"/>
      <c r="H109" s="310"/>
      <c r="I109" s="311"/>
      <c r="J109" s="307"/>
      <c r="K109" s="308"/>
      <c r="L109" s="24"/>
    </row>
    <row r="110" spans="1:12" ht="19.95" customHeight="1">
      <c r="A110" s="314"/>
      <c r="B110" s="315"/>
      <c r="C110" s="22">
        <v>4</v>
      </c>
      <c r="D110" s="309"/>
      <c r="E110" s="310"/>
      <c r="F110" s="310"/>
      <c r="G110" s="310"/>
      <c r="H110" s="310"/>
      <c r="I110" s="311"/>
      <c r="J110" s="307"/>
      <c r="K110" s="308"/>
      <c r="L110" s="24"/>
    </row>
    <row r="111" spans="1:12" ht="19.95" customHeight="1">
      <c r="A111" s="314"/>
      <c r="B111" s="315"/>
      <c r="C111" s="22">
        <v>5</v>
      </c>
      <c r="D111" s="309"/>
      <c r="E111" s="310"/>
      <c r="F111" s="310"/>
      <c r="G111" s="310"/>
      <c r="H111" s="310"/>
      <c r="I111" s="311"/>
      <c r="J111" s="307"/>
      <c r="K111" s="308"/>
      <c r="L111" s="24"/>
    </row>
    <row r="112" spans="1:12" ht="19.95" customHeight="1">
      <c r="A112" s="314"/>
      <c r="B112" s="315"/>
      <c r="C112" s="22">
        <v>6</v>
      </c>
      <c r="D112" s="309"/>
      <c r="E112" s="310"/>
      <c r="F112" s="310"/>
      <c r="G112" s="310"/>
      <c r="H112" s="310"/>
      <c r="I112" s="311"/>
      <c r="J112" s="307"/>
      <c r="K112" s="308"/>
      <c r="L112" s="24"/>
    </row>
    <row r="113" spans="1:12" ht="19.5" customHeight="1">
      <c r="A113" s="316"/>
      <c r="B113" s="317"/>
      <c r="C113" s="22">
        <v>7</v>
      </c>
      <c r="D113" s="309"/>
      <c r="E113" s="310"/>
      <c r="F113" s="310"/>
      <c r="G113" s="310"/>
      <c r="H113" s="310"/>
      <c r="I113" s="311"/>
      <c r="J113" s="307"/>
      <c r="K113" s="308"/>
      <c r="L113" s="24"/>
    </row>
    <row r="114" spans="1:12" ht="19.95" customHeight="1">
      <c r="A114" s="312"/>
      <c r="B114" s="313"/>
      <c r="C114" s="22">
        <v>1</v>
      </c>
      <c r="D114" s="309"/>
      <c r="E114" s="310"/>
      <c r="F114" s="310"/>
      <c r="G114" s="310"/>
      <c r="H114" s="310"/>
      <c r="I114" s="311"/>
      <c r="J114" s="307"/>
      <c r="K114" s="308"/>
      <c r="L114" s="23"/>
    </row>
    <row r="115" spans="1:12" ht="19.95" customHeight="1">
      <c r="A115" s="314"/>
      <c r="B115" s="315"/>
      <c r="C115" s="22">
        <v>2</v>
      </c>
      <c r="D115" s="309"/>
      <c r="E115" s="310"/>
      <c r="F115" s="310"/>
      <c r="G115" s="310"/>
      <c r="H115" s="310"/>
      <c r="I115" s="311"/>
      <c r="J115" s="307"/>
      <c r="K115" s="308"/>
      <c r="L115" s="23"/>
    </row>
    <row r="116" spans="1:12" ht="19.95" customHeight="1">
      <c r="A116" s="314"/>
      <c r="B116" s="315"/>
      <c r="C116" s="22">
        <v>3</v>
      </c>
      <c r="D116" s="309"/>
      <c r="E116" s="310"/>
      <c r="F116" s="310"/>
      <c r="G116" s="310"/>
      <c r="H116" s="310"/>
      <c r="I116" s="311"/>
      <c r="J116" s="307"/>
      <c r="K116" s="308"/>
      <c r="L116" s="23"/>
    </row>
    <row r="117" spans="1:12" ht="19.95" customHeight="1">
      <c r="A117" s="314"/>
      <c r="B117" s="315"/>
      <c r="C117" s="22">
        <v>4</v>
      </c>
      <c r="D117" s="309"/>
      <c r="E117" s="310"/>
      <c r="F117" s="310"/>
      <c r="G117" s="310"/>
      <c r="H117" s="310"/>
      <c r="I117" s="311"/>
      <c r="J117" s="307"/>
      <c r="K117" s="308"/>
      <c r="L117" s="23"/>
    </row>
    <row r="118" spans="1:12" ht="19.95" customHeight="1">
      <c r="A118" s="314"/>
      <c r="B118" s="315"/>
      <c r="C118" s="22">
        <v>5</v>
      </c>
      <c r="D118" s="309"/>
      <c r="E118" s="310"/>
      <c r="F118" s="310"/>
      <c r="G118" s="310"/>
      <c r="H118" s="310"/>
      <c r="I118" s="311"/>
      <c r="J118" s="307"/>
      <c r="K118" s="308"/>
      <c r="L118" s="23"/>
    </row>
    <row r="119" spans="1:12" ht="19.95" customHeight="1">
      <c r="A119" s="314"/>
      <c r="B119" s="315"/>
      <c r="C119" s="22">
        <v>6</v>
      </c>
      <c r="D119" s="309"/>
      <c r="E119" s="310"/>
      <c r="F119" s="310"/>
      <c r="G119" s="310"/>
      <c r="H119" s="310"/>
      <c r="I119" s="311"/>
      <c r="J119" s="307"/>
      <c r="K119" s="308"/>
      <c r="L119" s="24"/>
    </row>
    <row r="120" spans="1:12" ht="19.5" customHeight="1">
      <c r="A120" s="316"/>
      <c r="B120" s="317"/>
      <c r="C120" s="22">
        <v>7</v>
      </c>
      <c r="D120" s="309"/>
      <c r="E120" s="310"/>
      <c r="F120" s="310"/>
      <c r="G120" s="310"/>
      <c r="H120" s="310"/>
      <c r="I120" s="311"/>
      <c r="J120" s="307"/>
      <c r="K120" s="308"/>
      <c r="L120" s="24"/>
    </row>
    <row r="121" spans="1:12" ht="19.95" customHeight="1">
      <c r="A121" s="312"/>
      <c r="B121" s="313"/>
      <c r="C121" s="22">
        <v>1</v>
      </c>
      <c r="D121" s="309"/>
      <c r="E121" s="310"/>
      <c r="F121" s="310"/>
      <c r="G121" s="310"/>
      <c r="H121" s="310"/>
      <c r="I121" s="311"/>
      <c r="J121" s="307"/>
      <c r="K121" s="308"/>
      <c r="L121" s="24"/>
    </row>
    <row r="122" spans="1:12" ht="19.95" customHeight="1">
      <c r="A122" s="314"/>
      <c r="B122" s="315"/>
      <c r="C122" s="22">
        <v>2</v>
      </c>
      <c r="D122" s="309"/>
      <c r="E122" s="310"/>
      <c r="F122" s="310"/>
      <c r="G122" s="310"/>
      <c r="H122" s="310"/>
      <c r="I122" s="311"/>
      <c r="J122" s="307"/>
      <c r="K122" s="308"/>
      <c r="L122" s="23"/>
    </row>
    <row r="123" spans="1:12" ht="19.95" customHeight="1">
      <c r="A123" s="314"/>
      <c r="B123" s="315"/>
      <c r="C123" s="22">
        <v>3</v>
      </c>
      <c r="D123" s="309"/>
      <c r="E123" s="310"/>
      <c r="F123" s="310"/>
      <c r="G123" s="310"/>
      <c r="H123" s="310"/>
      <c r="I123" s="311"/>
      <c r="J123" s="307"/>
      <c r="K123" s="308"/>
      <c r="L123" s="24"/>
    </row>
    <row r="124" spans="1:12" ht="19.95" customHeight="1">
      <c r="A124" s="314"/>
      <c r="B124" s="315"/>
      <c r="C124" s="22">
        <v>4</v>
      </c>
      <c r="D124" s="309"/>
      <c r="E124" s="310"/>
      <c r="F124" s="310"/>
      <c r="G124" s="310"/>
      <c r="H124" s="310"/>
      <c r="I124" s="311"/>
      <c r="J124" s="307"/>
      <c r="K124" s="308"/>
      <c r="L124" s="23"/>
    </row>
    <row r="125" spans="1:12" ht="19.95" customHeight="1">
      <c r="A125" s="314"/>
      <c r="B125" s="315"/>
      <c r="C125" s="22">
        <v>5</v>
      </c>
      <c r="D125" s="309"/>
      <c r="E125" s="310"/>
      <c r="F125" s="310"/>
      <c r="G125" s="310"/>
      <c r="H125" s="310"/>
      <c r="I125" s="311"/>
      <c r="J125" s="307"/>
      <c r="K125" s="308"/>
      <c r="L125" s="24"/>
    </row>
    <row r="126" spans="1:12" ht="19.95" customHeight="1">
      <c r="A126" s="314"/>
      <c r="B126" s="315"/>
      <c r="C126" s="22">
        <v>6</v>
      </c>
      <c r="D126" s="309"/>
      <c r="E126" s="310"/>
      <c r="F126" s="310"/>
      <c r="G126" s="310"/>
      <c r="H126" s="310"/>
      <c r="I126" s="311"/>
      <c r="J126" s="307"/>
      <c r="K126" s="308"/>
      <c r="L126" s="24"/>
    </row>
    <row r="127" spans="1:12" ht="19.5" customHeight="1">
      <c r="A127" s="316"/>
      <c r="B127" s="317"/>
      <c r="C127" s="22">
        <v>7</v>
      </c>
      <c r="D127" s="309"/>
      <c r="E127" s="310"/>
      <c r="F127" s="310"/>
      <c r="G127" s="310"/>
      <c r="H127" s="310"/>
      <c r="I127" s="311"/>
      <c r="J127" s="307"/>
      <c r="K127" s="308"/>
      <c r="L127" s="24"/>
    </row>
    <row r="128" spans="1:12" ht="19.95" customHeight="1">
      <c r="A128" s="312"/>
      <c r="B128" s="313"/>
      <c r="C128" s="22">
        <v>1</v>
      </c>
      <c r="D128" s="309"/>
      <c r="E128" s="310"/>
      <c r="F128" s="310"/>
      <c r="G128" s="310"/>
      <c r="H128" s="310"/>
      <c r="I128" s="311"/>
      <c r="J128" s="307"/>
      <c r="K128" s="308"/>
      <c r="L128" s="23"/>
    </row>
    <row r="129" spans="1:12" ht="19.95" customHeight="1">
      <c r="A129" s="314"/>
      <c r="B129" s="315"/>
      <c r="C129" s="22">
        <v>2</v>
      </c>
      <c r="D129" s="309"/>
      <c r="E129" s="310"/>
      <c r="F129" s="310"/>
      <c r="G129" s="310"/>
      <c r="H129" s="310"/>
      <c r="I129" s="311"/>
      <c r="J129" s="307"/>
      <c r="K129" s="308"/>
      <c r="L129" s="23"/>
    </row>
    <row r="130" spans="1:12" ht="19.95" customHeight="1">
      <c r="A130" s="314"/>
      <c r="B130" s="315"/>
      <c r="C130" s="22">
        <v>3</v>
      </c>
      <c r="D130" s="309"/>
      <c r="E130" s="310"/>
      <c r="F130" s="310"/>
      <c r="G130" s="310"/>
      <c r="H130" s="310"/>
      <c r="I130" s="311"/>
      <c r="J130" s="307"/>
      <c r="K130" s="308"/>
      <c r="L130" s="24"/>
    </row>
    <row r="131" spans="1:12" ht="19.95" customHeight="1">
      <c r="A131" s="314"/>
      <c r="B131" s="315"/>
      <c r="C131" s="22">
        <v>4</v>
      </c>
      <c r="D131" s="309"/>
      <c r="E131" s="310"/>
      <c r="F131" s="310"/>
      <c r="G131" s="310"/>
      <c r="H131" s="310"/>
      <c r="I131" s="311"/>
      <c r="J131" s="307"/>
      <c r="K131" s="308"/>
      <c r="L131" s="23"/>
    </row>
    <row r="132" spans="1:12" ht="19.95" customHeight="1">
      <c r="A132" s="314"/>
      <c r="B132" s="315"/>
      <c r="C132" s="22">
        <v>5</v>
      </c>
      <c r="D132" s="309"/>
      <c r="E132" s="310"/>
      <c r="F132" s="310"/>
      <c r="G132" s="310"/>
      <c r="H132" s="310"/>
      <c r="I132" s="311"/>
      <c r="J132" s="307"/>
      <c r="K132" s="308"/>
      <c r="L132" s="23"/>
    </row>
    <row r="133" spans="1:12" ht="19.95" customHeight="1">
      <c r="A133" s="314"/>
      <c r="B133" s="315"/>
      <c r="C133" s="22">
        <v>6</v>
      </c>
      <c r="D133" s="309"/>
      <c r="E133" s="310"/>
      <c r="F133" s="310"/>
      <c r="G133" s="310"/>
      <c r="H133" s="310"/>
      <c r="I133" s="311"/>
      <c r="J133" s="307"/>
      <c r="K133" s="308"/>
      <c r="L133" s="24"/>
    </row>
    <row r="134" spans="1:12" ht="19.5" customHeight="1">
      <c r="A134" s="316"/>
      <c r="B134" s="317"/>
      <c r="C134" s="22">
        <v>7</v>
      </c>
      <c r="D134" s="309"/>
      <c r="E134" s="310"/>
      <c r="F134" s="310"/>
      <c r="G134" s="310"/>
      <c r="H134" s="310"/>
      <c r="I134" s="311"/>
      <c r="J134" s="307"/>
      <c r="K134" s="308"/>
      <c r="L134" s="24"/>
    </row>
    <row r="135" spans="1:12" ht="19.95" customHeight="1">
      <c r="A135" s="312"/>
      <c r="B135" s="313"/>
      <c r="C135" s="22">
        <v>1</v>
      </c>
      <c r="D135" s="309"/>
      <c r="E135" s="310"/>
      <c r="F135" s="310"/>
      <c r="G135" s="310"/>
      <c r="H135" s="310"/>
      <c r="I135" s="311"/>
      <c r="J135" s="307"/>
      <c r="K135" s="308"/>
      <c r="L135" s="23"/>
    </row>
    <row r="136" spans="1:12" ht="19.95" customHeight="1">
      <c r="A136" s="314"/>
      <c r="B136" s="315"/>
      <c r="C136" s="22">
        <v>2</v>
      </c>
      <c r="D136" s="309"/>
      <c r="E136" s="310"/>
      <c r="F136" s="310"/>
      <c r="G136" s="310"/>
      <c r="H136" s="310"/>
      <c r="I136" s="311"/>
      <c r="J136" s="307"/>
      <c r="K136" s="308"/>
      <c r="L136" s="23"/>
    </row>
    <row r="137" spans="1:12" ht="19.95" customHeight="1">
      <c r="A137" s="314"/>
      <c r="B137" s="315"/>
      <c r="C137" s="22">
        <v>3</v>
      </c>
      <c r="D137" s="309"/>
      <c r="E137" s="310"/>
      <c r="F137" s="310"/>
      <c r="G137" s="310"/>
      <c r="H137" s="310"/>
      <c r="I137" s="311"/>
      <c r="J137" s="307"/>
      <c r="K137" s="308"/>
      <c r="L137" s="24"/>
    </row>
    <row r="138" spans="1:12" ht="19.95" customHeight="1">
      <c r="A138" s="314"/>
      <c r="B138" s="315"/>
      <c r="C138" s="22">
        <v>4</v>
      </c>
      <c r="D138" s="309"/>
      <c r="E138" s="310"/>
      <c r="F138" s="310"/>
      <c r="G138" s="310"/>
      <c r="H138" s="310"/>
      <c r="I138" s="311"/>
      <c r="J138" s="307"/>
      <c r="K138" s="308"/>
      <c r="L138" s="24"/>
    </row>
    <row r="139" spans="1:12" ht="19.95" customHeight="1">
      <c r="A139" s="314"/>
      <c r="B139" s="315"/>
      <c r="C139" s="22">
        <v>5</v>
      </c>
      <c r="D139" s="309"/>
      <c r="E139" s="310"/>
      <c r="F139" s="310"/>
      <c r="G139" s="310"/>
      <c r="H139" s="310"/>
      <c r="I139" s="311"/>
      <c r="J139" s="307"/>
      <c r="K139" s="308"/>
      <c r="L139" s="24"/>
    </row>
    <row r="140" spans="1:12" ht="19.95" customHeight="1">
      <c r="A140" s="314"/>
      <c r="B140" s="315"/>
      <c r="C140" s="22">
        <v>6</v>
      </c>
      <c r="D140" s="309"/>
      <c r="E140" s="310"/>
      <c r="F140" s="310"/>
      <c r="G140" s="310"/>
      <c r="H140" s="310"/>
      <c r="I140" s="311"/>
      <c r="J140" s="307"/>
      <c r="K140" s="308"/>
      <c r="L140" s="23"/>
    </row>
    <row r="141" spans="1:12" ht="19.5" customHeight="1">
      <c r="A141" s="316"/>
      <c r="B141" s="317"/>
      <c r="C141" s="22">
        <v>7</v>
      </c>
      <c r="D141" s="309"/>
      <c r="E141" s="310"/>
      <c r="F141" s="310"/>
      <c r="G141" s="310"/>
      <c r="H141" s="310"/>
      <c r="I141" s="311"/>
      <c r="J141" s="307"/>
      <c r="K141" s="308"/>
      <c r="L141" s="24"/>
    </row>
    <row r="142" spans="1:12" ht="19.95" customHeight="1">
      <c r="A142" s="312"/>
      <c r="B142" s="313"/>
      <c r="C142" s="22">
        <v>1</v>
      </c>
      <c r="D142" s="309"/>
      <c r="E142" s="310"/>
      <c r="F142" s="310"/>
      <c r="G142" s="310"/>
      <c r="H142" s="310"/>
      <c r="I142" s="311"/>
      <c r="J142" s="307"/>
      <c r="K142" s="308"/>
      <c r="L142" s="23"/>
    </row>
    <row r="143" spans="1:12" ht="19.95" customHeight="1">
      <c r="A143" s="314"/>
      <c r="B143" s="315"/>
      <c r="C143" s="22">
        <v>2</v>
      </c>
      <c r="D143" s="309"/>
      <c r="E143" s="310"/>
      <c r="F143" s="310"/>
      <c r="G143" s="310"/>
      <c r="H143" s="310"/>
      <c r="I143" s="311"/>
      <c r="J143" s="307"/>
      <c r="K143" s="308"/>
      <c r="L143" s="23"/>
    </row>
    <row r="144" spans="1:12" ht="19.95" customHeight="1">
      <c r="A144" s="314"/>
      <c r="B144" s="315"/>
      <c r="C144" s="22">
        <v>3</v>
      </c>
      <c r="D144" s="309"/>
      <c r="E144" s="310"/>
      <c r="F144" s="310"/>
      <c r="G144" s="310"/>
      <c r="H144" s="310"/>
      <c r="I144" s="311"/>
      <c r="J144" s="307"/>
      <c r="K144" s="308"/>
      <c r="L144" s="23"/>
    </row>
    <row r="145" spans="1:12" ht="19.95" customHeight="1">
      <c r="A145" s="314"/>
      <c r="B145" s="315"/>
      <c r="C145" s="22">
        <v>4</v>
      </c>
      <c r="D145" s="309"/>
      <c r="E145" s="310"/>
      <c r="F145" s="310"/>
      <c r="G145" s="310"/>
      <c r="H145" s="310"/>
      <c r="I145" s="311"/>
      <c r="J145" s="307"/>
      <c r="K145" s="308"/>
      <c r="L145" s="24"/>
    </row>
    <row r="146" spans="1:12" ht="19.95" customHeight="1">
      <c r="A146" s="314"/>
      <c r="B146" s="315"/>
      <c r="C146" s="22">
        <v>5</v>
      </c>
      <c r="D146" s="309"/>
      <c r="E146" s="310"/>
      <c r="F146" s="310"/>
      <c r="G146" s="310"/>
      <c r="H146" s="310"/>
      <c r="I146" s="311"/>
      <c r="J146" s="307"/>
      <c r="K146" s="308"/>
      <c r="L146" s="24"/>
    </row>
    <row r="147" spans="1:12" ht="19.95" customHeight="1">
      <c r="A147" s="314"/>
      <c r="B147" s="315"/>
      <c r="C147" s="22">
        <v>6</v>
      </c>
      <c r="D147" s="309"/>
      <c r="E147" s="310"/>
      <c r="F147" s="310"/>
      <c r="G147" s="310"/>
      <c r="H147" s="310"/>
      <c r="I147" s="311"/>
      <c r="J147" s="307"/>
      <c r="K147" s="308"/>
      <c r="L147" s="24"/>
    </row>
    <row r="148" spans="1:12" ht="19.5" customHeight="1">
      <c r="A148" s="316"/>
      <c r="B148" s="317"/>
      <c r="C148" s="22">
        <v>7</v>
      </c>
      <c r="D148" s="309"/>
      <c r="E148" s="310"/>
      <c r="F148" s="310"/>
      <c r="G148" s="310"/>
      <c r="H148" s="310"/>
      <c r="I148" s="311"/>
      <c r="J148" s="307"/>
      <c r="K148" s="308"/>
      <c r="L148" s="24"/>
    </row>
    <row r="149" spans="1:12" ht="19.95" customHeight="1">
      <c r="A149" s="312"/>
      <c r="B149" s="313"/>
      <c r="C149" s="22">
        <v>1</v>
      </c>
      <c r="D149" s="309"/>
      <c r="E149" s="310"/>
      <c r="F149" s="310"/>
      <c r="G149" s="310"/>
      <c r="H149" s="310"/>
      <c r="I149" s="311"/>
      <c r="J149" s="307"/>
      <c r="K149" s="308"/>
      <c r="L149" s="23"/>
    </row>
    <row r="150" spans="1:12" ht="19.95" customHeight="1">
      <c r="A150" s="314"/>
      <c r="B150" s="315"/>
      <c r="C150" s="22">
        <v>2</v>
      </c>
      <c r="D150" s="309"/>
      <c r="E150" s="310"/>
      <c r="F150" s="310"/>
      <c r="G150" s="310"/>
      <c r="H150" s="310"/>
      <c r="I150" s="311"/>
      <c r="J150" s="307"/>
      <c r="K150" s="308"/>
      <c r="L150" s="23"/>
    </row>
    <row r="151" spans="1:12" ht="19.95" customHeight="1">
      <c r="A151" s="314"/>
      <c r="B151" s="315"/>
      <c r="C151" s="22">
        <v>3</v>
      </c>
      <c r="D151" s="309"/>
      <c r="E151" s="310"/>
      <c r="F151" s="310"/>
      <c r="G151" s="310"/>
      <c r="H151" s="310"/>
      <c r="I151" s="311"/>
      <c r="J151" s="307"/>
      <c r="K151" s="308"/>
      <c r="L151" s="24"/>
    </row>
    <row r="152" spans="1:12" ht="19.95" customHeight="1">
      <c r="A152" s="314"/>
      <c r="B152" s="315"/>
      <c r="C152" s="22">
        <v>4</v>
      </c>
      <c r="D152" s="309"/>
      <c r="E152" s="310"/>
      <c r="F152" s="310"/>
      <c r="G152" s="310"/>
      <c r="H152" s="310"/>
      <c r="I152" s="311"/>
      <c r="J152" s="307"/>
      <c r="K152" s="308"/>
      <c r="L152" s="24"/>
    </row>
    <row r="153" spans="1:12" ht="19.95" customHeight="1">
      <c r="A153" s="314"/>
      <c r="B153" s="315"/>
      <c r="C153" s="22">
        <v>5</v>
      </c>
      <c r="D153" s="309"/>
      <c r="E153" s="310"/>
      <c r="F153" s="310"/>
      <c r="G153" s="310"/>
      <c r="H153" s="310"/>
      <c r="I153" s="311"/>
      <c r="J153" s="307"/>
      <c r="K153" s="308"/>
      <c r="L153" s="24"/>
    </row>
    <row r="154" spans="1:12" ht="19.95" customHeight="1">
      <c r="A154" s="314"/>
      <c r="B154" s="315"/>
      <c r="C154" s="22">
        <v>6</v>
      </c>
      <c r="D154" s="309"/>
      <c r="E154" s="310"/>
      <c r="F154" s="310"/>
      <c r="G154" s="310"/>
      <c r="H154" s="310"/>
      <c r="I154" s="311"/>
      <c r="J154" s="307"/>
      <c r="K154" s="308"/>
      <c r="L154" s="24"/>
    </row>
    <row r="155" spans="1:12" ht="19.5" customHeight="1">
      <c r="A155" s="316"/>
      <c r="B155" s="317"/>
      <c r="C155" s="22">
        <v>7</v>
      </c>
      <c r="D155" s="309"/>
      <c r="E155" s="310"/>
      <c r="F155" s="310"/>
      <c r="G155" s="310"/>
      <c r="H155" s="310"/>
      <c r="I155" s="311"/>
      <c r="J155" s="307"/>
      <c r="K155" s="308"/>
      <c r="L155" s="24"/>
    </row>
    <row r="156" spans="1:12" ht="19.95" customHeight="1">
      <c r="A156" s="312"/>
      <c r="B156" s="313"/>
      <c r="C156" s="22">
        <v>1</v>
      </c>
      <c r="D156" s="309"/>
      <c r="E156" s="310"/>
      <c r="F156" s="310"/>
      <c r="G156" s="310"/>
      <c r="H156" s="310"/>
      <c r="I156" s="311"/>
      <c r="J156" s="307"/>
      <c r="K156" s="308"/>
      <c r="L156" s="23"/>
    </row>
    <row r="157" spans="1:12" ht="19.95" customHeight="1">
      <c r="A157" s="314"/>
      <c r="B157" s="315"/>
      <c r="C157" s="22">
        <v>2</v>
      </c>
      <c r="D157" s="309"/>
      <c r="E157" s="310"/>
      <c r="F157" s="310"/>
      <c r="G157" s="310"/>
      <c r="H157" s="310"/>
      <c r="I157" s="311"/>
      <c r="J157" s="307"/>
      <c r="K157" s="308"/>
      <c r="L157" s="23"/>
    </row>
    <row r="158" spans="1:12" ht="19.95" customHeight="1">
      <c r="A158" s="314"/>
      <c r="B158" s="315"/>
      <c r="C158" s="22">
        <v>3</v>
      </c>
      <c r="D158" s="309"/>
      <c r="E158" s="310"/>
      <c r="F158" s="310"/>
      <c r="G158" s="310"/>
      <c r="H158" s="310"/>
      <c r="I158" s="311"/>
      <c r="J158" s="307"/>
      <c r="K158" s="308"/>
      <c r="L158" s="23"/>
    </row>
    <row r="159" spans="1:12" ht="19.95" customHeight="1">
      <c r="A159" s="314"/>
      <c r="B159" s="315"/>
      <c r="C159" s="22">
        <v>4</v>
      </c>
      <c r="D159" s="309"/>
      <c r="E159" s="310"/>
      <c r="F159" s="310"/>
      <c r="G159" s="310"/>
      <c r="H159" s="310"/>
      <c r="I159" s="311"/>
      <c r="J159" s="307"/>
      <c r="K159" s="308"/>
      <c r="L159" s="24"/>
    </row>
    <row r="160" spans="1:12" ht="19.95" customHeight="1">
      <c r="A160" s="314"/>
      <c r="B160" s="315"/>
      <c r="C160" s="22">
        <v>5</v>
      </c>
      <c r="D160" s="309"/>
      <c r="E160" s="310"/>
      <c r="F160" s="310"/>
      <c r="G160" s="310"/>
      <c r="H160" s="310"/>
      <c r="I160" s="311"/>
      <c r="J160" s="307"/>
      <c r="K160" s="308"/>
      <c r="L160" s="23"/>
    </row>
    <row r="161" spans="1:12" ht="19.95" customHeight="1">
      <c r="A161" s="314"/>
      <c r="B161" s="315"/>
      <c r="C161" s="22">
        <v>6</v>
      </c>
      <c r="D161" s="309"/>
      <c r="E161" s="310"/>
      <c r="F161" s="310"/>
      <c r="G161" s="310"/>
      <c r="H161" s="310"/>
      <c r="I161" s="311"/>
      <c r="J161" s="307"/>
      <c r="K161" s="308"/>
      <c r="L161" s="24"/>
    </row>
    <row r="162" spans="1:12" ht="19.5" customHeight="1">
      <c r="A162" s="316"/>
      <c r="B162" s="317"/>
      <c r="C162" s="22">
        <v>7</v>
      </c>
      <c r="D162" s="309"/>
      <c r="E162" s="310"/>
      <c r="F162" s="310"/>
      <c r="G162" s="310"/>
      <c r="H162" s="310"/>
      <c r="I162" s="311"/>
      <c r="J162" s="307"/>
      <c r="K162" s="308"/>
      <c r="L162" s="24"/>
    </row>
    <row r="163" spans="1:12" ht="19.95" customHeight="1">
      <c r="A163" s="312"/>
      <c r="B163" s="313"/>
      <c r="C163" s="22">
        <v>1</v>
      </c>
      <c r="D163" s="309"/>
      <c r="E163" s="310"/>
      <c r="F163" s="310"/>
      <c r="G163" s="310"/>
      <c r="H163" s="310"/>
      <c r="I163" s="311"/>
      <c r="J163" s="307"/>
      <c r="K163" s="308"/>
      <c r="L163" s="23"/>
    </row>
    <row r="164" spans="1:12" ht="19.95" customHeight="1">
      <c r="A164" s="314"/>
      <c r="B164" s="315"/>
      <c r="C164" s="22">
        <v>2</v>
      </c>
      <c r="D164" s="309"/>
      <c r="E164" s="310"/>
      <c r="F164" s="310"/>
      <c r="G164" s="310"/>
      <c r="H164" s="310"/>
      <c r="I164" s="311"/>
      <c r="J164" s="307"/>
      <c r="K164" s="308"/>
      <c r="L164" s="23"/>
    </row>
    <row r="165" spans="1:12" ht="19.95" customHeight="1">
      <c r="A165" s="314"/>
      <c r="B165" s="315"/>
      <c r="C165" s="22">
        <v>3</v>
      </c>
      <c r="D165" s="309"/>
      <c r="E165" s="310"/>
      <c r="F165" s="310"/>
      <c r="G165" s="310"/>
      <c r="H165" s="310"/>
      <c r="I165" s="311"/>
      <c r="J165" s="307"/>
      <c r="K165" s="308"/>
      <c r="L165" s="24"/>
    </row>
    <row r="166" spans="1:12" ht="19.95" customHeight="1">
      <c r="A166" s="314"/>
      <c r="B166" s="315"/>
      <c r="C166" s="22">
        <v>4</v>
      </c>
      <c r="D166" s="309"/>
      <c r="E166" s="310"/>
      <c r="F166" s="310"/>
      <c r="G166" s="310"/>
      <c r="H166" s="310"/>
      <c r="I166" s="311"/>
      <c r="J166" s="307"/>
      <c r="K166" s="308"/>
      <c r="L166" s="24"/>
    </row>
    <row r="167" spans="1:12" ht="19.95" customHeight="1">
      <c r="A167" s="314"/>
      <c r="B167" s="315"/>
      <c r="C167" s="22">
        <v>5</v>
      </c>
      <c r="D167" s="309"/>
      <c r="E167" s="310"/>
      <c r="F167" s="310"/>
      <c r="G167" s="310"/>
      <c r="H167" s="310"/>
      <c r="I167" s="311"/>
      <c r="J167" s="307"/>
      <c r="K167" s="308"/>
      <c r="L167" s="24"/>
    </row>
    <row r="168" spans="1:12" ht="19.95" customHeight="1">
      <c r="A168" s="314"/>
      <c r="B168" s="315"/>
      <c r="C168" s="22">
        <v>6</v>
      </c>
      <c r="D168" s="309"/>
      <c r="E168" s="310"/>
      <c r="F168" s="310"/>
      <c r="G168" s="310"/>
      <c r="H168" s="310"/>
      <c r="I168" s="311"/>
      <c r="J168" s="307"/>
      <c r="K168" s="308"/>
      <c r="L168" s="24"/>
    </row>
    <row r="169" spans="1:12" ht="19.5" customHeight="1">
      <c r="A169" s="316"/>
      <c r="B169" s="317"/>
      <c r="C169" s="22">
        <v>7</v>
      </c>
      <c r="D169" s="309"/>
      <c r="E169" s="310"/>
      <c r="F169" s="310"/>
      <c r="G169" s="310"/>
      <c r="H169" s="310"/>
      <c r="I169" s="311"/>
      <c r="J169" s="307"/>
      <c r="K169" s="308"/>
      <c r="L169" s="24"/>
    </row>
    <row r="170" spans="1:12" ht="19.95" customHeight="1">
      <c r="A170" s="312"/>
      <c r="B170" s="313"/>
      <c r="C170" s="22">
        <v>1</v>
      </c>
      <c r="D170" s="309"/>
      <c r="E170" s="310"/>
      <c r="F170" s="310"/>
      <c r="G170" s="310"/>
      <c r="H170" s="310"/>
      <c r="I170" s="311"/>
      <c r="J170" s="307"/>
      <c r="K170" s="308"/>
      <c r="L170" s="23"/>
    </row>
    <row r="171" spans="1:12" ht="19.95" customHeight="1">
      <c r="A171" s="314"/>
      <c r="B171" s="315"/>
      <c r="C171" s="22">
        <v>2</v>
      </c>
      <c r="D171" s="309"/>
      <c r="E171" s="310"/>
      <c r="F171" s="310"/>
      <c r="G171" s="310"/>
      <c r="H171" s="310"/>
      <c r="I171" s="311"/>
      <c r="J171" s="307"/>
      <c r="K171" s="308"/>
      <c r="L171" s="24"/>
    </row>
    <row r="172" spans="1:12" ht="19.95" customHeight="1">
      <c r="A172" s="314"/>
      <c r="B172" s="315"/>
      <c r="C172" s="22">
        <v>3</v>
      </c>
      <c r="D172" s="309"/>
      <c r="E172" s="310"/>
      <c r="F172" s="310"/>
      <c r="G172" s="310"/>
      <c r="H172" s="310"/>
      <c r="I172" s="311"/>
      <c r="J172" s="307"/>
      <c r="K172" s="308"/>
      <c r="L172" s="23"/>
    </row>
    <row r="173" spans="1:12" ht="19.95" customHeight="1">
      <c r="A173" s="314"/>
      <c r="B173" s="315"/>
      <c r="C173" s="22">
        <v>4</v>
      </c>
      <c r="D173" s="309"/>
      <c r="E173" s="310"/>
      <c r="F173" s="310"/>
      <c r="G173" s="310"/>
      <c r="H173" s="310"/>
      <c r="I173" s="311"/>
      <c r="J173" s="307"/>
      <c r="K173" s="308"/>
      <c r="L173" s="24"/>
    </row>
    <row r="174" spans="1:12" ht="19.95" customHeight="1">
      <c r="A174" s="314"/>
      <c r="B174" s="315"/>
      <c r="C174" s="22">
        <v>5</v>
      </c>
      <c r="D174" s="309"/>
      <c r="E174" s="310"/>
      <c r="F174" s="310"/>
      <c r="G174" s="310"/>
      <c r="H174" s="310"/>
      <c r="I174" s="311"/>
      <c r="J174" s="307"/>
      <c r="K174" s="308"/>
      <c r="L174" s="23"/>
    </row>
    <row r="175" spans="1:12" ht="19.95" customHeight="1">
      <c r="A175" s="314"/>
      <c r="B175" s="315"/>
      <c r="C175" s="22">
        <v>6</v>
      </c>
      <c r="D175" s="309"/>
      <c r="E175" s="310"/>
      <c r="F175" s="310"/>
      <c r="G175" s="310"/>
      <c r="H175" s="310"/>
      <c r="I175" s="311"/>
      <c r="J175" s="307"/>
      <c r="K175" s="308"/>
      <c r="L175" s="24"/>
    </row>
    <row r="176" spans="1:12" ht="19.5" customHeight="1">
      <c r="A176" s="316"/>
      <c r="B176" s="317"/>
      <c r="C176" s="22">
        <v>7</v>
      </c>
      <c r="D176" s="309"/>
      <c r="E176" s="310"/>
      <c r="F176" s="310"/>
      <c r="G176" s="310"/>
      <c r="H176" s="310"/>
      <c r="I176" s="311"/>
      <c r="J176" s="307"/>
      <c r="K176" s="308"/>
      <c r="L176" s="24"/>
    </row>
    <row r="177" spans="1:12" ht="19.95" customHeight="1">
      <c r="A177" s="312"/>
      <c r="B177" s="313"/>
      <c r="C177" s="22">
        <v>1</v>
      </c>
      <c r="D177" s="309"/>
      <c r="E177" s="310"/>
      <c r="F177" s="310"/>
      <c r="G177" s="310"/>
      <c r="H177" s="310"/>
      <c r="I177" s="311"/>
      <c r="J177" s="307"/>
      <c r="K177" s="308"/>
      <c r="L177" s="23"/>
    </row>
    <row r="178" spans="1:12" ht="19.95" customHeight="1">
      <c r="A178" s="314"/>
      <c r="B178" s="315"/>
      <c r="C178" s="22">
        <v>2</v>
      </c>
      <c r="D178" s="309"/>
      <c r="E178" s="310"/>
      <c r="F178" s="310"/>
      <c r="G178" s="310"/>
      <c r="H178" s="310"/>
      <c r="I178" s="311"/>
      <c r="J178" s="307"/>
      <c r="K178" s="308"/>
      <c r="L178" s="24"/>
    </row>
    <row r="179" spans="1:12" ht="19.95" customHeight="1">
      <c r="A179" s="314"/>
      <c r="B179" s="315"/>
      <c r="C179" s="22">
        <v>3</v>
      </c>
      <c r="D179" s="309"/>
      <c r="E179" s="310"/>
      <c r="F179" s="310"/>
      <c r="G179" s="310"/>
      <c r="H179" s="310"/>
      <c r="I179" s="311"/>
      <c r="J179" s="307"/>
      <c r="K179" s="308"/>
      <c r="L179" s="24"/>
    </row>
    <row r="180" spans="1:12" ht="19.95" customHeight="1">
      <c r="A180" s="314"/>
      <c r="B180" s="315"/>
      <c r="C180" s="22">
        <v>4</v>
      </c>
      <c r="D180" s="309"/>
      <c r="E180" s="310"/>
      <c r="F180" s="310"/>
      <c r="G180" s="310"/>
      <c r="H180" s="310"/>
      <c r="I180" s="311"/>
      <c r="J180" s="307"/>
      <c r="K180" s="308"/>
      <c r="L180" s="23"/>
    </row>
    <row r="181" spans="1:12" ht="19.95" customHeight="1">
      <c r="A181" s="314"/>
      <c r="B181" s="315"/>
      <c r="C181" s="22">
        <v>5</v>
      </c>
      <c r="D181" s="309"/>
      <c r="E181" s="310"/>
      <c r="F181" s="310"/>
      <c r="G181" s="310"/>
      <c r="H181" s="310"/>
      <c r="I181" s="311"/>
      <c r="J181" s="307"/>
      <c r="K181" s="308"/>
      <c r="L181" s="23"/>
    </row>
    <row r="182" spans="1:12" ht="19.95" customHeight="1">
      <c r="A182" s="314"/>
      <c r="B182" s="315"/>
      <c r="C182" s="22">
        <v>6</v>
      </c>
      <c r="D182" s="309"/>
      <c r="E182" s="310"/>
      <c r="F182" s="310"/>
      <c r="G182" s="310"/>
      <c r="H182" s="310"/>
      <c r="I182" s="311"/>
      <c r="J182" s="307"/>
      <c r="K182" s="308"/>
      <c r="L182" s="24"/>
    </row>
    <row r="183" spans="1:12" ht="19.5" customHeight="1">
      <c r="A183" s="316"/>
      <c r="B183" s="317"/>
      <c r="C183" s="22">
        <v>7</v>
      </c>
      <c r="D183" s="309"/>
      <c r="E183" s="310"/>
      <c r="F183" s="310"/>
      <c r="G183" s="310"/>
      <c r="H183" s="310"/>
      <c r="I183" s="311"/>
      <c r="J183" s="307"/>
      <c r="K183" s="308"/>
      <c r="L183" s="24"/>
    </row>
    <row r="184" spans="1:12" ht="19.95" customHeight="1">
      <c r="A184" s="312"/>
      <c r="B184" s="313"/>
      <c r="C184" s="22">
        <v>1</v>
      </c>
      <c r="D184" s="309"/>
      <c r="E184" s="310"/>
      <c r="F184" s="310"/>
      <c r="G184" s="310"/>
      <c r="H184" s="310"/>
      <c r="I184" s="311"/>
      <c r="J184" s="307"/>
      <c r="K184" s="308"/>
      <c r="L184" s="23"/>
    </row>
    <row r="185" spans="1:12" ht="19.95" customHeight="1">
      <c r="A185" s="314"/>
      <c r="B185" s="315"/>
      <c r="C185" s="22">
        <v>2</v>
      </c>
      <c r="D185" s="309"/>
      <c r="E185" s="310"/>
      <c r="F185" s="310"/>
      <c r="G185" s="310"/>
      <c r="H185" s="310"/>
      <c r="I185" s="311"/>
      <c r="J185" s="307"/>
      <c r="K185" s="308"/>
      <c r="L185" s="23"/>
    </row>
    <row r="186" spans="1:12" ht="19.95" customHeight="1">
      <c r="A186" s="314"/>
      <c r="B186" s="315"/>
      <c r="C186" s="22">
        <v>3</v>
      </c>
      <c r="D186" s="309"/>
      <c r="E186" s="310"/>
      <c r="F186" s="310"/>
      <c r="G186" s="310"/>
      <c r="H186" s="310"/>
      <c r="I186" s="311"/>
      <c r="J186" s="307"/>
      <c r="K186" s="308"/>
      <c r="L186" s="23"/>
    </row>
    <row r="187" spans="1:12" ht="19.95" customHeight="1">
      <c r="A187" s="314"/>
      <c r="B187" s="315"/>
      <c r="C187" s="22">
        <v>4</v>
      </c>
      <c r="D187" s="309"/>
      <c r="E187" s="310"/>
      <c r="F187" s="310"/>
      <c r="G187" s="310"/>
      <c r="H187" s="310"/>
      <c r="I187" s="311"/>
      <c r="J187" s="307"/>
      <c r="K187" s="308"/>
      <c r="L187" s="23"/>
    </row>
    <row r="188" spans="1:12" ht="19.95" customHeight="1">
      <c r="A188" s="314"/>
      <c r="B188" s="315"/>
      <c r="C188" s="22">
        <v>5</v>
      </c>
      <c r="D188" s="309"/>
      <c r="E188" s="310"/>
      <c r="F188" s="310"/>
      <c r="G188" s="310"/>
      <c r="H188" s="310"/>
      <c r="I188" s="311"/>
      <c r="J188" s="307"/>
      <c r="K188" s="308"/>
      <c r="L188" s="23"/>
    </row>
    <row r="189" spans="1:12" ht="19.95" customHeight="1">
      <c r="A189" s="314"/>
      <c r="B189" s="315"/>
      <c r="C189" s="22">
        <v>6</v>
      </c>
      <c r="D189" s="309"/>
      <c r="E189" s="310"/>
      <c r="F189" s="310"/>
      <c r="G189" s="310"/>
      <c r="H189" s="310"/>
      <c r="I189" s="311"/>
      <c r="J189" s="307"/>
      <c r="K189" s="308"/>
      <c r="L189" s="24"/>
    </row>
    <row r="190" spans="1:12" ht="19.5" customHeight="1">
      <c r="A190" s="316"/>
      <c r="B190" s="317"/>
      <c r="C190" s="22">
        <v>7</v>
      </c>
      <c r="D190" s="309"/>
      <c r="E190" s="310"/>
      <c r="F190" s="310"/>
      <c r="G190" s="310"/>
      <c r="H190" s="310"/>
      <c r="I190" s="311"/>
      <c r="J190" s="307"/>
      <c r="K190" s="308"/>
      <c r="L190" s="24"/>
    </row>
    <row r="191" spans="1:12" ht="19.95" customHeight="1">
      <c r="A191" s="312"/>
      <c r="B191" s="313"/>
      <c r="C191" s="22">
        <v>1</v>
      </c>
      <c r="D191" s="309"/>
      <c r="E191" s="310"/>
      <c r="F191" s="310"/>
      <c r="G191" s="310"/>
      <c r="H191" s="310"/>
      <c r="I191" s="311"/>
      <c r="J191" s="307"/>
      <c r="K191" s="308"/>
      <c r="L191" s="23"/>
    </row>
    <row r="192" spans="1:12" ht="19.95" customHeight="1">
      <c r="A192" s="314"/>
      <c r="B192" s="315"/>
      <c r="C192" s="22">
        <v>2</v>
      </c>
      <c r="D192" s="309"/>
      <c r="E192" s="310"/>
      <c r="F192" s="310"/>
      <c r="G192" s="310"/>
      <c r="H192" s="310"/>
      <c r="I192" s="311"/>
      <c r="J192" s="307"/>
      <c r="K192" s="308"/>
      <c r="L192" s="24"/>
    </row>
    <row r="193" spans="1:12" ht="19.95" customHeight="1">
      <c r="A193" s="314"/>
      <c r="B193" s="315"/>
      <c r="C193" s="22">
        <v>3</v>
      </c>
      <c r="D193" s="309"/>
      <c r="E193" s="310"/>
      <c r="F193" s="310"/>
      <c r="G193" s="310"/>
      <c r="H193" s="310"/>
      <c r="I193" s="311"/>
      <c r="J193" s="307"/>
      <c r="K193" s="308"/>
      <c r="L193" s="24"/>
    </row>
    <row r="194" spans="1:12" ht="19.95" customHeight="1">
      <c r="A194" s="314"/>
      <c r="B194" s="315"/>
      <c r="C194" s="22">
        <v>4</v>
      </c>
      <c r="D194" s="309"/>
      <c r="E194" s="310"/>
      <c r="F194" s="310"/>
      <c r="G194" s="310"/>
      <c r="H194" s="310"/>
      <c r="I194" s="311"/>
      <c r="J194" s="307"/>
      <c r="K194" s="308"/>
      <c r="L194" s="24"/>
    </row>
    <row r="195" spans="1:12" ht="19.95" customHeight="1">
      <c r="A195" s="314"/>
      <c r="B195" s="315"/>
      <c r="C195" s="22">
        <v>5</v>
      </c>
      <c r="D195" s="309"/>
      <c r="E195" s="310"/>
      <c r="F195" s="310"/>
      <c r="G195" s="310"/>
      <c r="H195" s="310"/>
      <c r="I195" s="311"/>
      <c r="J195" s="307"/>
      <c r="K195" s="308"/>
      <c r="L195" s="24"/>
    </row>
    <row r="196" spans="1:12" ht="19.95" customHeight="1">
      <c r="A196" s="314"/>
      <c r="B196" s="315"/>
      <c r="C196" s="22">
        <v>6</v>
      </c>
      <c r="D196" s="309"/>
      <c r="E196" s="310"/>
      <c r="F196" s="310"/>
      <c r="G196" s="310"/>
      <c r="H196" s="310"/>
      <c r="I196" s="311"/>
      <c r="J196" s="307"/>
      <c r="K196" s="308"/>
      <c r="L196" s="24"/>
    </row>
    <row r="197" spans="1:12" ht="19.5" customHeight="1">
      <c r="A197" s="316"/>
      <c r="B197" s="317"/>
      <c r="C197" s="22">
        <v>7</v>
      </c>
      <c r="D197" s="309"/>
      <c r="E197" s="310"/>
      <c r="F197" s="310"/>
      <c r="G197" s="310"/>
      <c r="H197" s="310"/>
      <c r="I197" s="311"/>
      <c r="J197" s="307"/>
      <c r="K197" s="308"/>
      <c r="L197" s="24"/>
    </row>
    <row r="198" spans="1:12" ht="19.95" customHeight="1">
      <c r="A198" s="312"/>
      <c r="B198" s="313"/>
      <c r="C198" s="22">
        <v>1</v>
      </c>
      <c r="D198" s="309"/>
      <c r="E198" s="310"/>
      <c r="F198" s="310"/>
      <c r="G198" s="310"/>
      <c r="H198" s="310"/>
      <c r="I198" s="311"/>
      <c r="J198" s="307"/>
      <c r="K198" s="308"/>
      <c r="L198" s="23"/>
    </row>
    <row r="199" spans="1:12" ht="19.95" customHeight="1">
      <c r="A199" s="314"/>
      <c r="B199" s="315"/>
      <c r="C199" s="22">
        <v>2</v>
      </c>
      <c r="D199" s="309"/>
      <c r="E199" s="310"/>
      <c r="F199" s="310"/>
      <c r="G199" s="310"/>
      <c r="H199" s="310"/>
      <c r="I199" s="311"/>
      <c r="J199" s="307"/>
      <c r="K199" s="308"/>
      <c r="L199" s="23"/>
    </row>
    <row r="200" spans="1:12" ht="19.95" customHeight="1">
      <c r="A200" s="314"/>
      <c r="B200" s="315"/>
      <c r="C200" s="22">
        <v>3</v>
      </c>
      <c r="D200" s="309"/>
      <c r="E200" s="310"/>
      <c r="F200" s="310"/>
      <c r="G200" s="310"/>
      <c r="H200" s="310"/>
      <c r="I200" s="311"/>
      <c r="J200" s="307"/>
      <c r="K200" s="308"/>
      <c r="L200" s="24"/>
    </row>
    <row r="201" spans="1:12" ht="19.95" customHeight="1">
      <c r="A201" s="314"/>
      <c r="B201" s="315"/>
      <c r="C201" s="22">
        <v>4</v>
      </c>
      <c r="D201" s="309"/>
      <c r="E201" s="310"/>
      <c r="F201" s="310"/>
      <c r="G201" s="310"/>
      <c r="H201" s="310"/>
      <c r="I201" s="311"/>
      <c r="J201" s="307"/>
      <c r="K201" s="308"/>
      <c r="L201" s="24"/>
    </row>
    <row r="202" spans="1:12" ht="19.95" customHeight="1">
      <c r="A202" s="314"/>
      <c r="B202" s="315"/>
      <c r="C202" s="22">
        <v>5</v>
      </c>
      <c r="D202" s="309"/>
      <c r="E202" s="310"/>
      <c r="F202" s="310"/>
      <c r="G202" s="310"/>
      <c r="H202" s="310"/>
      <c r="I202" s="311"/>
      <c r="J202" s="307"/>
      <c r="K202" s="308"/>
      <c r="L202" s="24"/>
    </row>
    <row r="203" spans="1:12" ht="19.95" customHeight="1">
      <c r="A203" s="314"/>
      <c r="B203" s="315"/>
      <c r="C203" s="22">
        <v>6</v>
      </c>
      <c r="D203" s="309"/>
      <c r="E203" s="310"/>
      <c r="F203" s="310"/>
      <c r="G203" s="310"/>
      <c r="H203" s="310"/>
      <c r="I203" s="311"/>
      <c r="J203" s="307"/>
      <c r="K203" s="308"/>
      <c r="L203" s="24"/>
    </row>
    <row r="204" spans="1:12" ht="19.5" customHeight="1">
      <c r="A204" s="316"/>
      <c r="B204" s="317"/>
      <c r="C204" s="22">
        <v>7</v>
      </c>
      <c r="D204" s="309"/>
      <c r="E204" s="310"/>
      <c r="F204" s="310"/>
      <c r="G204" s="310"/>
      <c r="H204" s="310"/>
      <c r="I204" s="311"/>
      <c r="J204" s="307"/>
      <c r="K204" s="308"/>
      <c r="L204" s="24"/>
    </row>
    <row r="205" spans="1:12" ht="19.95" customHeight="1">
      <c r="A205" s="312"/>
      <c r="B205" s="313"/>
      <c r="C205" s="22">
        <v>1</v>
      </c>
      <c r="D205" s="309"/>
      <c r="E205" s="310"/>
      <c r="F205" s="310"/>
      <c r="G205" s="310"/>
      <c r="H205" s="310"/>
      <c r="I205" s="311"/>
      <c r="J205" s="307"/>
      <c r="K205" s="308"/>
      <c r="L205" s="23"/>
    </row>
    <row r="206" spans="1:12" ht="19.95" customHeight="1">
      <c r="A206" s="314"/>
      <c r="B206" s="315"/>
      <c r="C206" s="22">
        <v>2</v>
      </c>
      <c r="D206" s="309"/>
      <c r="E206" s="310"/>
      <c r="F206" s="310"/>
      <c r="G206" s="310"/>
      <c r="H206" s="310"/>
      <c r="I206" s="311"/>
      <c r="J206" s="307"/>
      <c r="K206" s="308"/>
      <c r="L206" s="24"/>
    </row>
    <row r="207" spans="1:12" ht="19.95" customHeight="1">
      <c r="A207" s="314"/>
      <c r="B207" s="315"/>
      <c r="C207" s="22">
        <v>3</v>
      </c>
      <c r="D207" s="309"/>
      <c r="E207" s="310"/>
      <c r="F207" s="310"/>
      <c r="G207" s="310"/>
      <c r="H207" s="310"/>
      <c r="I207" s="311"/>
      <c r="J207" s="307"/>
      <c r="K207" s="308"/>
      <c r="L207" s="23"/>
    </row>
    <row r="208" spans="1:12" ht="19.95" customHeight="1">
      <c r="A208" s="314"/>
      <c r="B208" s="315"/>
      <c r="C208" s="22">
        <v>4</v>
      </c>
      <c r="D208" s="309"/>
      <c r="E208" s="310"/>
      <c r="F208" s="310"/>
      <c r="G208" s="310"/>
      <c r="H208" s="310"/>
      <c r="I208" s="311"/>
      <c r="J208" s="307"/>
      <c r="K208" s="308"/>
      <c r="L208" s="24"/>
    </row>
    <row r="209" spans="1:12" ht="19.95" customHeight="1">
      <c r="A209" s="314"/>
      <c r="B209" s="315"/>
      <c r="C209" s="22">
        <v>5</v>
      </c>
      <c r="D209" s="309"/>
      <c r="E209" s="310"/>
      <c r="F209" s="310"/>
      <c r="G209" s="310"/>
      <c r="H209" s="310"/>
      <c r="I209" s="311"/>
      <c r="J209" s="307"/>
      <c r="K209" s="308"/>
      <c r="L209" s="24"/>
    </row>
    <row r="210" spans="1:12" ht="19.95" customHeight="1">
      <c r="A210" s="314"/>
      <c r="B210" s="315"/>
      <c r="C210" s="22">
        <v>6</v>
      </c>
      <c r="D210" s="309"/>
      <c r="E210" s="310"/>
      <c r="F210" s="310"/>
      <c r="G210" s="310"/>
      <c r="H210" s="310"/>
      <c r="I210" s="311"/>
      <c r="J210" s="307"/>
      <c r="K210" s="308"/>
      <c r="L210" s="24"/>
    </row>
    <row r="211" spans="1:12" ht="19.5" customHeight="1">
      <c r="A211" s="316"/>
      <c r="B211" s="317"/>
      <c r="C211" s="22">
        <v>7</v>
      </c>
      <c r="D211" s="309"/>
      <c r="E211" s="310"/>
      <c r="F211" s="310"/>
      <c r="G211" s="310"/>
      <c r="H211" s="310"/>
      <c r="I211" s="311"/>
      <c r="J211" s="307"/>
      <c r="K211" s="308"/>
      <c r="L211" s="24"/>
    </row>
    <row r="212" spans="1:12" ht="18.45" customHeight="1">
      <c r="A212" s="312"/>
      <c r="B212" s="313"/>
      <c r="C212" s="22">
        <v>1</v>
      </c>
      <c r="D212" s="309"/>
      <c r="E212" s="310"/>
      <c r="F212" s="310"/>
      <c r="G212" s="310"/>
      <c r="H212" s="310"/>
      <c r="I212" s="311"/>
      <c r="J212" s="307"/>
      <c r="K212" s="308"/>
      <c r="L212" s="23"/>
    </row>
    <row r="213" spans="1:12" ht="18.45" customHeight="1">
      <c r="A213" s="314"/>
      <c r="B213" s="315"/>
      <c r="C213" s="22">
        <v>2</v>
      </c>
      <c r="D213" s="309"/>
      <c r="E213" s="310"/>
      <c r="F213" s="310"/>
      <c r="G213" s="310"/>
      <c r="H213" s="310"/>
      <c r="I213" s="311"/>
      <c r="J213" s="307"/>
      <c r="K213" s="308"/>
      <c r="L213" s="23"/>
    </row>
    <row r="214" spans="1:12" ht="18.45" customHeight="1">
      <c r="A214" s="314"/>
      <c r="B214" s="315"/>
      <c r="C214" s="22">
        <v>3</v>
      </c>
      <c r="D214" s="309"/>
      <c r="E214" s="310"/>
      <c r="F214" s="310"/>
      <c r="G214" s="310"/>
      <c r="H214" s="310"/>
      <c r="I214" s="311"/>
      <c r="J214" s="307"/>
      <c r="K214" s="308"/>
      <c r="L214" s="23"/>
    </row>
    <row r="215" spans="1:12" ht="18.45" customHeight="1">
      <c r="A215" s="314"/>
      <c r="B215" s="315"/>
      <c r="C215" s="22">
        <v>4</v>
      </c>
      <c r="D215" s="309"/>
      <c r="E215" s="310"/>
      <c r="F215" s="310"/>
      <c r="G215" s="310"/>
      <c r="H215" s="310"/>
      <c r="I215" s="311"/>
      <c r="J215" s="307"/>
      <c r="K215" s="308"/>
      <c r="L215" s="24"/>
    </row>
    <row r="216" spans="1:12" ht="18.45" customHeight="1">
      <c r="A216" s="314"/>
      <c r="B216" s="315"/>
      <c r="C216" s="22">
        <v>5</v>
      </c>
      <c r="D216" s="309"/>
      <c r="E216" s="310"/>
      <c r="F216" s="310"/>
      <c r="G216" s="310"/>
      <c r="H216" s="310"/>
      <c r="I216" s="311"/>
      <c r="J216" s="307"/>
      <c r="K216" s="308"/>
      <c r="L216" s="24"/>
    </row>
    <row r="217" spans="1:12" ht="18.45" customHeight="1">
      <c r="A217" s="314"/>
      <c r="B217" s="315"/>
      <c r="C217" s="22">
        <v>6</v>
      </c>
      <c r="D217" s="309"/>
      <c r="E217" s="310"/>
      <c r="F217" s="310"/>
      <c r="G217" s="310"/>
      <c r="H217" s="310"/>
      <c r="I217" s="311"/>
      <c r="J217" s="307"/>
      <c r="K217" s="308"/>
      <c r="L217" s="24"/>
    </row>
    <row r="218" spans="1:12" ht="18.45" customHeight="1">
      <c r="A218" s="316"/>
      <c r="B218" s="317"/>
      <c r="C218" s="22">
        <v>7</v>
      </c>
      <c r="D218" s="309"/>
      <c r="E218" s="310"/>
      <c r="F218" s="310"/>
      <c r="G218" s="310"/>
      <c r="H218" s="310"/>
      <c r="I218" s="311"/>
      <c r="J218" s="307"/>
      <c r="K218" s="308"/>
      <c r="L218" s="24"/>
    </row>
    <row r="219" spans="1:12" ht="18.45" customHeight="1">
      <c r="A219" s="312"/>
      <c r="B219" s="313"/>
      <c r="C219" s="22">
        <v>1</v>
      </c>
      <c r="D219" s="309"/>
      <c r="E219" s="310"/>
      <c r="F219" s="310"/>
      <c r="G219" s="310"/>
      <c r="H219" s="310"/>
      <c r="I219" s="311"/>
      <c r="J219" s="307"/>
      <c r="K219" s="308"/>
      <c r="L219" s="23"/>
    </row>
    <row r="220" spans="1:12" ht="18.45" customHeight="1">
      <c r="A220" s="314"/>
      <c r="B220" s="315"/>
      <c r="C220" s="22">
        <v>2</v>
      </c>
      <c r="D220" s="309"/>
      <c r="E220" s="310"/>
      <c r="F220" s="310"/>
      <c r="G220" s="310"/>
      <c r="H220" s="310"/>
      <c r="I220" s="311"/>
      <c r="J220" s="307"/>
      <c r="K220" s="308"/>
      <c r="L220" s="23"/>
    </row>
    <row r="221" spans="1:12" ht="18.45" customHeight="1">
      <c r="A221" s="314"/>
      <c r="B221" s="315"/>
      <c r="C221" s="22">
        <v>3</v>
      </c>
      <c r="D221" s="309"/>
      <c r="E221" s="310"/>
      <c r="F221" s="310"/>
      <c r="G221" s="310"/>
      <c r="H221" s="310"/>
      <c r="I221" s="311"/>
      <c r="J221" s="307"/>
      <c r="K221" s="308"/>
      <c r="L221" s="23"/>
    </row>
    <row r="222" spans="1:12" ht="18.45" customHeight="1">
      <c r="A222" s="314"/>
      <c r="B222" s="315"/>
      <c r="C222" s="22">
        <v>4</v>
      </c>
      <c r="D222" s="309"/>
      <c r="E222" s="310"/>
      <c r="F222" s="310"/>
      <c r="G222" s="310"/>
      <c r="H222" s="310"/>
      <c r="I222" s="311"/>
      <c r="J222" s="307"/>
      <c r="K222" s="308"/>
      <c r="L222" s="23"/>
    </row>
    <row r="223" spans="1:12" ht="18.45" customHeight="1">
      <c r="A223" s="314"/>
      <c r="B223" s="315"/>
      <c r="C223" s="22">
        <v>5</v>
      </c>
      <c r="D223" s="309"/>
      <c r="E223" s="310"/>
      <c r="F223" s="310"/>
      <c r="G223" s="310"/>
      <c r="H223" s="310"/>
      <c r="I223" s="311"/>
      <c r="J223" s="307"/>
      <c r="K223" s="308"/>
      <c r="L223" s="23"/>
    </row>
    <row r="224" spans="1:12" ht="18.45" customHeight="1">
      <c r="A224" s="314"/>
      <c r="B224" s="315"/>
      <c r="C224" s="22">
        <v>6</v>
      </c>
      <c r="D224" s="309"/>
      <c r="E224" s="310"/>
      <c r="F224" s="310"/>
      <c r="G224" s="310"/>
      <c r="H224" s="310"/>
      <c r="I224" s="311"/>
      <c r="J224" s="307"/>
      <c r="K224" s="308"/>
      <c r="L224" s="23"/>
    </row>
    <row r="225" spans="1:12" ht="18.45" customHeight="1">
      <c r="A225" s="316"/>
      <c r="B225" s="317"/>
      <c r="C225" s="22">
        <v>7</v>
      </c>
      <c r="D225" s="309"/>
      <c r="E225" s="310"/>
      <c r="F225" s="310"/>
      <c r="G225" s="310"/>
      <c r="H225" s="310"/>
      <c r="I225" s="311"/>
      <c r="J225" s="307"/>
      <c r="K225" s="308"/>
      <c r="L225" s="24"/>
    </row>
    <row r="226" spans="1:12" ht="18.45" customHeight="1">
      <c r="A226" s="312"/>
      <c r="B226" s="313"/>
      <c r="C226" s="22">
        <v>1</v>
      </c>
      <c r="D226" s="309"/>
      <c r="E226" s="310"/>
      <c r="F226" s="310"/>
      <c r="G226" s="310"/>
      <c r="H226" s="310"/>
      <c r="I226" s="311"/>
      <c r="J226" s="307"/>
      <c r="K226" s="308"/>
      <c r="L226" s="23"/>
    </row>
    <row r="227" spans="1:12" ht="18.45" customHeight="1">
      <c r="A227" s="314"/>
      <c r="B227" s="315"/>
      <c r="C227" s="22">
        <v>2</v>
      </c>
      <c r="D227" s="309"/>
      <c r="E227" s="310"/>
      <c r="F227" s="310"/>
      <c r="G227" s="310"/>
      <c r="H227" s="310"/>
      <c r="I227" s="311"/>
      <c r="J227" s="307"/>
      <c r="K227" s="308"/>
      <c r="L227" s="23"/>
    </row>
    <row r="228" spans="1:12" ht="18.45" customHeight="1">
      <c r="A228" s="314"/>
      <c r="B228" s="315"/>
      <c r="C228" s="22">
        <v>3</v>
      </c>
      <c r="D228" s="309"/>
      <c r="E228" s="310"/>
      <c r="F228" s="310"/>
      <c r="G228" s="310"/>
      <c r="H228" s="310"/>
      <c r="I228" s="311"/>
      <c r="J228" s="307"/>
      <c r="K228" s="308"/>
      <c r="L228" s="24"/>
    </row>
    <row r="229" spans="1:12" ht="18.45" customHeight="1">
      <c r="A229" s="314"/>
      <c r="B229" s="315"/>
      <c r="C229" s="22">
        <v>4</v>
      </c>
      <c r="D229" s="309"/>
      <c r="E229" s="310"/>
      <c r="F229" s="310"/>
      <c r="G229" s="310"/>
      <c r="H229" s="310"/>
      <c r="I229" s="311"/>
      <c r="J229" s="307"/>
      <c r="K229" s="308"/>
      <c r="L229" s="24"/>
    </row>
    <row r="230" spans="1:12" ht="18.45" customHeight="1">
      <c r="A230" s="314"/>
      <c r="B230" s="315"/>
      <c r="C230" s="22">
        <v>5</v>
      </c>
      <c r="D230" s="309"/>
      <c r="E230" s="310"/>
      <c r="F230" s="310"/>
      <c r="G230" s="310"/>
      <c r="H230" s="310"/>
      <c r="I230" s="311"/>
      <c r="J230" s="307"/>
      <c r="K230" s="308"/>
      <c r="L230" s="24"/>
    </row>
    <row r="231" spans="1:12" ht="18.45" customHeight="1">
      <c r="A231" s="314"/>
      <c r="B231" s="315"/>
      <c r="C231" s="22">
        <v>6</v>
      </c>
      <c r="D231" s="309"/>
      <c r="E231" s="310"/>
      <c r="F231" s="310"/>
      <c r="G231" s="310"/>
      <c r="H231" s="310"/>
      <c r="I231" s="311"/>
      <c r="J231" s="307"/>
      <c r="K231" s="308"/>
      <c r="L231" s="24"/>
    </row>
    <row r="232" spans="1:12" ht="18.45" customHeight="1">
      <c r="A232" s="316"/>
      <c r="B232" s="317"/>
      <c r="C232" s="22">
        <v>7</v>
      </c>
      <c r="D232" s="309"/>
      <c r="E232" s="310"/>
      <c r="F232" s="310"/>
      <c r="G232" s="310"/>
      <c r="H232" s="310"/>
      <c r="I232" s="311"/>
      <c r="J232" s="307"/>
      <c r="K232" s="308"/>
      <c r="L232" s="24"/>
    </row>
    <row r="233" spans="1:12" ht="18.45" customHeight="1">
      <c r="A233" s="312"/>
      <c r="B233" s="313"/>
      <c r="C233" s="22">
        <v>1</v>
      </c>
      <c r="D233" s="309"/>
      <c r="E233" s="310"/>
      <c r="F233" s="310"/>
      <c r="G233" s="310"/>
      <c r="H233" s="310"/>
      <c r="I233" s="311"/>
      <c r="J233" s="307"/>
      <c r="K233" s="308"/>
      <c r="L233" s="23"/>
    </row>
    <row r="234" spans="1:12" ht="18.45" customHeight="1">
      <c r="A234" s="314"/>
      <c r="B234" s="315"/>
      <c r="C234" s="22">
        <v>2</v>
      </c>
      <c r="D234" s="309"/>
      <c r="E234" s="310"/>
      <c r="F234" s="310"/>
      <c r="G234" s="310"/>
      <c r="H234" s="310"/>
      <c r="I234" s="311"/>
      <c r="J234" s="307"/>
      <c r="K234" s="308"/>
      <c r="L234" s="23"/>
    </row>
    <row r="235" spans="1:12" ht="18.45" customHeight="1">
      <c r="A235" s="314"/>
      <c r="B235" s="315"/>
      <c r="C235" s="22">
        <v>3</v>
      </c>
      <c r="D235" s="309"/>
      <c r="E235" s="310"/>
      <c r="F235" s="310"/>
      <c r="G235" s="310"/>
      <c r="H235" s="310"/>
      <c r="I235" s="311"/>
      <c r="J235" s="307"/>
      <c r="K235" s="308"/>
      <c r="L235" s="23"/>
    </row>
    <row r="236" spans="1:12" ht="18.45" customHeight="1">
      <c r="A236" s="314"/>
      <c r="B236" s="315"/>
      <c r="C236" s="22">
        <v>4</v>
      </c>
      <c r="D236" s="309"/>
      <c r="E236" s="310"/>
      <c r="F236" s="310"/>
      <c r="G236" s="310"/>
      <c r="H236" s="310"/>
      <c r="I236" s="311"/>
      <c r="J236" s="307"/>
      <c r="K236" s="308"/>
      <c r="L236" s="24"/>
    </row>
    <row r="237" spans="1:12" ht="18.45" customHeight="1">
      <c r="A237" s="314"/>
      <c r="B237" s="315"/>
      <c r="C237" s="22">
        <v>5</v>
      </c>
      <c r="D237" s="309"/>
      <c r="E237" s="310"/>
      <c r="F237" s="310"/>
      <c r="G237" s="310"/>
      <c r="H237" s="310"/>
      <c r="I237" s="311"/>
      <c r="J237" s="307"/>
      <c r="K237" s="308"/>
      <c r="L237" s="24"/>
    </row>
    <row r="238" spans="1:12" ht="18.45" customHeight="1">
      <c r="A238" s="314"/>
      <c r="B238" s="315"/>
      <c r="C238" s="22">
        <v>6</v>
      </c>
      <c r="D238" s="309"/>
      <c r="E238" s="310"/>
      <c r="F238" s="310"/>
      <c r="G238" s="310"/>
      <c r="H238" s="310"/>
      <c r="I238" s="311"/>
      <c r="J238" s="307"/>
      <c r="K238" s="308"/>
      <c r="L238" s="24"/>
    </row>
    <row r="239" spans="1:12" ht="18.45" customHeight="1">
      <c r="A239" s="316"/>
      <c r="B239" s="317"/>
      <c r="C239" s="22">
        <v>7</v>
      </c>
      <c r="D239" s="309"/>
      <c r="E239" s="310"/>
      <c r="F239" s="310"/>
      <c r="G239" s="310"/>
      <c r="H239" s="310"/>
      <c r="I239" s="311"/>
      <c r="J239" s="307"/>
      <c r="K239" s="308"/>
      <c r="L239" s="24"/>
    </row>
    <row r="240" spans="1:12" ht="18.45" customHeight="1">
      <c r="A240" s="312"/>
      <c r="B240" s="313"/>
      <c r="C240" s="22">
        <v>1</v>
      </c>
      <c r="D240" s="309"/>
      <c r="E240" s="310"/>
      <c r="F240" s="310"/>
      <c r="G240" s="310"/>
      <c r="H240" s="310"/>
      <c r="I240" s="311"/>
      <c r="J240" s="307"/>
      <c r="K240" s="308"/>
      <c r="L240" s="23"/>
    </row>
    <row r="241" spans="1:12" ht="18.45" customHeight="1">
      <c r="A241" s="314"/>
      <c r="B241" s="315"/>
      <c r="C241" s="22">
        <v>2</v>
      </c>
      <c r="D241" s="309"/>
      <c r="E241" s="310"/>
      <c r="F241" s="310"/>
      <c r="G241" s="310"/>
      <c r="H241" s="310"/>
      <c r="I241" s="311"/>
      <c r="J241" s="307"/>
      <c r="K241" s="308"/>
      <c r="L241" s="24"/>
    </row>
    <row r="242" spans="1:12" ht="18.45" customHeight="1">
      <c r="A242" s="314"/>
      <c r="B242" s="315"/>
      <c r="C242" s="22">
        <v>3</v>
      </c>
      <c r="D242" s="309"/>
      <c r="E242" s="310"/>
      <c r="F242" s="310"/>
      <c r="G242" s="310"/>
      <c r="H242" s="310"/>
      <c r="I242" s="311"/>
      <c r="J242" s="307"/>
      <c r="K242" s="308"/>
      <c r="L242" s="24"/>
    </row>
    <row r="243" spans="1:12" ht="18.45" customHeight="1">
      <c r="A243" s="314"/>
      <c r="B243" s="315"/>
      <c r="C243" s="22">
        <v>4</v>
      </c>
      <c r="D243" s="309"/>
      <c r="E243" s="310"/>
      <c r="F243" s="310"/>
      <c r="G243" s="310"/>
      <c r="H243" s="310"/>
      <c r="I243" s="311"/>
      <c r="J243" s="307"/>
      <c r="K243" s="308"/>
      <c r="L243" s="24"/>
    </row>
    <row r="244" spans="1:12" ht="18.45" customHeight="1">
      <c r="A244" s="314"/>
      <c r="B244" s="315"/>
      <c r="C244" s="22">
        <v>5</v>
      </c>
      <c r="D244" s="309"/>
      <c r="E244" s="310"/>
      <c r="F244" s="310"/>
      <c r="G244" s="310"/>
      <c r="H244" s="310"/>
      <c r="I244" s="311"/>
      <c r="J244" s="307"/>
      <c r="K244" s="308"/>
      <c r="L244" s="24"/>
    </row>
    <row r="245" spans="1:12" ht="18.45" customHeight="1">
      <c r="A245" s="314"/>
      <c r="B245" s="315"/>
      <c r="C245" s="22">
        <v>6</v>
      </c>
      <c r="D245" s="309"/>
      <c r="E245" s="310"/>
      <c r="F245" s="310"/>
      <c r="G245" s="310"/>
      <c r="H245" s="310"/>
      <c r="I245" s="311"/>
      <c r="J245" s="307"/>
      <c r="K245" s="308"/>
      <c r="L245" s="24"/>
    </row>
    <row r="246" spans="1:12" ht="18.45" customHeight="1">
      <c r="A246" s="316"/>
      <c r="B246" s="317"/>
      <c r="C246" s="22">
        <v>7</v>
      </c>
      <c r="D246" s="309"/>
      <c r="E246" s="310"/>
      <c r="F246" s="310"/>
      <c r="G246" s="310"/>
      <c r="H246" s="310"/>
      <c r="I246" s="311"/>
      <c r="J246" s="307"/>
      <c r="K246" s="308"/>
      <c r="L246" s="24"/>
    </row>
    <row r="247" spans="1:12" ht="18.45" customHeight="1">
      <c r="A247" s="312"/>
      <c r="B247" s="313"/>
      <c r="C247" s="22">
        <v>1</v>
      </c>
      <c r="D247" s="309"/>
      <c r="E247" s="310"/>
      <c r="F247" s="310"/>
      <c r="G247" s="310"/>
      <c r="H247" s="310"/>
      <c r="I247" s="311"/>
      <c r="J247" s="307"/>
      <c r="K247" s="308"/>
      <c r="L247" s="24"/>
    </row>
    <row r="248" spans="1:12" ht="18.45" customHeight="1">
      <c r="A248" s="314"/>
      <c r="B248" s="315"/>
      <c r="C248" s="22">
        <v>2</v>
      </c>
      <c r="D248" s="309"/>
      <c r="E248" s="310"/>
      <c r="F248" s="310"/>
      <c r="G248" s="310"/>
      <c r="H248" s="310"/>
      <c r="I248" s="311"/>
      <c r="J248" s="307"/>
      <c r="K248" s="308"/>
      <c r="L248" s="23"/>
    </row>
    <row r="249" spans="1:12" ht="18.45" customHeight="1">
      <c r="A249" s="314"/>
      <c r="B249" s="315"/>
      <c r="C249" s="22">
        <v>3</v>
      </c>
      <c r="D249" s="309"/>
      <c r="E249" s="310"/>
      <c r="F249" s="310"/>
      <c r="G249" s="310"/>
      <c r="H249" s="310"/>
      <c r="I249" s="311"/>
      <c r="J249" s="307"/>
      <c r="K249" s="308"/>
      <c r="L249" s="24"/>
    </row>
    <row r="250" spans="1:12" ht="18.45" customHeight="1">
      <c r="A250" s="314"/>
      <c r="B250" s="315"/>
      <c r="C250" s="22">
        <v>4</v>
      </c>
      <c r="D250" s="309"/>
      <c r="E250" s="310"/>
      <c r="F250" s="310"/>
      <c r="G250" s="310"/>
      <c r="H250" s="310"/>
      <c r="I250" s="311"/>
      <c r="J250" s="307"/>
      <c r="K250" s="308"/>
      <c r="L250" s="24"/>
    </row>
    <row r="251" spans="1:12" ht="18.45" customHeight="1">
      <c r="A251" s="314"/>
      <c r="B251" s="315"/>
      <c r="C251" s="22">
        <v>5</v>
      </c>
      <c r="D251" s="309"/>
      <c r="E251" s="310"/>
      <c r="F251" s="310"/>
      <c r="G251" s="310"/>
      <c r="H251" s="310"/>
      <c r="I251" s="311"/>
      <c r="J251" s="307"/>
      <c r="K251" s="308"/>
      <c r="L251" s="24"/>
    </row>
    <row r="252" spans="1:12" ht="18.45" customHeight="1">
      <c r="A252" s="314"/>
      <c r="B252" s="315"/>
      <c r="C252" s="22">
        <v>6</v>
      </c>
      <c r="D252" s="309"/>
      <c r="E252" s="310"/>
      <c r="F252" s="310"/>
      <c r="G252" s="310"/>
      <c r="H252" s="310"/>
      <c r="I252" s="311"/>
      <c r="J252" s="307"/>
      <c r="K252" s="308"/>
      <c r="L252" s="24"/>
    </row>
    <row r="253" spans="1:12" ht="18.45" customHeight="1">
      <c r="A253" s="316"/>
      <c r="B253" s="317"/>
      <c r="C253" s="22">
        <v>7</v>
      </c>
      <c r="D253" s="309"/>
      <c r="E253" s="310"/>
      <c r="F253" s="310"/>
      <c r="G253" s="310"/>
      <c r="H253" s="310"/>
      <c r="I253" s="311"/>
      <c r="J253" s="307"/>
      <c r="K253" s="308"/>
      <c r="L253" s="24"/>
    </row>
    <row r="254" spans="1:12" ht="18.45" customHeight="1">
      <c r="A254" s="312"/>
      <c r="B254" s="313"/>
      <c r="C254" s="22">
        <v>1</v>
      </c>
      <c r="D254" s="309"/>
      <c r="E254" s="310"/>
      <c r="F254" s="310"/>
      <c r="G254" s="310"/>
      <c r="H254" s="310"/>
      <c r="I254" s="311"/>
      <c r="J254" s="307"/>
      <c r="K254" s="308"/>
      <c r="L254" s="24"/>
    </row>
    <row r="255" spans="1:12" ht="18.45" customHeight="1">
      <c r="A255" s="314"/>
      <c r="B255" s="315"/>
      <c r="C255" s="22">
        <v>2</v>
      </c>
      <c r="D255" s="309"/>
      <c r="E255" s="310"/>
      <c r="F255" s="310"/>
      <c r="G255" s="310"/>
      <c r="H255" s="310"/>
      <c r="I255" s="311"/>
      <c r="J255" s="307"/>
      <c r="K255" s="308"/>
      <c r="L255" s="24"/>
    </row>
    <row r="256" spans="1:12" ht="18.45" customHeight="1">
      <c r="A256" s="314"/>
      <c r="B256" s="315"/>
      <c r="C256" s="22">
        <v>3</v>
      </c>
      <c r="D256" s="309"/>
      <c r="E256" s="310"/>
      <c r="F256" s="310"/>
      <c r="G256" s="310"/>
      <c r="H256" s="310"/>
      <c r="I256" s="311"/>
      <c r="J256" s="307"/>
      <c r="K256" s="308"/>
      <c r="L256" s="24"/>
    </row>
    <row r="257" spans="1:12" ht="18.45" customHeight="1">
      <c r="A257" s="314"/>
      <c r="B257" s="315"/>
      <c r="C257" s="22">
        <v>4</v>
      </c>
      <c r="D257" s="309"/>
      <c r="E257" s="310"/>
      <c r="F257" s="310"/>
      <c r="G257" s="310"/>
      <c r="H257" s="310"/>
      <c r="I257" s="311"/>
      <c r="J257" s="307"/>
      <c r="K257" s="308"/>
      <c r="L257" s="24"/>
    </row>
    <row r="258" spans="1:12" ht="18.45" customHeight="1">
      <c r="A258" s="314"/>
      <c r="B258" s="315"/>
      <c r="C258" s="22">
        <v>5</v>
      </c>
      <c r="D258" s="309"/>
      <c r="E258" s="310"/>
      <c r="F258" s="310"/>
      <c r="G258" s="310"/>
      <c r="H258" s="310"/>
      <c r="I258" s="311"/>
      <c r="J258" s="307"/>
      <c r="K258" s="308"/>
      <c r="L258" s="24"/>
    </row>
    <row r="259" spans="1:12" ht="18.45" customHeight="1">
      <c r="A259" s="314"/>
      <c r="B259" s="315"/>
      <c r="C259" s="22">
        <v>6</v>
      </c>
      <c r="D259" s="309"/>
      <c r="E259" s="310"/>
      <c r="F259" s="310"/>
      <c r="G259" s="310"/>
      <c r="H259" s="310"/>
      <c r="I259" s="311"/>
      <c r="J259" s="307"/>
      <c r="K259" s="308"/>
      <c r="L259" s="24"/>
    </row>
    <row r="260" spans="1:12" ht="18.45" customHeight="1">
      <c r="A260" s="316"/>
      <c r="B260" s="317"/>
      <c r="C260" s="22">
        <v>7</v>
      </c>
      <c r="D260" s="309"/>
      <c r="E260" s="310"/>
      <c r="F260" s="310"/>
      <c r="G260" s="310"/>
      <c r="H260" s="310"/>
      <c r="I260" s="311"/>
      <c r="J260" s="307"/>
      <c r="K260" s="308"/>
      <c r="L260" s="24"/>
    </row>
    <row r="261" spans="1:12" ht="18.45" customHeight="1">
      <c r="A261" s="312"/>
      <c r="B261" s="313"/>
      <c r="C261" s="22">
        <v>1</v>
      </c>
      <c r="D261" s="309"/>
      <c r="E261" s="310"/>
      <c r="F261" s="310"/>
      <c r="G261" s="310"/>
      <c r="H261" s="310"/>
      <c r="I261" s="311"/>
      <c r="J261" s="307"/>
      <c r="K261" s="308"/>
      <c r="L261" s="24"/>
    </row>
    <row r="262" spans="1:12" ht="18.45" customHeight="1">
      <c r="A262" s="314"/>
      <c r="B262" s="315"/>
      <c r="C262" s="22">
        <v>2</v>
      </c>
      <c r="D262" s="309"/>
      <c r="E262" s="310"/>
      <c r="F262" s="310"/>
      <c r="G262" s="310"/>
      <c r="H262" s="310"/>
      <c r="I262" s="311"/>
      <c r="J262" s="307"/>
      <c r="K262" s="308"/>
      <c r="L262" s="24"/>
    </row>
    <row r="263" spans="1:12" ht="18.45" customHeight="1">
      <c r="A263" s="314"/>
      <c r="B263" s="315"/>
      <c r="C263" s="22">
        <v>3</v>
      </c>
      <c r="D263" s="309"/>
      <c r="E263" s="310"/>
      <c r="F263" s="310"/>
      <c r="G263" s="310"/>
      <c r="H263" s="310"/>
      <c r="I263" s="311"/>
      <c r="J263" s="307"/>
      <c r="K263" s="308"/>
      <c r="L263" s="24"/>
    </row>
    <row r="264" spans="1:12" ht="18.45" customHeight="1">
      <c r="A264" s="314"/>
      <c r="B264" s="315"/>
      <c r="C264" s="22">
        <v>4</v>
      </c>
      <c r="D264" s="309"/>
      <c r="E264" s="310"/>
      <c r="F264" s="310"/>
      <c r="G264" s="310"/>
      <c r="H264" s="310"/>
      <c r="I264" s="311"/>
      <c r="J264" s="307"/>
      <c r="K264" s="308"/>
      <c r="L264" s="24"/>
    </row>
    <row r="265" spans="1:12" ht="18.45" customHeight="1">
      <c r="A265" s="314"/>
      <c r="B265" s="315"/>
      <c r="C265" s="22">
        <v>5</v>
      </c>
      <c r="D265" s="309"/>
      <c r="E265" s="310"/>
      <c r="F265" s="310"/>
      <c r="G265" s="310"/>
      <c r="H265" s="310"/>
      <c r="I265" s="311"/>
      <c r="J265" s="307"/>
      <c r="K265" s="308"/>
      <c r="L265" s="24"/>
    </row>
    <row r="266" spans="1:12" ht="18.45" customHeight="1">
      <c r="A266" s="314"/>
      <c r="B266" s="315"/>
      <c r="C266" s="22">
        <v>6</v>
      </c>
      <c r="D266" s="309"/>
      <c r="E266" s="310"/>
      <c r="F266" s="310"/>
      <c r="G266" s="310"/>
      <c r="H266" s="310"/>
      <c r="I266" s="311"/>
      <c r="J266" s="307"/>
      <c r="K266" s="308"/>
      <c r="L266" s="24"/>
    </row>
    <row r="267" spans="1:12" ht="18.45" customHeight="1">
      <c r="A267" s="316"/>
      <c r="B267" s="317"/>
      <c r="C267" s="22">
        <v>7</v>
      </c>
      <c r="D267" s="309"/>
      <c r="E267" s="310"/>
      <c r="F267" s="310"/>
      <c r="G267" s="310"/>
      <c r="H267" s="310"/>
      <c r="I267" s="311"/>
      <c r="J267" s="307"/>
      <c r="K267" s="308"/>
      <c r="L267" s="24"/>
    </row>
    <row r="268" spans="1:12" ht="18.45" customHeight="1">
      <c r="A268" s="312"/>
      <c r="B268" s="313"/>
      <c r="C268" s="22">
        <v>1</v>
      </c>
      <c r="D268" s="309"/>
      <c r="E268" s="310"/>
      <c r="F268" s="310"/>
      <c r="G268" s="310"/>
      <c r="H268" s="310"/>
      <c r="I268" s="311"/>
      <c r="J268" s="307"/>
      <c r="K268" s="308"/>
      <c r="L268" s="23"/>
    </row>
    <row r="269" spans="1:12" ht="18.45" customHeight="1">
      <c r="A269" s="314"/>
      <c r="B269" s="315"/>
      <c r="C269" s="22">
        <v>2</v>
      </c>
      <c r="D269" s="309"/>
      <c r="E269" s="310"/>
      <c r="F269" s="310"/>
      <c r="G269" s="310"/>
      <c r="H269" s="310"/>
      <c r="I269" s="311"/>
      <c r="J269" s="307"/>
      <c r="K269" s="308"/>
      <c r="L269" s="24"/>
    </row>
    <row r="270" spans="1:12" ht="18.45" customHeight="1">
      <c r="A270" s="314"/>
      <c r="B270" s="315"/>
      <c r="C270" s="22">
        <v>3</v>
      </c>
      <c r="D270" s="309"/>
      <c r="E270" s="310"/>
      <c r="F270" s="310"/>
      <c r="G270" s="310"/>
      <c r="H270" s="310"/>
      <c r="I270" s="311"/>
      <c r="J270" s="307"/>
      <c r="K270" s="308"/>
      <c r="L270" s="24"/>
    </row>
    <row r="271" spans="1:12" ht="18.45" customHeight="1">
      <c r="A271" s="314"/>
      <c r="B271" s="315"/>
      <c r="C271" s="22">
        <v>4</v>
      </c>
      <c r="D271" s="309"/>
      <c r="E271" s="310"/>
      <c r="F271" s="310"/>
      <c r="G271" s="310"/>
      <c r="H271" s="310"/>
      <c r="I271" s="311"/>
      <c r="J271" s="307"/>
      <c r="K271" s="308"/>
      <c r="L271" s="24"/>
    </row>
    <row r="272" spans="1:12" ht="18.45" customHeight="1">
      <c r="A272" s="314"/>
      <c r="B272" s="315"/>
      <c r="C272" s="22">
        <v>5</v>
      </c>
      <c r="D272" s="309"/>
      <c r="E272" s="310"/>
      <c r="F272" s="310"/>
      <c r="G272" s="310"/>
      <c r="H272" s="310"/>
      <c r="I272" s="311"/>
      <c r="J272" s="307"/>
      <c r="K272" s="308"/>
      <c r="L272" s="24"/>
    </row>
    <row r="273" spans="1:12" ht="18.45" customHeight="1">
      <c r="A273" s="314"/>
      <c r="B273" s="315"/>
      <c r="C273" s="22">
        <v>6</v>
      </c>
      <c r="D273" s="309"/>
      <c r="E273" s="310"/>
      <c r="F273" s="310"/>
      <c r="G273" s="310"/>
      <c r="H273" s="310"/>
      <c r="I273" s="311"/>
      <c r="J273" s="307"/>
      <c r="K273" s="308"/>
      <c r="L273" s="24"/>
    </row>
    <row r="274" spans="1:12" ht="18.45" customHeight="1">
      <c r="A274" s="316"/>
      <c r="B274" s="317"/>
      <c r="C274" s="22">
        <v>7</v>
      </c>
      <c r="D274" s="309"/>
      <c r="E274" s="310"/>
      <c r="F274" s="310"/>
      <c r="G274" s="310"/>
      <c r="H274" s="310"/>
      <c r="I274" s="311"/>
      <c r="J274" s="307"/>
      <c r="K274" s="308"/>
      <c r="L274" s="24"/>
    </row>
    <row r="275" spans="1:12" ht="18.45" customHeight="1">
      <c r="A275" s="312"/>
      <c r="B275" s="313"/>
      <c r="C275" s="22">
        <v>1</v>
      </c>
      <c r="D275" s="309"/>
      <c r="E275" s="310"/>
      <c r="F275" s="310"/>
      <c r="G275" s="310"/>
      <c r="H275" s="310"/>
      <c r="I275" s="311"/>
      <c r="J275" s="307"/>
      <c r="K275" s="308"/>
      <c r="L275" s="23"/>
    </row>
    <row r="276" spans="1:12" ht="18.45" customHeight="1">
      <c r="A276" s="314"/>
      <c r="B276" s="315"/>
      <c r="C276" s="22">
        <v>2</v>
      </c>
      <c r="D276" s="309"/>
      <c r="E276" s="310"/>
      <c r="F276" s="310"/>
      <c r="G276" s="310"/>
      <c r="H276" s="310"/>
      <c r="I276" s="311"/>
      <c r="J276" s="307"/>
      <c r="K276" s="308"/>
      <c r="L276" s="23"/>
    </row>
    <row r="277" spans="1:12" ht="18.45" customHeight="1">
      <c r="A277" s="314"/>
      <c r="B277" s="315"/>
      <c r="C277" s="22">
        <v>3</v>
      </c>
      <c r="D277" s="309"/>
      <c r="E277" s="310"/>
      <c r="F277" s="310"/>
      <c r="G277" s="310"/>
      <c r="H277" s="310"/>
      <c r="I277" s="311"/>
      <c r="J277" s="307"/>
      <c r="K277" s="308"/>
      <c r="L277" s="23"/>
    </row>
    <row r="278" spans="1:12" ht="18.45" customHeight="1">
      <c r="A278" s="314"/>
      <c r="B278" s="315"/>
      <c r="C278" s="22">
        <v>4</v>
      </c>
      <c r="D278" s="309"/>
      <c r="E278" s="310"/>
      <c r="F278" s="310"/>
      <c r="G278" s="310"/>
      <c r="H278" s="310"/>
      <c r="I278" s="311"/>
      <c r="J278" s="307"/>
      <c r="K278" s="308"/>
      <c r="L278" s="23"/>
    </row>
    <row r="279" spans="1:12" ht="18.45" customHeight="1">
      <c r="A279" s="314"/>
      <c r="B279" s="315"/>
      <c r="C279" s="22">
        <v>5</v>
      </c>
      <c r="D279" s="309"/>
      <c r="E279" s="310"/>
      <c r="F279" s="310"/>
      <c r="G279" s="310"/>
      <c r="H279" s="310"/>
      <c r="I279" s="311"/>
      <c r="J279" s="307"/>
      <c r="K279" s="308"/>
      <c r="L279" s="23"/>
    </row>
    <row r="280" spans="1:12" ht="18.45" customHeight="1">
      <c r="A280" s="314"/>
      <c r="B280" s="315"/>
      <c r="C280" s="22">
        <v>6</v>
      </c>
      <c r="D280" s="309"/>
      <c r="E280" s="310"/>
      <c r="F280" s="310"/>
      <c r="G280" s="310"/>
      <c r="H280" s="310"/>
      <c r="I280" s="311"/>
      <c r="J280" s="307"/>
      <c r="K280" s="308"/>
      <c r="L280" s="24"/>
    </row>
    <row r="281" spans="1:12" ht="18.45" customHeight="1">
      <c r="A281" s="316"/>
      <c r="B281" s="317"/>
      <c r="C281" s="22">
        <v>7</v>
      </c>
      <c r="D281" s="309"/>
      <c r="E281" s="310"/>
      <c r="F281" s="310"/>
      <c r="G281" s="310"/>
      <c r="H281" s="310"/>
      <c r="I281" s="311"/>
      <c r="J281" s="307"/>
      <c r="K281" s="308"/>
      <c r="L281" s="24"/>
    </row>
    <row r="282" spans="1:12" ht="18.45" customHeight="1">
      <c r="A282" s="312"/>
      <c r="B282" s="313"/>
      <c r="C282" s="22">
        <v>1</v>
      </c>
      <c r="D282" s="309"/>
      <c r="E282" s="310"/>
      <c r="F282" s="310"/>
      <c r="G282" s="310"/>
      <c r="H282" s="310"/>
      <c r="I282" s="311"/>
      <c r="J282" s="307"/>
      <c r="K282" s="308"/>
      <c r="L282" s="24"/>
    </row>
    <row r="283" spans="1:12" ht="18.45" customHeight="1">
      <c r="A283" s="314"/>
      <c r="B283" s="315"/>
      <c r="C283" s="22">
        <v>2</v>
      </c>
      <c r="D283" s="309"/>
      <c r="E283" s="310"/>
      <c r="F283" s="310"/>
      <c r="G283" s="310"/>
      <c r="H283" s="310"/>
      <c r="I283" s="311"/>
      <c r="J283" s="307"/>
      <c r="K283" s="308"/>
      <c r="L283" s="24"/>
    </row>
    <row r="284" spans="1:12" ht="18.45" customHeight="1">
      <c r="A284" s="314"/>
      <c r="B284" s="315"/>
      <c r="C284" s="22">
        <v>3</v>
      </c>
      <c r="D284" s="309"/>
      <c r="E284" s="310"/>
      <c r="F284" s="310"/>
      <c r="G284" s="310"/>
      <c r="H284" s="310"/>
      <c r="I284" s="311"/>
      <c r="J284" s="307"/>
      <c r="K284" s="308"/>
      <c r="L284" s="24"/>
    </row>
    <row r="285" spans="1:12" ht="18.45" customHeight="1">
      <c r="A285" s="314"/>
      <c r="B285" s="315"/>
      <c r="C285" s="22">
        <v>4</v>
      </c>
      <c r="D285" s="309"/>
      <c r="E285" s="310"/>
      <c r="F285" s="310"/>
      <c r="G285" s="310"/>
      <c r="H285" s="310"/>
      <c r="I285" s="311"/>
      <c r="J285" s="307"/>
      <c r="K285" s="308"/>
      <c r="L285" s="24"/>
    </row>
    <row r="286" spans="1:12" ht="18.45" customHeight="1">
      <c r="A286" s="314"/>
      <c r="B286" s="315"/>
      <c r="C286" s="22">
        <v>5</v>
      </c>
      <c r="D286" s="309"/>
      <c r="E286" s="310"/>
      <c r="F286" s="310"/>
      <c r="G286" s="310"/>
      <c r="H286" s="310"/>
      <c r="I286" s="311"/>
      <c r="J286" s="307"/>
      <c r="K286" s="308"/>
      <c r="L286" s="24"/>
    </row>
    <row r="287" spans="1:12" ht="18.45" customHeight="1">
      <c r="A287" s="314"/>
      <c r="B287" s="315"/>
      <c r="C287" s="22">
        <v>6</v>
      </c>
      <c r="D287" s="309"/>
      <c r="E287" s="310"/>
      <c r="F287" s="310"/>
      <c r="G287" s="310"/>
      <c r="H287" s="310"/>
      <c r="I287" s="311"/>
      <c r="J287" s="307"/>
      <c r="K287" s="308"/>
      <c r="L287" s="24"/>
    </row>
    <row r="288" spans="1:12" ht="18.45" customHeight="1">
      <c r="A288" s="316"/>
      <c r="B288" s="317"/>
      <c r="C288" s="22">
        <v>7</v>
      </c>
      <c r="D288" s="309"/>
      <c r="E288" s="310"/>
      <c r="F288" s="310"/>
      <c r="G288" s="310"/>
      <c r="H288" s="310"/>
      <c r="I288" s="311"/>
      <c r="J288" s="307"/>
      <c r="K288" s="308"/>
      <c r="L288" s="24"/>
    </row>
    <row r="289" spans="1:12" ht="18.45" customHeight="1">
      <c r="A289" s="312"/>
      <c r="B289" s="313"/>
      <c r="C289" s="22">
        <v>1</v>
      </c>
      <c r="D289" s="309"/>
      <c r="E289" s="310"/>
      <c r="F289" s="310"/>
      <c r="G289" s="310"/>
      <c r="H289" s="310"/>
      <c r="I289" s="311"/>
      <c r="J289" s="307"/>
      <c r="K289" s="308"/>
      <c r="L289" s="24"/>
    </row>
    <row r="290" spans="1:12" ht="18.45" customHeight="1">
      <c r="A290" s="314"/>
      <c r="B290" s="315"/>
      <c r="C290" s="22">
        <v>2</v>
      </c>
      <c r="D290" s="309"/>
      <c r="E290" s="310"/>
      <c r="F290" s="310"/>
      <c r="G290" s="310"/>
      <c r="H290" s="310"/>
      <c r="I290" s="311"/>
      <c r="J290" s="307"/>
      <c r="K290" s="308"/>
      <c r="L290" s="24"/>
    </row>
    <row r="291" spans="1:12" ht="18.45" customHeight="1">
      <c r="A291" s="314"/>
      <c r="B291" s="315"/>
      <c r="C291" s="22">
        <v>3</v>
      </c>
      <c r="D291" s="309"/>
      <c r="E291" s="310"/>
      <c r="F291" s="310"/>
      <c r="G291" s="310"/>
      <c r="H291" s="310"/>
      <c r="I291" s="311"/>
      <c r="J291" s="307"/>
      <c r="K291" s="308"/>
      <c r="L291" s="24"/>
    </row>
    <row r="292" spans="1:12" ht="18.45" customHeight="1">
      <c r="A292" s="314"/>
      <c r="B292" s="315"/>
      <c r="C292" s="22">
        <v>4</v>
      </c>
      <c r="D292" s="309"/>
      <c r="E292" s="310"/>
      <c r="F292" s="310"/>
      <c r="G292" s="310"/>
      <c r="H292" s="310"/>
      <c r="I292" s="311"/>
      <c r="J292" s="307"/>
      <c r="K292" s="308"/>
      <c r="L292" s="24"/>
    </row>
    <row r="293" spans="1:12" ht="18.45" customHeight="1">
      <c r="A293" s="314"/>
      <c r="B293" s="315"/>
      <c r="C293" s="22">
        <v>5</v>
      </c>
      <c r="D293" s="309"/>
      <c r="E293" s="310"/>
      <c r="F293" s="310"/>
      <c r="G293" s="310"/>
      <c r="H293" s="310"/>
      <c r="I293" s="311"/>
      <c r="J293" s="307"/>
      <c r="K293" s="308"/>
      <c r="L293" s="24"/>
    </row>
    <row r="294" spans="1:12" ht="18.45" customHeight="1">
      <c r="A294" s="314"/>
      <c r="B294" s="315"/>
      <c r="C294" s="22">
        <v>6</v>
      </c>
      <c r="D294" s="309"/>
      <c r="E294" s="310"/>
      <c r="F294" s="310"/>
      <c r="G294" s="310"/>
      <c r="H294" s="310"/>
      <c r="I294" s="311"/>
      <c r="J294" s="307"/>
      <c r="K294" s="308"/>
      <c r="L294" s="24"/>
    </row>
    <row r="295" spans="1:12" ht="18.45" customHeight="1">
      <c r="A295" s="316"/>
      <c r="B295" s="317"/>
      <c r="C295" s="22">
        <v>7</v>
      </c>
      <c r="D295" s="309"/>
      <c r="E295" s="310"/>
      <c r="F295" s="310"/>
      <c r="G295" s="310"/>
      <c r="H295" s="310"/>
      <c r="I295" s="311"/>
      <c r="J295" s="307"/>
      <c r="K295" s="308"/>
      <c r="L295" s="24"/>
    </row>
    <row r="296" spans="1:12" ht="18.45" customHeight="1">
      <c r="A296" s="312"/>
      <c r="B296" s="313"/>
      <c r="C296" s="22">
        <v>1</v>
      </c>
      <c r="D296" s="309"/>
      <c r="E296" s="310"/>
      <c r="F296" s="310"/>
      <c r="G296" s="310"/>
      <c r="H296" s="310"/>
      <c r="I296" s="311"/>
      <c r="J296" s="307"/>
      <c r="K296" s="308"/>
      <c r="L296" s="24"/>
    </row>
    <row r="297" spans="1:12" ht="18.45" customHeight="1">
      <c r="A297" s="314"/>
      <c r="B297" s="315"/>
      <c r="C297" s="22">
        <v>2</v>
      </c>
      <c r="D297" s="309"/>
      <c r="E297" s="310"/>
      <c r="F297" s="310"/>
      <c r="G297" s="310"/>
      <c r="H297" s="310"/>
      <c r="I297" s="311"/>
      <c r="J297" s="307"/>
      <c r="K297" s="308"/>
      <c r="L297" s="24"/>
    </row>
    <row r="298" spans="1:12" ht="18.45" customHeight="1">
      <c r="A298" s="314"/>
      <c r="B298" s="315"/>
      <c r="C298" s="22">
        <v>3</v>
      </c>
      <c r="D298" s="309"/>
      <c r="E298" s="310"/>
      <c r="F298" s="310"/>
      <c r="G298" s="310"/>
      <c r="H298" s="310"/>
      <c r="I298" s="311"/>
      <c r="J298" s="307"/>
      <c r="K298" s="308"/>
      <c r="L298" s="24"/>
    </row>
    <row r="299" spans="1:12" ht="18.45" customHeight="1">
      <c r="A299" s="314"/>
      <c r="B299" s="315"/>
      <c r="C299" s="22">
        <v>4</v>
      </c>
      <c r="D299" s="309"/>
      <c r="E299" s="310"/>
      <c r="F299" s="310"/>
      <c r="G299" s="310"/>
      <c r="H299" s="310"/>
      <c r="I299" s="311"/>
      <c r="J299" s="307"/>
      <c r="K299" s="308"/>
      <c r="L299" s="24"/>
    </row>
    <row r="300" spans="1:12" ht="18.45" customHeight="1">
      <c r="A300" s="314"/>
      <c r="B300" s="315"/>
      <c r="C300" s="22">
        <v>5</v>
      </c>
      <c r="D300" s="309"/>
      <c r="E300" s="310"/>
      <c r="F300" s="310"/>
      <c r="G300" s="310"/>
      <c r="H300" s="310"/>
      <c r="I300" s="311"/>
      <c r="J300" s="307"/>
      <c r="K300" s="308"/>
      <c r="L300" s="24"/>
    </row>
    <row r="301" spans="1:12" ht="18.45" customHeight="1">
      <c r="A301" s="314"/>
      <c r="B301" s="315"/>
      <c r="C301" s="22">
        <v>6</v>
      </c>
      <c r="D301" s="309"/>
      <c r="E301" s="310"/>
      <c r="F301" s="310"/>
      <c r="G301" s="310"/>
      <c r="H301" s="310"/>
      <c r="I301" s="311"/>
      <c r="J301" s="307"/>
      <c r="K301" s="308"/>
      <c r="L301" s="24"/>
    </row>
    <row r="302" spans="1:12" ht="18.45" customHeight="1">
      <c r="A302" s="316"/>
      <c r="B302" s="317"/>
      <c r="C302" s="22">
        <v>7</v>
      </c>
      <c r="D302" s="309"/>
      <c r="E302" s="310"/>
      <c r="F302" s="310"/>
      <c r="G302" s="310"/>
      <c r="H302" s="310"/>
      <c r="I302" s="311"/>
      <c r="J302" s="307"/>
      <c r="K302" s="308"/>
      <c r="L302" s="24"/>
    </row>
    <row r="303" spans="1:12" ht="18.45" customHeight="1">
      <c r="A303" s="312"/>
      <c r="B303" s="313"/>
      <c r="C303" s="22">
        <v>1</v>
      </c>
      <c r="D303" s="309"/>
      <c r="E303" s="310"/>
      <c r="F303" s="310"/>
      <c r="G303" s="310"/>
      <c r="H303" s="310"/>
      <c r="I303" s="311"/>
      <c r="J303" s="307"/>
      <c r="K303" s="308"/>
      <c r="L303" s="24"/>
    </row>
    <row r="304" spans="1:12" ht="18.45" customHeight="1">
      <c r="A304" s="314"/>
      <c r="B304" s="315"/>
      <c r="C304" s="22">
        <v>2</v>
      </c>
      <c r="D304" s="309"/>
      <c r="E304" s="310"/>
      <c r="F304" s="310"/>
      <c r="G304" s="310"/>
      <c r="H304" s="310"/>
      <c r="I304" s="311"/>
      <c r="J304" s="307"/>
      <c r="K304" s="308"/>
      <c r="L304" s="24"/>
    </row>
    <row r="305" spans="1:12" ht="18.45" customHeight="1">
      <c r="A305" s="314"/>
      <c r="B305" s="315"/>
      <c r="C305" s="22">
        <v>3</v>
      </c>
      <c r="D305" s="309"/>
      <c r="E305" s="310"/>
      <c r="F305" s="310"/>
      <c r="G305" s="310"/>
      <c r="H305" s="310"/>
      <c r="I305" s="311"/>
      <c r="J305" s="307"/>
      <c r="K305" s="308"/>
      <c r="L305" s="24"/>
    </row>
    <row r="306" spans="1:12" ht="18.45" customHeight="1">
      <c r="A306" s="314"/>
      <c r="B306" s="315"/>
      <c r="C306" s="22">
        <v>4</v>
      </c>
      <c r="D306" s="309"/>
      <c r="E306" s="310"/>
      <c r="F306" s="310"/>
      <c r="G306" s="310"/>
      <c r="H306" s="310"/>
      <c r="I306" s="311"/>
      <c r="J306" s="307"/>
      <c r="K306" s="308"/>
      <c r="L306" s="24"/>
    </row>
    <row r="307" spans="1:12" ht="18.45" customHeight="1">
      <c r="A307" s="314"/>
      <c r="B307" s="315"/>
      <c r="C307" s="22">
        <v>5</v>
      </c>
      <c r="D307" s="309"/>
      <c r="E307" s="310"/>
      <c r="F307" s="310"/>
      <c r="G307" s="310"/>
      <c r="H307" s="310"/>
      <c r="I307" s="311"/>
      <c r="J307" s="307"/>
      <c r="K307" s="308"/>
      <c r="L307" s="24"/>
    </row>
    <row r="308" spans="1:12" ht="18.45" customHeight="1">
      <c r="A308" s="314"/>
      <c r="B308" s="315"/>
      <c r="C308" s="22">
        <v>6</v>
      </c>
      <c r="D308" s="309"/>
      <c r="E308" s="310"/>
      <c r="F308" s="310"/>
      <c r="G308" s="310"/>
      <c r="H308" s="310"/>
      <c r="I308" s="311"/>
      <c r="J308" s="307"/>
      <c r="K308" s="308"/>
      <c r="L308" s="24"/>
    </row>
    <row r="309" spans="1:12" ht="18.45" customHeight="1">
      <c r="A309" s="316"/>
      <c r="B309" s="317"/>
      <c r="C309" s="22">
        <v>7</v>
      </c>
      <c r="D309" s="309"/>
      <c r="E309" s="310"/>
      <c r="F309" s="310"/>
      <c r="G309" s="310"/>
      <c r="H309" s="310"/>
      <c r="I309" s="311"/>
      <c r="J309" s="307"/>
      <c r="K309" s="308"/>
      <c r="L309" s="24"/>
    </row>
    <row r="310" spans="1:12" ht="18.45" customHeight="1">
      <c r="A310" s="312"/>
      <c r="B310" s="313"/>
      <c r="C310" s="22">
        <v>1</v>
      </c>
      <c r="D310" s="309"/>
      <c r="E310" s="310"/>
      <c r="F310" s="310"/>
      <c r="G310" s="310"/>
      <c r="H310" s="310"/>
      <c r="I310" s="311"/>
      <c r="J310" s="307"/>
      <c r="K310" s="308"/>
      <c r="L310" s="24"/>
    </row>
    <row r="311" spans="1:12" ht="18.45" customHeight="1">
      <c r="A311" s="314"/>
      <c r="B311" s="315"/>
      <c r="C311" s="22">
        <v>2</v>
      </c>
      <c r="D311" s="309"/>
      <c r="E311" s="310"/>
      <c r="F311" s="310"/>
      <c r="G311" s="310"/>
      <c r="H311" s="310"/>
      <c r="I311" s="311"/>
      <c r="J311" s="307"/>
      <c r="K311" s="308"/>
      <c r="L311" s="24"/>
    </row>
    <row r="312" spans="1:12" ht="18.45" customHeight="1">
      <c r="A312" s="314"/>
      <c r="B312" s="315"/>
      <c r="C312" s="22">
        <v>3</v>
      </c>
      <c r="D312" s="309"/>
      <c r="E312" s="310"/>
      <c r="F312" s="310"/>
      <c r="G312" s="310"/>
      <c r="H312" s="310"/>
      <c r="I312" s="311"/>
      <c r="J312" s="307"/>
      <c r="K312" s="308"/>
      <c r="L312" s="24"/>
    </row>
    <row r="313" spans="1:12" ht="18.45" customHeight="1">
      <c r="A313" s="314"/>
      <c r="B313" s="315"/>
      <c r="C313" s="22">
        <v>4</v>
      </c>
      <c r="D313" s="309"/>
      <c r="E313" s="310"/>
      <c r="F313" s="310"/>
      <c r="G313" s="310"/>
      <c r="H313" s="310"/>
      <c r="I313" s="311"/>
      <c r="J313" s="307"/>
      <c r="K313" s="308"/>
      <c r="L313" s="24"/>
    </row>
    <row r="314" spans="1:12" ht="18.45" customHeight="1">
      <c r="A314" s="314"/>
      <c r="B314" s="315"/>
      <c r="C314" s="22">
        <v>5</v>
      </c>
      <c r="D314" s="309"/>
      <c r="E314" s="310"/>
      <c r="F314" s="310"/>
      <c r="G314" s="310"/>
      <c r="H314" s="310"/>
      <c r="I314" s="311"/>
      <c r="J314" s="307"/>
      <c r="K314" s="308"/>
      <c r="L314" s="24"/>
    </row>
    <row r="315" spans="1:12" ht="18.45" customHeight="1">
      <c r="A315" s="314"/>
      <c r="B315" s="315"/>
      <c r="C315" s="22">
        <v>6</v>
      </c>
      <c r="D315" s="309"/>
      <c r="E315" s="310"/>
      <c r="F315" s="310"/>
      <c r="G315" s="310"/>
      <c r="H315" s="310"/>
      <c r="I315" s="311"/>
      <c r="J315" s="307"/>
      <c r="K315" s="308"/>
      <c r="L315" s="24"/>
    </row>
    <row r="316" spans="1:12" ht="18.45" customHeight="1">
      <c r="A316" s="316"/>
      <c r="B316" s="317"/>
      <c r="C316" s="22">
        <v>7</v>
      </c>
      <c r="D316" s="309"/>
      <c r="E316" s="310"/>
      <c r="F316" s="310"/>
      <c r="G316" s="310"/>
      <c r="H316" s="310"/>
      <c r="I316" s="311"/>
      <c r="J316" s="307"/>
      <c r="K316" s="308"/>
      <c r="L316" s="24"/>
    </row>
    <row r="317" spans="1:12" ht="18.45" customHeight="1">
      <c r="A317" s="312"/>
      <c r="B317" s="313"/>
      <c r="C317" s="22">
        <v>1</v>
      </c>
      <c r="D317" s="309"/>
      <c r="E317" s="310"/>
      <c r="F317" s="310"/>
      <c r="G317" s="310"/>
      <c r="H317" s="310"/>
      <c r="I317" s="311"/>
      <c r="J317" s="307"/>
      <c r="K317" s="308"/>
      <c r="L317" s="24"/>
    </row>
    <row r="318" spans="1:12" ht="18.45" customHeight="1">
      <c r="A318" s="314"/>
      <c r="B318" s="315"/>
      <c r="C318" s="22">
        <v>2</v>
      </c>
      <c r="D318" s="309"/>
      <c r="E318" s="310"/>
      <c r="F318" s="310"/>
      <c r="G318" s="310"/>
      <c r="H318" s="310"/>
      <c r="I318" s="311"/>
      <c r="J318" s="307"/>
      <c r="K318" s="308"/>
      <c r="L318" s="24"/>
    </row>
    <row r="319" spans="1:12" ht="18.45" customHeight="1">
      <c r="A319" s="314"/>
      <c r="B319" s="315"/>
      <c r="C319" s="22">
        <v>3</v>
      </c>
      <c r="D319" s="309"/>
      <c r="E319" s="310"/>
      <c r="F319" s="310"/>
      <c r="G319" s="310"/>
      <c r="H319" s="310"/>
      <c r="I319" s="311"/>
      <c r="J319" s="307"/>
      <c r="K319" s="308"/>
      <c r="L319" s="24"/>
    </row>
    <row r="320" spans="1:12" ht="18.45" customHeight="1">
      <c r="A320" s="314"/>
      <c r="B320" s="315"/>
      <c r="C320" s="22">
        <v>4</v>
      </c>
      <c r="D320" s="309"/>
      <c r="E320" s="310"/>
      <c r="F320" s="310"/>
      <c r="G320" s="310"/>
      <c r="H320" s="310"/>
      <c r="I320" s="311"/>
      <c r="J320" s="307"/>
      <c r="K320" s="308"/>
      <c r="L320" s="24"/>
    </row>
    <row r="321" spans="1:12" ht="18.45" customHeight="1">
      <c r="A321" s="314"/>
      <c r="B321" s="315"/>
      <c r="C321" s="22">
        <v>5</v>
      </c>
      <c r="D321" s="309"/>
      <c r="E321" s="310"/>
      <c r="F321" s="310"/>
      <c r="G321" s="310"/>
      <c r="H321" s="310"/>
      <c r="I321" s="311"/>
      <c r="J321" s="307"/>
      <c r="K321" s="308"/>
      <c r="L321" s="24"/>
    </row>
    <row r="322" spans="1:12" ht="18.45" customHeight="1">
      <c r="A322" s="314"/>
      <c r="B322" s="315"/>
      <c r="C322" s="22">
        <v>6</v>
      </c>
      <c r="D322" s="309"/>
      <c r="E322" s="310"/>
      <c r="F322" s="310"/>
      <c r="G322" s="310"/>
      <c r="H322" s="310"/>
      <c r="I322" s="311"/>
      <c r="J322" s="307"/>
      <c r="K322" s="308"/>
      <c r="L322" s="24"/>
    </row>
    <row r="323" spans="1:12" ht="18.45" customHeight="1">
      <c r="A323" s="316"/>
      <c r="B323" s="317"/>
      <c r="C323" s="22">
        <v>7</v>
      </c>
      <c r="D323" s="309"/>
      <c r="E323" s="310"/>
      <c r="F323" s="310"/>
      <c r="G323" s="310"/>
      <c r="H323" s="310"/>
      <c r="I323" s="311"/>
      <c r="J323" s="307"/>
      <c r="K323" s="308"/>
      <c r="L323" s="24"/>
    </row>
    <row r="324" spans="1:12" ht="18.45" customHeight="1">
      <c r="A324" s="312"/>
      <c r="B324" s="313"/>
      <c r="C324" s="22">
        <v>1</v>
      </c>
      <c r="D324" s="309"/>
      <c r="E324" s="310"/>
      <c r="F324" s="310"/>
      <c r="G324" s="310"/>
      <c r="H324" s="310"/>
      <c r="I324" s="311"/>
      <c r="J324" s="307"/>
      <c r="K324" s="308"/>
      <c r="L324" s="24"/>
    </row>
    <row r="325" spans="1:12" ht="18.45" customHeight="1">
      <c r="A325" s="314"/>
      <c r="B325" s="315"/>
      <c r="C325" s="22">
        <v>2</v>
      </c>
      <c r="D325" s="309"/>
      <c r="E325" s="310"/>
      <c r="F325" s="310"/>
      <c r="G325" s="310"/>
      <c r="H325" s="310"/>
      <c r="I325" s="311"/>
      <c r="J325" s="307"/>
      <c r="K325" s="308"/>
      <c r="L325" s="24"/>
    </row>
    <row r="326" spans="1:12" ht="18.45" customHeight="1">
      <c r="A326" s="314"/>
      <c r="B326" s="315"/>
      <c r="C326" s="22">
        <v>3</v>
      </c>
      <c r="D326" s="309"/>
      <c r="E326" s="310"/>
      <c r="F326" s="310"/>
      <c r="G326" s="310"/>
      <c r="H326" s="310"/>
      <c r="I326" s="311"/>
      <c r="J326" s="307"/>
      <c r="K326" s="308"/>
      <c r="L326" s="24"/>
    </row>
    <row r="327" spans="1:12" ht="18.45" customHeight="1">
      <c r="A327" s="314"/>
      <c r="B327" s="315"/>
      <c r="C327" s="22">
        <v>4</v>
      </c>
      <c r="D327" s="309"/>
      <c r="E327" s="310"/>
      <c r="F327" s="310"/>
      <c r="G327" s="310"/>
      <c r="H327" s="310"/>
      <c r="I327" s="311"/>
      <c r="J327" s="307"/>
      <c r="K327" s="308"/>
      <c r="L327" s="24"/>
    </row>
    <row r="328" spans="1:12" ht="18.45" customHeight="1">
      <c r="A328" s="314"/>
      <c r="B328" s="315"/>
      <c r="C328" s="22">
        <v>5</v>
      </c>
      <c r="D328" s="309"/>
      <c r="E328" s="310"/>
      <c r="F328" s="310"/>
      <c r="G328" s="310"/>
      <c r="H328" s="310"/>
      <c r="I328" s="311"/>
      <c r="J328" s="307"/>
      <c r="K328" s="308"/>
      <c r="L328" s="24"/>
    </row>
    <row r="329" spans="1:12" ht="18.45" customHeight="1">
      <c r="A329" s="314"/>
      <c r="B329" s="315"/>
      <c r="C329" s="22">
        <v>6</v>
      </c>
      <c r="D329" s="309"/>
      <c r="E329" s="310"/>
      <c r="F329" s="310"/>
      <c r="G329" s="310"/>
      <c r="H329" s="310"/>
      <c r="I329" s="311"/>
      <c r="J329" s="307"/>
      <c r="K329" s="308"/>
      <c r="L329" s="24"/>
    </row>
    <row r="330" spans="1:12" ht="18.45" customHeight="1">
      <c r="A330" s="316"/>
      <c r="B330" s="317"/>
      <c r="C330" s="22">
        <v>7</v>
      </c>
      <c r="D330" s="309"/>
      <c r="E330" s="310"/>
      <c r="F330" s="310"/>
      <c r="G330" s="310"/>
      <c r="H330" s="310"/>
      <c r="I330" s="311"/>
      <c r="J330" s="307"/>
      <c r="K330" s="308"/>
      <c r="L330" s="24"/>
    </row>
    <row r="331" spans="1:12" ht="18.45" customHeight="1">
      <c r="A331" s="312"/>
      <c r="B331" s="313"/>
      <c r="C331" s="22">
        <v>1</v>
      </c>
      <c r="D331" s="309"/>
      <c r="E331" s="310"/>
      <c r="F331" s="310"/>
      <c r="G331" s="310"/>
      <c r="H331" s="310"/>
      <c r="I331" s="311"/>
      <c r="J331" s="307"/>
      <c r="K331" s="308"/>
      <c r="L331" s="24"/>
    </row>
    <row r="332" spans="1:12" ht="18.45" customHeight="1">
      <c r="A332" s="314"/>
      <c r="B332" s="315"/>
      <c r="C332" s="22">
        <v>2</v>
      </c>
      <c r="D332" s="309"/>
      <c r="E332" s="310"/>
      <c r="F332" s="310"/>
      <c r="G332" s="310"/>
      <c r="H332" s="310"/>
      <c r="I332" s="311"/>
      <c r="J332" s="307"/>
      <c r="K332" s="308"/>
      <c r="L332" s="24"/>
    </row>
    <row r="333" spans="1:12" ht="18.45" customHeight="1">
      <c r="A333" s="314"/>
      <c r="B333" s="315"/>
      <c r="C333" s="22">
        <v>3</v>
      </c>
      <c r="D333" s="309"/>
      <c r="E333" s="310"/>
      <c r="F333" s="310"/>
      <c r="G333" s="310"/>
      <c r="H333" s="310"/>
      <c r="I333" s="311"/>
      <c r="J333" s="307"/>
      <c r="K333" s="308"/>
      <c r="L333" s="24"/>
    </row>
    <row r="334" spans="1:12" ht="18.45" customHeight="1">
      <c r="A334" s="314"/>
      <c r="B334" s="315"/>
      <c r="C334" s="22">
        <v>4</v>
      </c>
      <c r="D334" s="309"/>
      <c r="E334" s="310"/>
      <c r="F334" s="310"/>
      <c r="G334" s="310"/>
      <c r="H334" s="310"/>
      <c r="I334" s="311"/>
      <c r="J334" s="307"/>
      <c r="K334" s="308"/>
      <c r="L334" s="24"/>
    </row>
    <row r="335" spans="1:12" ht="18.45" customHeight="1">
      <c r="A335" s="314"/>
      <c r="B335" s="315"/>
      <c r="C335" s="22">
        <v>5</v>
      </c>
      <c r="D335" s="309"/>
      <c r="E335" s="310"/>
      <c r="F335" s="310"/>
      <c r="G335" s="310"/>
      <c r="H335" s="310"/>
      <c r="I335" s="311"/>
      <c r="J335" s="307"/>
      <c r="K335" s="308"/>
      <c r="L335" s="24"/>
    </row>
    <row r="336" spans="1:12" ht="18.45" customHeight="1">
      <c r="A336" s="314"/>
      <c r="B336" s="315"/>
      <c r="C336" s="22">
        <v>6</v>
      </c>
      <c r="D336" s="309"/>
      <c r="E336" s="310"/>
      <c r="F336" s="310"/>
      <c r="G336" s="310"/>
      <c r="H336" s="310"/>
      <c r="I336" s="311"/>
      <c r="J336" s="307"/>
      <c r="K336" s="308"/>
      <c r="L336" s="24"/>
    </row>
    <row r="337" spans="1:12" ht="18.45" customHeight="1">
      <c r="A337" s="316"/>
      <c r="B337" s="317"/>
      <c r="C337" s="22">
        <v>7</v>
      </c>
      <c r="D337" s="309"/>
      <c r="E337" s="310"/>
      <c r="F337" s="310"/>
      <c r="G337" s="310"/>
      <c r="H337" s="310"/>
      <c r="I337" s="311"/>
      <c r="J337" s="307"/>
      <c r="K337" s="308"/>
      <c r="L337" s="24"/>
    </row>
    <row r="338" spans="1:12" ht="18.45" customHeight="1">
      <c r="A338" s="312"/>
      <c r="B338" s="313"/>
      <c r="C338" s="22">
        <v>1</v>
      </c>
      <c r="D338" s="309"/>
      <c r="E338" s="310"/>
      <c r="F338" s="310"/>
      <c r="G338" s="310"/>
      <c r="H338" s="310"/>
      <c r="I338" s="311"/>
      <c r="J338" s="307"/>
      <c r="K338" s="308"/>
      <c r="L338" s="24"/>
    </row>
    <row r="339" spans="1:12" ht="18.45" customHeight="1">
      <c r="A339" s="314"/>
      <c r="B339" s="315"/>
      <c r="C339" s="22">
        <v>2</v>
      </c>
      <c r="D339" s="309"/>
      <c r="E339" s="310"/>
      <c r="F339" s="310"/>
      <c r="G339" s="310"/>
      <c r="H339" s="310"/>
      <c r="I339" s="311"/>
      <c r="J339" s="307"/>
      <c r="K339" s="308"/>
      <c r="L339" s="24"/>
    </row>
    <row r="340" spans="1:12" ht="18.45" customHeight="1">
      <c r="A340" s="314"/>
      <c r="B340" s="315"/>
      <c r="C340" s="22">
        <v>3</v>
      </c>
      <c r="D340" s="309"/>
      <c r="E340" s="310"/>
      <c r="F340" s="310"/>
      <c r="G340" s="310"/>
      <c r="H340" s="310"/>
      <c r="I340" s="311"/>
      <c r="J340" s="307"/>
      <c r="K340" s="308"/>
      <c r="L340" s="24"/>
    </row>
    <row r="341" spans="1:12" ht="18.45" customHeight="1">
      <c r="A341" s="314"/>
      <c r="B341" s="315"/>
      <c r="C341" s="22">
        <v>4</v>
      </c>
      <c r="D341" s="309"/>
      <c r="E341" s="310"/>
      <c r="F341" s="310"/>
      <c r="G341" s="310"/>
      <c r="H341" s="310"/>
      <c r="I341" s="311"/>
      <c r="J341" s="307"/>
      <c r="K341" s="308"/>
      <c r="L341" s="24"/>
    </row>
    <row r="342" spans="1:12" ht="18.45" customHeight="1">
      <c r="A342" s="314"/>
      <c r="B342" s="315"/>
      <c r="C342" s="22">
        <v>5</v>
      </c>
      <c r="D342" s="309"/>
      <c r="E342" s="310"/>
      <c r="F342" s="310"/>
      <c r="G342" s="310"/>
      <c r="H342" s="310"/>
      <c r="I342" s="311"/>
      <c r="J342" s="307"/>
      <c r="K342" s="308"/>
      <c r="L342" s="24"/>
    </row>
    <row r="343" spans="1:12" ht="18.45" customHeight="1">
      <c r="A343" s="314"/>
      <c r="B343" s="315"/>
      <c r="C343" s="22">
        <v>6</v>
      </c>
      <c r="D343" s="309"/>
      <c r="E343" s="310"/>
      <c r="F343" s="310"/>
      <c r="G343" s="310"/>
      <c r="H343" s="310"/>
      <c r="I343" s="311"/>
      <c r="J343" s="307"/>
      <c r="K343" s="308"/>
      <c r="L343" s="24"/>
    </row>
    <row r="344" spans="1:12" ht="18.45" customHeight="1">
      <c r="A344" s="316"/>
      <c r="B344" s="317"/>
      <c r="C344" s="22">
        <v>7</v>
      </c>
      <c r="D344" s="309"/>
      <c r="E344" s="310"/>
      <c r="F344" s="310"/>
      <c r="G344" s="310"/>
      <c r="H344" s="310"/>
      <c r="I344" s="311"/>
      <c r="J344" s="307"/>
      <c r="K344" s="308"/>
      <c r="L344" s="24"/>
    </row>
    <row r="345" spans="1:12" ht="18.45" customHeight="1">
      <c r="A345" s="312"/>
      <c r="B345" s="313"/>
      <c r="C345" s="22">
        <v>1</v>
      </c>
      <c r="D345" s="309"/>
      <c r="E345" s="310"/>
      <c r="F345" s="310"/>
      <c r="G345" s="310"/>
      <c r="H345" s="310"/>
      <c r="I345" s="311"/>
      <c r="J345" s="307"/>
      <c r="K345" s="308"/>
      <c r="L345" s="24"/>
    </row>
    <row r="346" spans="1:12" ht="18.45" customHeight="1">
      <c r="A346" s="314"/>
      <c r="B346" s="315"/>
      <c r="C346" s="22">
        <v>2</v>
      </c>
      <c r="D346" s="309"/>
      <c r="E346" s="310"/>
      <c r="F346" s="310"/>
      <c r="G346" s="310"/>
      <c r="H346" s="310"/>
      <c r="I346" s="311"/>
      <c r="J346" s="307"/>
      <c r="K346" s="308"/>
      <c r="L346" s="24"/>
    </row>
    <row r="347" spans="1:12" ht="18.45" customHeight="1">
      <c r="A347" s="314"/>
      <c r="B347" s="315"/>
      <c r="C347" s="22">
        <v>3</v>
      </c>
      <c r="D347" s="309"/>
      <c r="E347" s="310"/>
      <c r="F347" s="310"/>
      <c r="G347" s="310"/>
      <c r="H347" s="310"/>
      <c r="I347" s="311"/>
      <c r="J347" s="307"/>
      <c r="K347" s="308"/>
      <c r="L347" s="24"/>
    </row>
    <row r="348" spans="1:12" ht="18.45" customHeight="1">
      <c r="A348" s="314"/>
      <c r="B348" s="315"/>
      <c r="C348" s="22">
        <v>4</v>
      </c>
      <c r="D348" s="309"/>
      <c r="E348" s="310"/>
      <c r="F348" s="310"/>
      <c r="G348" s="310"/>
      <c r="H348" s="310"/>
      <c r="I348" s="311"/>
      <c r="J348" s="307"/>
      <c r="K348" s="308"/>
      <c r="L348" s="24"/>
    </row>
    <row r="349" spans="1:12" ht="18.45" customHeight="1">
      <c r="A349" s="314"/>
      <c r="B349" s="315"/>
      <c r="C349" s="22">
        <v>5</v>
      </c>
      <c r="D349" s="309"/>
      <c r="E349" s="310"/>
      <c r="F349" s="310"/>
      <c r="G349" s="310"/>
      <c r="H349" s="310"/>
      <c r="I349" s="311"/>
      <c r="J349" s="307"/>
      <c r="K349" s="308"/>
      <c r="L349" s="24"/>
    </row>
    <row r="350" spans="1:12" ht="18.45" customHeight="1">
      <c r="A350" s="314"/>
      <c r="B350" s="315"/>
      <c r="C350" s="22">
        <v>6</v>
      </c>
      <c r="D350" s="309"/>
      <c r="E350" s="310"/>
      <c r="F350" s="310"/>
      <c r="G350" s="310"/>
      <c r="H350" s="310"/>
      <c r="I350" s="311"/>
      <c r="J350" s="307"/>
      <c r="K350" s="308"/>
      <c r="L350" s="24"/>
    </row>
    <row r="351" spans="1:12" ht="18.45" customHeight="1">
      <c r="A351" s="316"/>
      <c r="B351" s="317"/>
      <c r="C351" s="22">
        <v>7</v>
      </c>
      <c r="D351" s="309"/>
      <c r="E351" s="310"/>
      <c r="F351" s="310"/>
      <c r="G351" s="310"/>
      <c r="H351" s="310"/>
      <c r="I351" s="311"/>
      <c r="J351" s="307"/>
      <c r="K351" s="308"/>
      <c r="L351" s="24"/>
    </row>
    <row r="352" spans="1:12" ht="18.45" customHeight="1">
      <c r="A352" s="312"/>
      <c r="B352" s="313"/>
      <c r="C352" s="22">
        <v>1</v>
      </c>
      <c r="D352" s="309"/>
      <c r="E352" s="310"/>
      <c r="F352" s="310"/>
      <c r="G352" s="310"/>
      <c r="H352" s="310"/>
      <c r="I352" s="311"/>
      <c r="J352" s="307"/>
      <c r="K352" s="308"/>
      <c r="L352" s="24"/>
    </row>
    <row r="353" spans="1:12" ht="18.45" customHeight="1">
      <c r="A353" s="314"/>
      <c r="B353" s="315"/>
      <c r="C353" s="22">
        <v>2</v>
      </c>
      <c r="D353" s="309"/>
      <c r="E353" s="310"/>
      <c r="F353" s="310"/>
      <c r="G353" s="310"/>
      <c r="H353" s="310"/>
      <c r="I353" s="311"/>
      <c r="J353" s="307"/>
      <c r="K353" s="308"/>
      <c r="L353" s="24"/>
    </row>
    <row r="354" spans="1:12" ht="18.45" customHeight="1">
      <c r="A354" s="314"/>
      <c r="B354" s="315"/>
      <c r="C354" s="22">
        <v>3</v>
      </c>
      <c r="D354" s="309"/>
      <c r="E354" s="310"/>
      <c r="F354" s="310"/>
      <c r="G354" s="310"/>
      <c r="H354" s="310"/>
      <c r="I354" s="311"/>
      <c r="J354" s="307"/>
      <c r="K354" s="308"/>
      <c r="L354" s="24"/>
    </row>
    <row r="355" spans="1:12" ht="18.45" customHeight="1">
      <c r="A355" s="314"/>
      <c r="B355" s="315"/>
      <c r="C355" s="22">
        <v>4</v>
      </c>
      <c r="D355" s="309"/>
      <c r="E355" s="310"/>
      <c r="F355" s="310"/>
      <c r="G355" s="310"/>
      <c r="H355" s="310"/>
      <c r="I355" s="311"/>
      <c r="J355" s="307"/>
      <c r="K355" s="308"/>
      <c r="L355" s="24"/>
    </row>
    <row r="356" spans="1:12" ht="18.45" customHeight="1">
      <c r="A356" s="314"/>
      <c r="B356" s="315"/>
      <c r="C356" s="22">
        <v>5</v>
      </c>
      <c r="D356" s="309"/>
      <c r="E356" s="310"/>
      <c r="F356" s="310"/>
      <c r="G356" s="310"/>
      <c r="H356" s="310"/>
      <c r="I356" s="311"/>
      <c r="J356" s="307"/>
      <c r="K356" s="308"/>
      <c r="L356" s="24"/>
    </row>
    <row r="357" spans="1:12" ht="18.45" customHeight="1">
      <c r="A357" s="314"/>
      <c r="B357" s="315"/>
      <c r="C357" s="22">
        <v>6</v>
      </c>
      <c r="D357" s="309"/>
      <c r="E357" s="310"/>
      <c r="F357" s="310"/>
      <c r="G357" s="310"/>
      <c r="H357" s="310"/>
      <c r="I357" s="311"/>
      <c r="J357" s="307"/>
      <c r="K357" s="308"/>
      <c r="L357" s="24"/>
    </row>
    <row r="358" spans="1:12" ht="18.45" customHeight="1">
      <c r="A358" s="316"/>
      <c r="B358" s="317"/>
      <c r="C358" s="22">
        <v>7</v>
      </c>
      <c r="D358" s="309"/>
      <c r="E358" s="310"/>
      <c r="F358" s="310"/>
      <c r="G358" s="310"/>
      <c r="H358" s="310"/>
      <c r="I358" s="311"/>
      <c r="J358" s="307"/>
      <c r="K358" s="308"/>
      <c r="L358" s="24"/>
    </row>
    <row r="359" spans="1:12" ht="18.45" customHeight="1">
      <c r="A359" s="312"/>
      <c r="B359" s="313"/>
      <c r="C359" s="22">
        <v>1</v>
      </c>
      <c r="D359" s="309"/>
      <c r="E359" s="310"/>
      <c r="F359" s="310"/>
      <c r="G359" s="310"/>
      <c r="H359" s="310"/>
      <c r="I359" s="311"/>
      <c r="J359" s="307"/>
      <c r="K359" s="308"/>
      <c r="L359" s="24"/>
    </row>
    <row r="360" spans="1:12" ht="18.45" customHeight="1">
      <c r="A360" s="314"/>
      <c r="B360" s="315"/>
      <c r="C360" s="22">
        <v>2</v>
      </c>
      <c r="D360" s="309"/>
      <c r="E360" s="310"/>
      <c r="F360" s="310"/>
      <c r="G360" s="310"/>
      <c r="H360" s="310"/>
      <c r="I360" s="311"/>
      <c r="J360" s="307"/>
      <c r="K360" s="308"/>
      <c r="L360" s="24"/>
    </row>
    <row r="361" spans="1:12" ht="18.45" customHeight="1">
      <c r="A361" s="314"/>
      <c r="B361" s="315"/>
      <c r="C361" s="22">
        <v>3</v>
      </c>
      <c r="D361" s="309"/>
      <c r="E361" s="310"/>
      <c r="F361" s="310"/>
      <c r="G361" s="310"/>
      <c r="H361" s="310"/>
      <c r="I361" s="311"/>
      <c r="J361" s="307"/>
      <c r="K361" s="308"/>
      <c r="L361" s="24"/>
    </row>
    <row r="362" spans="1:12" ht="18.45" customHeight="1">
      <c r="A362" s="314"/>
      <c r="B362" s="315"/>
      <c r="C362" s="22">
        <v>4</v>
      </c>
      <c r="D362" s="309"/>
      <c r="E362" s="310"/>
      <c r="F362" s="310"/>
      <c r="G362" s="310"/>
      <c r="H362" s="310"/>
      <c r="I362" s="311"/>
      <c r="J362" s="307"/>
      <c r="K362" s="308"/>
      <c r="L362" s="24"/>
    </row>
    <row r="363" spans="1:12" ht="18.45" customHeight="1">
      <c r="A363" s="314"/>
      <c r="B363" s="315"/>
      <c r="C363" s="22">
        <v>5</v>
      </c>
      <c r="D363" s="309"/>
      <c r="E363" s="310"/>
      <c r="F363" s="310"/>
      <c r="G363" s="310"/>
      <c r="H363" s="310"/>
      <c r="I363" s="311"/>
      <c r="J363" s="307"/>
      <c r="K363" s="308"/>
      <c r="L363" s="24"/>
    </row>
    <row r="364" spans="1:12" ht="18.45" customHeight="1">
      <c r="A364" s="314"/>
      <c r="B364" s="315"/>
      <c r="C364" s="22">
        <v>6</v>
      </c>
      <c r="D364" s="309"/>
      <c r="E364" s="310"/>
      <c r="F364" s="310"/>
      <c r="G364" s="310"/>
      <c r="H364" s="310"/>
      <c r="I364" s="311"/>
      <c r="J364" s="307"/>
      <c r="K364" s="308"/>
      <c r="L364" s="24"/>
    </row>
    <row r="365" spans="1:12" ht="18.45" customHeight="1">
      <c r="A365" s="316"/>
      <c r="B365" s="317"/>
      <c r="C365" s="22">
        <v>7</v>
      </c>
      <c r="D365" s="309"/>
      <c r="E365" s="310"/>
      <c r="F365" s="310"/>
      <c r="G365" s="310"/>
      <c r="H365" s="310"/>
      <c r="I365" s="311"/>
      <c r="J365" s="307"/>
      <c r="K365" s="308"/>
      <c r="L365" s="24"/>
    </row>
    <row r="366" spans="1:12" ht="18.45" customHeight="1">
      <c r="A366" s="312"/>
      <c r="B366" s="313"/>
      <c r="C366" s="22">
        <v>1</v>
      </c>
      <c r="D366" s="309"/>
      <c r="E366" s="310"/>
      <c r="F366" s="310"/>
      <c r="G366" s="310"/>
      <c r="H366" s="310"/>
      <c r="I366" s="311"/>
      <c r="J366" s="307"/>
      <c r="K366" s="308"/>
      <c r="L366" s="24"/>
    </row>
    <row r="367" spans="1:12" ht="18.45" customHeight="1">
      <c r="A367" s="314"/>
      <c r="B367" s="315"/>
      <c r="C367" s="22">
        <v>2</v>
      </c>
      <c r="D367" s="309"/>
      <c r="E367" s="310"/>
      <c r="F367" s="310"/>
      <c r="G367" s="310"/>
      <c r="H367" s="310"/>
      <c r="I367" s="311"/>
      <c r="J367" s="307"/>
      <c r="K367" s="308"/>
      <c r="L367" s="24"/>
    </row>
    <row r="368" spans="1:12" ht="18.45" customHeight="1">
      <c r="A368" s="314"/>
      <c r="B368" s="315"/>
      <c r="C368" s="22">
        <v>3</v>
      </c>
      <c r="D368" s="309"/>
      <c r="E368" s="310"/>
      <c r="F368" s="310"/>
      <c r="G368" s="310"/>
      <c r="H368" s="310"/>
      <c r="I368" s="311"/>
      <c r="J368" s="307"/>
      <c r="K368" s="308"/>
      <c r="L368" s="24"/>
    </row>
    <row r="369" spans="1:12" ht="18.45" customHeight="1">
      <c r="A369" s="314"/>
      <c r="B369" s="315"/>
      <c r="C369" s="22">
        <v>4</v>
      </c>
      <c r="D369" s="309"/>
      <c r="E369" s="310"/>
      <c r="F369" s="310"/>
      <c r="G369" s="310"/>
      <c r="H369" s="310"/>
      <c r="I369" s="311"/>
      <c r="J369" s="307"/>
      <c r="K369" s="308"/>
      <c r="L369" s="24"/>
    </row>
    <row r="370" spans="1:12" ht="18.45" customHeight="1">
      <c r="A370" s="314"/>
      <c r="B370" s="315"/>
      <c r="C370" s="22">
        <v>5</v>
      </c>
      <c r="D370" s="309"/>
      <c r="E370" s="310"/>
      <c r="F370" s="310"/>
      <c r="G370" s="310"/>
      <c r="H370" s="310"/>
      <c r="I370" s="311"/>
      <c r="J370" s="307"/>
      <c r="K370" s="308"/>
      <c r="L370" s="24"/>
    </row>
    <row r="371" spans="1:12" ht="18.45" customHeight="1">
      <c r="A371" s="314"/>
      <c r="B371" s="315"/>
      <c r="C371" s="22">
        <v>6</v>
      </c>
      <c r="D371" s="309"/>
      <c r="E371" s="310"/>
      <c r="F371" s="310"/>
      <c r="G371" s="310"/>
      <c r="H371" s="310"/>
      <c r="I371" s="311"/>
      <c r="J371" s="307"/>
      <c r="K371" s="308"/>
      <c r="L371" s="24"/>
    </row>
    <row r="372" spans="1:12" ht="18.45" customHeight="1">
      <c r="A372" s="316"/>
      <c r="B372" s="317"/>
      <c r="C372" s="22">
        <v>7</v>
      </c>
      <c r="D372" s="309"/>
      <c r="E372" s="310"/>
      <c r="F372" s="310"/>
      <c r="G372" s="310"/>
      <c r="H372" s="310"/>
      <c r="I372" s="311"/>
      <c r="J372" s="307"/>
      <c r="K372" s="308"/>
      <c r="L372" s="24"/>
    </row>
    <row r="373" spans="1:12" ht="18.45" customHeight="1">
      <c r="A373" s="312"/>
      <c r="B373" s="313"/>
      <c r="C373" s="22">
        <v>1</v>
      </c>
      <c r="D373" s="309"/>
      <c r="E373" s="310"/>
      <c r="F373" s="310"/>
      <c r="G373" s="310"/>
      <c r="H373" s="310"/>
      <c r="I373" s="311"/>
      <c r="J373" s="307"/>
      <c r="K373" s="308"/>
      <c r="L373" s="24"/>
    </row>
    <row r="374" spans="1:12" ht="18.45" customHeight="1">
      <c r="A374" s="314"/>
      <c r="B374" s="315"/>
      <c r="C374" s="22">
        <v>2</v>
      </c>
      <c r="D374" s="309"/>
      <c r="E374" s="310"/>
      <c r="F374" s="310"/>
      <c r="G374" s="310"/>
      <c r="H374" s="310"/>
      <c r="I374" s="311"/>
      <c r="J374" s="307"/>
      <c r="K374" s="308"/>
      <c r="L374" s="24"/>
    </row>
    <row r="375" spans="1:12" ht="18.45" customHeight="1">
      <c r="A375" s="314"/>
      <c r="B375" s="315"/>
      <c r="C375" s="22">
        <v>3</v>
      </c>
      <c r="D375" s="309"/>
      <c r="E375" s="310"/>
      <c r="F375" s="310"/>
      <c r="G375" s="310"/>
      <c r="H375" s="310"/>
      <c r="I375" s="311"/>
      <c r="J375" s="307"/>
      <c r="K375" s="308"/>
      <c r="L375" s="24"/>
    </row>
    <row r="376" spans="1:12" ht="18.45" customHeight="1">
      <c r="A376" s="314"/>
      <c r="B376" s="315"/>
      <c r="C376" s="22">
        <v>4</v>
      </c>
      <c r="D376" s="309"/>
      <c r="E376" s="310"/>
      <c r="F376" s="310"/>
      <c r="G376" s="310"/>
      <c r="H376" s="310"/>
      <c r="I376" s="311"/>
      <c r="J376" s="307"/>
      <c r="K376" s="308"/>
      <c r="L376" s="24"/>
    </row>
    <row r="377" spans="1:12" ht="18.45" customHeight="1">
      <c r="A377" s="314"/>
      <c r="B377" s="315"/>
      <c r="C377" s="22">
        <v>5</v>
      </c>
      <c r="D377" s="309"/>
      <c r="E377" s="310"/>
      <c r="F377" s="310"/>
      <c r="G377" s="310"/>
      <c r="H377" s="310"/>
      <c r="I377" s="311"/>
      <c r="J377" s="307"/>
      <c r="K377" s="308"/>
      <c r="L377" s="24"/>
    </row>
    <row r="378" spans="1:12" ht="18.45" customHeight="1">
      <c r="A378" s="314"/>
      <c r="B378" s="315"/>
      <c r="C378" s="22">
        <v>6</v>
      </c>
      <c r="D378" s="309"/>
      <c r="E378" s="310"/>
      <c r="F378" s="310"/>
      <c r="G378" s="310"/>
      <c r="H378" s="310"/>
      <c r="I378" s="311"/>
      <c r="J378" s="307"/>
      <c r="K378" s="308"/>
      <c r="L378" s="24"/>
    </row>
    <row r="379" spans="1:12" ht="18.45" customHeight="1">
      <c r="A379" s="316"/>
      <c r="B379" s="317"/>
      <c r="C379" s="22">
        <v>7</v>
      </c>
      <c r="D379" s="309"/>
      <c r="E379" s="310"/>
      <c r="F379" s="310"/>
      <c r="G379" s="310"/>
      <c r="H379" s="310"/>
      <c r="I379" s="311"/>
      <c r="J379" s="307"/>
      <c r="K379" s="308"/>
      <c r="L379" s="24"/>
    </row>
    <row r="380" spans="1:12" ht="18.45" customHeight="1">
      <c r="A380" s="312"/>
      <c r="B380" s="313"/>
      <c r="C380" s="22">
        <v>1</v>
      </c>
      <c r="D380" s="309"/>
      <c r="E380" s="310"/>
      <c r="F380" s="310"/>
      <c r="G380" s="310"/>
      <c r="H380" s="310"/>
      <c r="I380" s="311"/>
      <c r="J380" s="307"/>
      <c r="K380" s="308"/>
      <c r="L380" s="24"/>
    </row>
    <row r="381" spans="1:12" ht="18.45" customHeight="1">
      <c r="A381" s="314"/>
      <c r="B381" s="315"/>
      <c r="C381" s="22">
        <v>2</v>
      </c>
      <c r="D381" s="309"/>
      <c r="E381" s="310"/>
      <c r="F381" s="310"/>
      <c r="G381" s="310"/>
      <c r="H381" s="310"/>
      <c r="I381" s="311"/>
      <c r="J381" s="307"/>
      <c r="K381" s="308"/>
      <c r="L381" s="24"/>
    </row>
    <row r="382" spans="1:12" ht="18.45" customHeight="1">
      <c r="A382" s="314"/>
      <c r="B382" s="315"/>
      <c r="C382" s="22">
        <v>3</v>
      </c>
      <c r="D382" s="309"/>
      <c r="E382" s="310"/>
      <c r="F382" s="310"/>
      <c r="G382" s="310"/>
      <c r="H382" s="310"/>
      <c r="I382" s="311"/>
      <c r="J382" s="307"/>
      <c r="K382" s="308"/>
      <c r="L382" s="24"/>
    </row>
    <row r="383" spans="1:12" ht="18.45" customHeight="1">
      <c r="A383" s="314"/>
      <c r="B383" s="315"/>
      <c r="C383" s="22">
        <v>4</v>
      </c>
      <c r="D383" s="309"/>
      <c r="E383" s="310"/>
      <c r="F383" s="310"/>
      <c r="G383" s="310"/>
      <c r="H383" s="310"/>
      <c r="I383" s="311"/>
      <c r="J383" s="307"/>
      <c r="K383" s="308"/>
      <c r="L383" s="24"/>
    </row>
    <row r="384" spans="1:12" ht="18.45" customHeight="1">
      <c r="A384" s="314"/>
      <c r="B384" s="315"/>
      <c r="C384" s="22">
        <v>5</v>
      </c>
      <c r="D384" s="309"/>
      <c r="E384" s="310"/>
      <c r="F384" s="310"/>
      <c r="G384" s="310"/>
      <c r="H384" s="310"/>
      <c r="I384" s="311"/>
      <c r="J384" s="307"/>
      <c r="K384" s="308"/>
      <c r="L384" s="24"/>
    </row>
    <row r="385" spans="1:12" ht="18.45" customHeight="1">
      <c r="A385" s="314"/>
      <c r="B385" s="315"/>
      <c r="C385" s="22">
        <v>6</v>
      </c>
      <c r="D385" s="309"/>
      <c r="E385" s="310"/>
      <c r="F385" s="310"/>
      <c r="G385" s="310"/>
      <c r="H385" s="310"/>
      <c r="I385" s="311"/>
      <c r="J385" s="307"/>
      <c r="K385" s="308"/>
      <c r="L385" s="24"/>
    </row>
    <row r="386" spans="1:12" ht="18.45" customHeight="1">
      <c r="A386" s="316"/>
      <c r="B386" s="317"/>
      <c r="C386" s="22">
        <v>7</v>
      </c>
      <c r="D386" s="309"/>
      <c r="E386" s="310"/>
      <c r="F386" s="310"/>
      <c r="G386" s="310"/>
      <c r="H386" s="310"/>
      <c r="I386" s="311"/>
      <c r="J386" s="307"/>
      <c r="K386" s="308"/>
      <c r="L386" s="24"/>
    </row>
    <row r="387" spans="1:12" ht="18.45" customHeight="1">
      <c r="A387" s="312"/>
      <c r="B387" s="313"/>
      <c r="C387" s="22">
        <v>1</v>
      </c>
      <c r="D387" s="309"/>
      <c r="E387" s="310"/>
      <c r="F387" s="310"/>
      <c r="G387" s="310"/>
      <c r="H387" s="310"/>
      <c r="I387" s="311"/>
      <c r="J387" s="307"/>
      <c r="K387" s="308"/>
      <c r="L387" s="24"/>
    </row>
    <row r="388" spans="1:12" ht="18.45" customHeight="1">
      <c r="A388" s="314"/>
      <c r="B388" s="315"/>
      <c r="C388" s="22">
        <v>2</v>
      </c>
      <c r="D388" s="309"/>
      <c r="E388" s="310"/>
      <c r="F388" s="310"/>
      <c r="G388" s="310"/>
      <c r="H388" s="310"/>
      <c r="I388" s="311"/>
      <c r="J388" s="307"/>
      <c r="K388" s="308"/>
      <c r="L388" s="24"/>
    </row>
    <row r="389" spans="1:12" ht="18.45" customHeight="1">
      <c r="A389" s="314"/>
      <c r="B389" s="315"/>
      <c r="C389" s="22">
        <v>3</v>
      </c>
      <c r="D389" s="309"/>
      <c r="E389" s="310"/>
      <c r="F389" s="310"/>
      <c r="G389" s="310"/>
      <c r="H389" s="310"/>
      <c r="I389" s="311"/>
      <c r="J389" s="307"/>
      <c r="K389" s="308"/>
      <c r="L389" s="24"/>
    </row>
    <row r="390" spans="1:12" ht="18.45" customHeight="1">
      <c r="A390" s="314"/>
      <c r="B390" s="315"/>
      <c r="C390" s="22">
        <v>4</v>
      </c>
      <c r="D390" s="309"/>
      <c r="E390" s="310"/>
      <c r="F390" s="310"/>
      <c r="G390" s="310"/>
      <c r="H390" s="310"/>
      <c r="I390" s="311"/>
      <c r="J390" s="307"/>
      <c r="K390" s="308"/>
      <c r="L390" s="24"/>
    </row>
    <row r="391" spans="1:12" ht="18.45" customHeight="1">
      <c r="A391" s="314"/>
      <c r="B391" s="315"/>
      <c r="C391" s="22">
        <v>5</v>
      </c>
      <c r="D391" s="309"/>
      <c r="E391" s="310"/>
      <c r="F391" s="310"/>
      <c r="G391" s="310"/>
      <c r="H391" s="310"/>
      <c r="I391" s="311"/>
      <c r="J391" s="307"/>
      <c r="K391" s="308"/>
      <c r="L391" s="24"/>
    </row>
    <row r="392" spans="1:12" ht="18.45" customHeight="1">
      <c r="A392" s="314"/>
      <c r="B392" s="315"/>
      <c r="C392" s="22">
        <v>6</v>
      </c>
      <c r="D392" s="309"/>
      <c r="E392" s="310"/>
      <c r="F392" s="310"/>
      <c r="G392" s="310"/>
      <c r="H392" s="310"/>
      <c r="I392" s="311"/>
      <c r="J392" s="307"/>
      <c r="K392" s="308"/>
      <c r="L392" s="24"/>
    </row>
    <row r="393" spans="1:12" ht="18.45" customHeight="1">
      <c r="A393" s="316"/>
      <c r="B393" s="317"/>
      <c r="C393" s="22">
        <v>7</v>
      </c>
      <c r="D393" s="309"/>
      <c r="E393" s="310"/>
      <c r="F393" s="310"/>
      <c r="G393" s="310"/>
      <c r="H393" s="310"/>
      <c r="I393" s="311"/>
      <c r="J393" s="307"/>
      <c r="K393" s="308"/>
      <c r="L393" s="24"/>
    </row>
    <row r="394" spans="1:12" ht="18.45" customHeight="1">
      <c r="A394" s="312"/>
      <c r="B394" s="313"/>
      <c r="C394" s="22">
        <v>1</v>
      </c>
      <c r="D394" s="309"/>
      <c r="E394" s="310"/>
      <c r="F394" s="310"/>
      <c r="G394" s="310"/>
      <c r="H394" s="310"/>
      <c r="I394" s="311"/>
      <c r="J394" s="307"/>
      <c r="K394" s="308"/>
      <c r="L394" s="24"/>
    </row>
    <row r="395" spans="1:12" ht="18.45" customHeight="1">
      <c r="A395" s="314"/>
      <c r="B395" s="315"/>
      <c r="C395" s="22">
        <v>2</v>
      </c>
      <c r="D395" s="309"/>
      <c r="E395" s="310"/>
      <c r="F395" s="310"/>
      <c r="G395" s="310"/>
      <c r="H395" s="310"/>
      <c r="I395" s="311"/>
      <c r="J395" s="307"/>
      <c r="K395" s="308"/>
      <c r="L395" s="24"/>
    </row>
    <row r="396" spans="1:12" ht="18.45" customHeight="1">
      <c r="A396" s="314"/>
      <c r="B396" s="315"/>
      <c r="C396" s="22">
        <v>3</v>
      </c>
      <c r="D396" s="309"/>
      <c r="E396" s="310"/>
      <c r="F396" s="310"/>
      <c r="G396" s="310"/>
      <c r="H396" s="310"/>
      <c r="I396" s="311"/>
      <c r="J396" s="307"/>
      <c r="K396" s="308"/>
      <c r="L396" s="24"/>
    </row>
    <row r="397" spans="1:12" ht="18.45" customHeight="1">
      <c r="A397" s="314"/>
      <c r="B397" s="315"/>
      <c r="C397" s="22">
        <v>4</v>
      </c>
      <c r="D397" s="309"/>
      <c r="E397" s="310"/>
      <c r="F397" s="310"/>
      <c r="G397" s="310"/>
      <c r="H397" s="310"/>
      <c r="I397" s="311"/>
      <c r="J397" s="307"/>
      <c r="K397" s="308"/>
      <c r="L397" s="24"/>
    </row>
    <row r="398" spans="1:12" ht="18.45" customHeight="1">
      <c r="A398" s="314"/>
      <c r="B398" s="315"/>
      <c r="C398" s="22">
        <v>5</v>
      </c>
      <c r="D398" s="309"/>
      <c r="E398" s="310"/>
      <c r="F398" s="310"/>
      <c r="G398" s="310"/>
      <c r="H398" s="310"/>
      <c r="I398" s="311"/>
      <c r="J398" s="307"/>
      <c r="K398" s="308"/>
      <c r="L398" s="24"/>
    </row>
    <row r="399" spans="1:12" ht="18.45" customHeight="1">
      <c r="A399" s="314"/>
      <c r="B399" s="315"/>
      <c r="C399" s="22">
        <v>6</v>
      </c>
      <c r="D399" s="309"/>
      <c r="E399" s="310"/>
      <c r="F399" s="310"/>
      <c r="G399" s="310"/>
      <c r="H399" s="310"/>
      <c r="I399" s="311"/>
      <c r="J399" s="307"/>
      <c r="K399" s="308"/>
      <c r="L399" s="24"/>
    </row>
    <row r="400" spans="1:12" ht="18.45" customHeight="1">
      <c r="A400" s="316"/>
      <c r="B400" s="317"/>
      <c r="C400" s="22">
        <v>7</v>
      </c>
      <c r="D400" s="309"/>
      <c r="E400" s="310"/>
      <c r="F400" s="310"/>
      <c r="G400" s="310"/>
      <c r="H400" s="310"/>
      <c r="I400" s="311"/>
      <c r="J400" s="307"/>
      <c r="K400" s="308"/>
      <c r="L400" s="24"/>
    </row>
    <row r="401" spans="1:12" ht="18.45" customHeight="1">
      <c r="A401" s="312"/>
      <c r="B401" s="313"/>
      <c r="C401" s="22">
        <v>1</v>
      </c>
      <c r="D401" s="309"/>
      <c r="E401" s="310"/>
      <c r="F401" s="310"/>
      <c r="G401" s="310"/>
      <c r="H401" s="310"/>
      <c r="I401" s="311"/>
      <c r="J401" s="307"/>
      <c r="K401" s="308"/>
      <c r="L401" s="24"/>
    </row>
    <row r="402" spans="1:12" ht="18.45" customHeight="1">
      <c r="A402" s="314"/>
      <c r="B402" s="315"/>
      <c r="C402" s="22">
        <v>2</v>
      </c>
      <c r="D402" s="309"/>
      <c r="E402" s="310"/>
      <c r="F402" s="310"/>
      <c r="G402" s="310"/>
      <c r="H402" s="310"/>
      <c r="I402" s="311"/>
      <c r="J402" s="307"/>
      <c r="K402" s="308"/>
      <c r="L402" s="24"/>
    </row>
    <row r="403" spans="1:12" ht="18.45" customHeight="1">
      <c r="A403" s="314"/>
      <c r="B403" s="315"/>
      <c r="C403" s="22">
        <v>3</v>
      </c>
      <c r="D403" s="309"/>
      <c r="E403" s="310"/>
      <c r="F403" s="310"/>
      <c r="G403" s="310"/>
      <c r="H403" s="310"/>
      <c r="I403" s="311"/>
      <c r="J403" s="307"/>
      <c r="K403" s="308"/>
      <c r="L403" s="24"/>
    </row>
    <row r="404" spans="1:12" ht="18.45" customHeight="1">
      <c r="A404" s="314"/>
      <c r="B404" s="315"/>
      <c r="C404" s="22">
        <v>4</v>
      </c>
      <c r="D404" s="309"/>
      <c r="E404" s="310"/>
      <c r="F404" s="310"/>
      <c r="G404" s="310"/>
      <c r="H404" s="310"/>
      <c r="I404" s="311"/>
      <c r="J404" s="307"/>
      <c r="K404" s="308"/>
      <c r="L404" s="24"/>
    </row>
    <row r="405" spans="1:12" ht="18.45" customHeight="1">
      <c r="A405" s="314"/>
      <c r="B405" s="315"/>
      <c r="C405" s="22">
        <v>5</v>
      </c>
      <c r="D405" s="309"/>
      <c r="E405" s="310"/>
      <c r="F405" s="310"/>
      <c r="G405" s="310"/>
      <c r="H405" s="310"/>
      <c r="I405" s="311"/>
      <c r="J405" s="307"/>
      <c r="K405" s="308"/>
      <c r="L405" s="24"/>
    </row>
    <row r="406" spans="1:12" ht="18.45" customHeight="1">
      <c r="A406" s="314"/>
      <c r="B406" s="315"/>
      <c r="C406" s="22">
        <v>6</v>
      </c>
      <c r="D406" s="309"/>
      <c r="E406" s="310"/>
      <c r="F406" s="310"/>
      <c r="G406" s="310"/>
      <c r="H406" s="310"/>
      <c r="I406" s="311"/>
      <c r="J406" s="307"/>
      <c r="K406" s="308"/>
      <c r="L406" s="24"/>
    </row>
    <row r="407" spans="1:12" ht="18.45" customHeight="1">
      <c r="A407" s="316"/>
      <c r="B407" s="317"/>
      <c r="C407" s="22">
        <v>7</v>
      </c>
      <c r="D407" s="309"/>
      <c r="E407" s="310"/>
      <c r="F407" s="310"/>
      <c r="G407" s="310"/>
      <c r="H407" s="310"/>
      <c r="I407" s="311"/>
      <c r="J407" s="307"/>
      <c r="K407" s="308"/>
      <c r="L407" s="24"/>
    </row>
    <row r="408" spans="1:12" ht="18.45" customHeight="1">
      <c r="A408" s="312"/>
      <c r="B408" s="313"/>
      <c r="C408" s="22">
        <v>1</v>
      </c>
      <c r="D408" s="309"/>
      <c r="E408" s="310"/>
      <c r="F408" s="310"/>
      <c r="G408" s="310"/>
      <c r="H408" s="310"/>
      <c r="I408" s="311"/>
      <c r="J408" s="307"/>
      <c r="K408" s="308"/>
      <c r="L408" s="24"/>
    </row>
    <row r="409" spans="1:12" ht="18.45" customHeight="1">
      <c r="A409" s="314"/>
      <c r="B409" s="315"/>
      <c r="C409" s="22">
        <v>2</v>
      </c>
      <c r="D409" s="309"/>
      <c r="E409" s="310"/>
      <c r="F409" s="310"/>
      <c r="G409" s="310"/>
      <c r="H409" s="310"/>
      <c r="I409" s="311"/>
      <c r="J409" s="307"/>
      <c r="K409" s="308"/>
      <c r="L409" s="24"/>
    </row>
    <row r="410" spans="1:12" ht="18.45" customHeight="1">
      <c r="A410" s="314"/>
      <c r="B410" s="315"/>
      <c r="C410" s="22">
        <v>3</v>
      </c>
      <c r="D410" s="309"/>
      <c r="E410" s="310"/>
      <c r="F410" s="310"/>
      <c r="G410" s="310"/>
      <c r="H410" s="310"/>
      <c r="I410" s="311"/>
      <c r="J410" s="307"/>
      <c r="K410" s="308"/>
      <c r="L410" s="24"/>
    </row>
    <row r="411" spans="1:12" ht="18.45" customHeight="1">
      <c r="A411" s="314"/>
      <c r="B411" s="315"/>
      <c r="C411" s="22">
        <v>4</v>
      </c>
      <c r="D411" s="309"/>
      <c r="E411" s="310"/>
      <c r="F411" s="310"/>
      <c r="G411" s="310"/>
      <c r="H411" s="310"/>
      <c r="I411" s="311"/>
      <c r="J411" s="307"/>
      <c r="K411" s="308"/>
      <c r="L411" s="24"/>
    </row>
    <row r="412" spans="1:12" ht="18.45" customHeight="1">
      <c r="A412" s="314"/>
      <c r="B412" s="315"/>
      <c r="C412" s="22">
        <v>5</v>
      </c>
      <c r="D412" s="309"/>
      <c r="E412" s="310"/>
      <c r="F412" s="310"/>
      <c r="G412" s="310"/>
      <c r="H412" s="310"/>
      <c r="I412" s="311"/>
      <c r="J412" s="307"/>
      <c r="K412" s="308"/>
      <c r="L412" s="24"/>
    </row>
    <row r="413" spans="1:12" ht="18.45" customHeight="1">
      <c r="A413" s="314"/>
      <c r="B413" s="315"/>
      <c r="C413" s="22">
        <v>6</v>
      </c>
      <c r="D413" s="309"/>
      <c r="E413" s="310"/>
      <c r="F413" s="310"/>
      <c r="G413" s="310"/>
      <c r="H413" s="310"/>
      <c r="I413" s="311"/>
      <c r="J413" s="307"/>
      <c r="K413" s="308"/>
      <c r="L413" s="24"/>
    </row>
    <row r="414" spans="1:12" ht="18.45" customHeight="1">
      <c r="A414" s="316"/>
      <c r="B414" s="317"/>
      <c r="C414" s="22">
        <v>7</v>
      </c>
      <c r="D414" s="309"/>
      <c r="E414" s="310"/>
      <c r="F414" s="310"/>
      <c r="G414" s="310"/>
      <c r="H414" s="310"/>
      <c r="I414" s="311"/>
      <c r="J414" s="307"/>
      <c r="K414" s="308"/>
      <c r="L414" s="24"/>
    </row>
    <row r="415" spans="1:12" ht="18.45" customHeight="1">
      <c r="A415" s="312"/>
      <c r="B415" s="313"/>
      <c r="C415" s="22">
        <v>1</v>
      </c>
      <c r="D415" s="309"/>
      <c r="E415" s="310"/>
      <c r="F415" s="310"/>
      <c r="G415" s="310"/>
      <c r="H415" s="310"/>
      <c r="I415" s="311"/>
      <c r="J415" s="307"/>
      <c r="K415" s="308"/>
      <c r="L415" s="24"/>
    </row>
    <row r="416" spans="1:12" ht="18.45" customHeight="1">
      <c r="A416" s="314"/>
      <c r="B416" s="315"/>
      <c r="C416" s="22">
        <v>2</v>
      </c>
      <c r="D416" s="309"/>
      <c r="E416" s="310"/>
      <c r="F416" s="310"/>
      <c r="G416" s="310"/>
      <c r="H416" s="310"/>
      <c r="I416" s="311"/>
      <c r="J416" s="307"/>
      <c r="K416" s="308"/>
      <c r="L416" s="24"/>
    </row>
    <row r="417" spans="1:12" ht="18.45" customHeight="1">
      <c r="A417" s="314"/>
      <c r="B417" s="315"/>
      <c r="C417" s="22">
        <v>3</v>
      </c>
      <c r="D417" s="309"/>
      <c r="E417" s="310"/>
      <c r="F417" s="310"/>
      <c r="G417" s="310"/>
      <c r="H417" s="310"/>
      <c r="I417" s="311"/>
      <c r="J417" s="307"/>
      <c r="K417" s="308"/>
      <c r="L417" s="24"/>
    </row>
    <row r="418" spans="1:12" ht="18.45" customHeight="1">
      <c r="A418" s="314"/>
      <c r="B418" s="315"/>
      <c r="C418" s="22">
        <v>4</v>
      </c>
      <c r="D418" s="309"/>
      <c r="E418" s="310"/>
      <c r="F418" s="310"/>
      <c r="G418" s="310"/>
      <c r="H418" s="310"/>
      <c r="I418" s="311"/>
      <c r="J418" s="307"/>
      <c r="K418" s="308"/>
      <c r="L418" s="24"/>
    </row>
    <row r="419" spans="1:12" ht="18.45" customHeight="1">
      <c r="A419" s="314"/>
      <c r="B419" s="315"/>
      <c r="C419" s="22">
        <v>5</v>
      </c>
      <c r="D419" s="309"/>
      <c r="E419" s="310"/>
      <c r="F419" s="310"/>
      <c r="G419" s="310"/>
      <c r="H419" s="310"/>
      <c r="I419" s="311"/>
      <c r="J419" s="307"/>
      <c r="K419" s="308"/>
      <c r="L419" s="24"/>
    </row>
    <row r="420" spans="1:12" ht="18.45" customHeight="1">
      <c r="A420" s="314"/>
      <c r="B420" s="315"/>
      <c r="C420" s="22">
        <v>6</v>
      </c>
      <c r="D420" s="309"/>
      <c r="E420" s="310"/>
      <c r="F420" s="310"/>
      <c r="G420" s="310"/>
      <c r="H420" s="310"/>
      <c r="I420" s="311"/>
      <c r="J420" s="307"/>
      <c r="K420" s="308"/>
      <c r="L420" s="24"/>
    </row>
    <row r="421" spans="1:12" ht="18.45" customHeight="1">
      <c r="A421" s="316"/>
      <c r="B421" s="317"/>
      <c r="C421" s="22">
        <v>7</v>
      </c>
      <c r="D421" s="309"/>
      <c r="E421" s="310"/>
      <c r="F421" s="310"/>
      <c r="G421" s="310"/>
      <c r="H421" s="310"/>
      <c r="I421" s="311"/>
      <c r="J421" s="307"/>
      <c r="K421" s="308"/>
      <c r="L421" s="24"/>
    </row>
    <row r="422" spans="1:12" ht="18.45" customHeight="1">
      <c r="A422" s="312"/>
      <c r="B422" s="313"/>
      <c r="C422" s="22">
        <v>1</v>
      </c>
      <c r="D422" s="309"/>
      <c r="E422" s="310"/>
      <c r="F422" s="310"/>
      <c r="G422" s="310"/>
      <c r="H422" s="310"/>
      <c r="I422" s="311"/>
      <c r="J422" s="307"/>
      <c r="K422" s="308"/>
      <c r="L422" s="24"/>
    </row>
    <row r="423" spans="1:12" ht="18.45" customHeight="1">
      <c r="A423" s="314"/>
      <c r="B423" s="315"/>
      <c r="C423" s="22">
        <v>2</v>
      </c>
      <c r="D423" s="309"/>
      <c r="E423" s="310"/>
      <c r="F423" s="310"/>
      <c r="G423" s="310"/>
      <c r="H423" s="310"/>
      <c r="I423" s="311"/>
      <c r="J423" s="307"/>
      <c r="K423" s="308"/>
      <c r="L423" s="24"/>
    </row>
    <row r="424" spans="1:12" ht="18.45" customHeight="1">
      <c r="A424" s="314"/>
      <c r="B424" s="315"/>
      <c r="C424" s="22">
        <v>3</v>
      </c>
      <c r="D424" s="309"/>
      <c r="E424" s="310"/>
      <c r="F424" s="310"/>
      <c r="G424" s="310"/>
      <c r="H424" s="310"/>
      <c r="I424" s="311"/>
      <c r="J424" s="307"/>
      <c r="K424" s="308"/>
      <c r="L424" s="24"/>
    </row>
    <row r="425" spans="1:12" ht="18.45" customHeight="1">
      <c r="A425" s="314"/>
      <c r="B425" s="315"/>
      <c r="C425" s="22">
        <v>4</v>
      </c>
      <c r="D425" s="309"/>
      <c r="E425" s="310"/>
      <c r="F425" s="310"/>
      <c r="G425" s="310"/>
      <c r="H425" s="310"/>
      <c r="I425" s="311"/>
      <c r="J425" s="307"/>
      <c r="K425" s="308"/>
      <c r="L425" s="24"/>
    </row>
    <row r="426" spans="1:12" ht="18.45" customHeight="1">
      <c r="A426" s="314"/>
      <c r="B426" s="315"/>
      <c r="C426" s="22">
        <v>5</v>
      </c>
      <c r="D426" s="309"/>
      <c r="E426" s="310"/>
      <c r="F426" s="310"/>
      <c r="G426" s="310"/>
      <c r="H426" s="310"/>
      <c r="I426" s="311"/>
      <c r="J426" s="307"/>
      <c r="K426" s="308"/>
      <c r="L426" s="24"/>
    </row>
    <row r="427" spans="1:12" ht="18.45" customHeight="1">
      <c r="A427" s="314"/>
      <c r="B427" s="315"/>
      <c r="C427" s="22">
        <v>6</v>
      </c>
      <c r="D427" s="309"/>
      <c r="E427" s="310"/>
      <c r="F427" s="310"/>
      <c r="G427" s="310"/>
      <c r="H427" s="310"/>
      <c r="I427" s="311"/>
      <c r="J427" s="307"/>
      <c r="K427" s="308"/>
      <c r="L427" s="24"/>
    </row>
    <row r="428" spans="1:12" ht="18.45" customHeight="1">
      <c r="A428" s="316"/>
      <c r="B428" s="317"/>
      <c r="C428" s="22">
        <v>7</v>
      </c>
      <c r="D428" s="309"/>
      <c r="E428" s="310"/>
      <c r="F428" s="310"/>
      <c r="G428" s="310"/>
      <c r="H428" s="310"/>
      <c r="I428" s="311"/>
      <c r="J428" s="307"/>
      <c r="K428" s="308"/>
      <c r="L428" s="24"/>
    </row>
    <row r="429" spans="1:12" ht="18.45" customHeight="1">
      <c r="A429" s="312"/>
      <c r="B429" s="313"/>
      <c r="C429" s="22">
        <v>1</v>
      </c>
      <c r="D429" s="309"/>
      <c r="E429" s="310"/>
      <c r="F429" s="310"/>
      <c r="G429" s="310"/>
      <c r="H429" s="310"/>
      <c r="I429" s="311"/>
      <c r="J429" s="307"/>
      <c r="K429" s="308"/>
      <c r="L429" s="24"/>
    </row>
    <row r="430" spans="1:12" ht="18.45" customHeight="1">
      <c r="A430" s="314"/>
      <c r="B430" s="315"/>
      <c r="C430" s="22">
        <v>2</v>
      </c>
      <c r="D430" s="309"/>
      <c r="E430" s="310"/>
      <c r="F430" s="310"/>
      <c r="G430" s="310"/>
      <c r="H430" s="310"/>
      <c r="I430" s="311"/>
      <c r="J430" s="307"/>
      <c r="K430" s="308"/>
      <c r="L430" s="24"/>
    </row>
    <row r="431" spans="1:12" ht="18.45" customHeight="1">
      <c r="A431" s="314"/>
      <c r="B431" s="315"/>
      <c r="C431" s="22">
        <v>3</v>
      </c>
      <c r="D431" s="309"/>
      <c r="E431" s="310"/>
      <c r="F431" s="310"/>
      <c r="G431" s="310"/>
      <c r="H431" s="310"/>
      <c r="I431" s="311"/>
      <c r="J431" s="307"/>
      <c r="K431" s="308"/>
      <c r="L431" s="24"/>
    </row>
    <row r="432" spans="1:12" ht="18.45" customHeight="1">
      <c r="A432" s="314"/>
      <c r="B432" s="315"/>
      <c r="C432" s="22">
        <v>4</v>
      </c>
      <c r="D432" s="309"/>
      <c r="E432" s="310"/>
      <c r="F432" s="310"/>
      <c r="G432" s="310"/>
      <c r="H432" s="310"/>
      <c r="I432" s="311"/>
      <c r="J432" s="307"/>
      <c r="K432" s="308"/>
      <c r="L432" s="24"/>
    </row>
    <row r="433" spans="1:12" ht="18.45" customHeight="1">
      <c r="A433" s="314"/>
      <c r="B433" s="315"/>
      <c r="C433" s="22">
        <v>5</v>
      </c>
      <c r="D433" s="309"/>
      <c r="E433" s="310"/>
      <c r="F433" s="310"/>
      <c r="G433" s="310"/>
      <c r="H433" s="310"/>
      <c r="I433" s="311"/>
      <c r="J433" s="307"/>
      <c r="K433" s="308"/>
      <c r="L433" s="24"/>
    </row>
    <row r="434" spans="1:12" ht="18.45" customHeight="1">
      <c r="A434" s="314"/>
      <c r="B434" s="315"/>
      <c r="C434" s="22">
        <v>6</v>
      </c>
      <c r="D434" s="309"/>
      <c r="E434" s="310"/>
      <c r="F434" s="310"/>
      <c r="G434" s="310"/>
      <c r="H434" s="310"/>
      <c r="I434" s="311"/>
      <c r="J434" s="307"/>
      <c r="K434" s="308"/>
      <c r="L434" s="24"/>
    </row>
    <row r="435" spans="1:12" ht="18.45" customHeight="1">
      <c r="A435" s="316"/>
      <c r="B435" s="317"/>
      <c r="C435" s="22">
        <v>7</v>
      </c>
      <c r="D435" s="309"/>
      <c r="E435" s="310"/>
      <c r="F435" s="310"/>
      <c r="G435" s="310"/>
      <c r="H435" s="310"/>
      <c r="I435" s="311"/>
      <c r="J435" s="307"/>
      <c r="K435" s="308"/>
      <c r="L435" s="24"/>
    </row>
    <row r="436" spans="1:12" ht="18.45" customHeight="1">
      <c r="A436" s="312"/>
      <c r="B436" s="313"/>
      <c r="C436" s="22">
        <v>1</v>
      </c>
      <c r="D436" s="309"/>
      <c r="E436" s="310"/>
      <c r="F436" s="310"/>
      <c r="G436" s="310"/>
      <c r="H436" s="310"/>
      <c r="I436" s="311"/>
      <c r="J436" s="307"/>
      <c r="K436" s="308"/>
      <c r="L436" s="24"/>
    </row>
    <row r="437" spans="1:12" ht="18.45" customHeight="1">
      <c r="A437" s="314"/>
      <c r="B437" s="315"/>
      <c r="C437" s="22">
        <v>2</v>
      </c>
      <c r="D437" s="309"/>
      <c r="E437" s="310"/>
      <c r="F437" s="310"/>
      <c r="G437" s="310"/>
      <c r="H437" s="310"/>
      <c r="I437" s="311"/>
      <c r="J437" s="307"/>
      <c r="K437" s="308"/>
      <c r="L437" s="24"/>
    </row>
    <row r="438" spans="1:12" ht="18.45" customHeight="1">
      <c r="A438" s="314"/>
      <c r="B438" s="315"/>
      <c r="C438" s="22">
        <v>3</v>
      </c>
      <c r="D438" s="309"/>
      <c r="E438" s="310"/>
      <c r="F438" s="310"/>
      <c r="G438" s="310"/>
      <c r="H438" s="310"/>
      <c r="I438" s="311"/>
      <c r="J438" s="307"/>
      <c r="K438" s="308"/>
      <c r="L438" s="24"/>
    </row>
    <row r="439" spans="1:12" ht="18.45" customHeight="1">
      <c r="A439" s="314"/>
      <c r="B439" s="315"/>
      <c r="C439" s="22">
        <v>4</v>
      </c>
      <c r="D439" s="309"/>
      <c r="E439" s="310"/>
      <c r="F439" s="310"/>
      <c r="G439" s="310"/>
      <c r="H439" s="310"/>
      <c r="I439" s="311"/>
      <c r="J439" s="307"/>
      <c r="K439" s="308"/>
      <c r="L439" s="24"/>
    </row>
    <row r="440" spans="1:12" ht="18.45" customHeight="1">
      <c r="A440" s="314"/>
      <c r="B440" s="315"/>
      <c r="C440" s="22">
        <v>5</v>
      </c>
      <c r="D440" s="309"/>
      <c r="E440" s="310"/>
      <c r="F440" s="310"/>
      <c r="G440" s="310"/>
      <c r="H440" s="310"/>
      <c r="I440" s="311"/>
      <c r="J440" s="307"/>
      <c r="K440" s="308"/>
      <c r="L440" s="24"/>
    </row>
    <row r="441" spans="1:12" ht="18.45" customHeight="1">
      <c r="A441" s="314"/>
      <c r="B441" s="315"/>
      <c r="C441" s="22">
        <v>6</v>
      </c>
      <c r="D441" s="309"/>
      <c r="E441" s="310"/>
      <c r="F441" s="310"/>
      <c r="G441" s="310"/>
      <c r="H441" s="310"/>
      <c r="I441" s="311"/>
      <c r="J441" s="307"/>
      <c r="K441" s="308"/>
      <c r="L441" s="24"/>
    </row>
    <row r="442" spans="1:12" ht="18.45" customHeight="1">
      <c r="A442" s="316"/>
      <c r="B442" s="317"/>
      <c r="C442" s="22">
        <v>7</v>
      </c>
      <c r="D442" s="309"/>
      <c r="E442" s="310"/>
      <c r="F442" s="310"/>
      <c r="G442" s="310"/>
      <c r="H442" s="310"/>
      <c r="I442" s="311"/>
      <c r="J442" s="307"/>
      <c r="K442" s="308"/>
      <c r="L442" s="24"/>
    </row>
  </sheetData>
  <mergeCells count="948">
    <mergeCell ref="A436:B442"/>
    <mergeCell ref="D436:I436"/>
    <mergeCell ref="J436:K436"/>
    <mergeCell ref="D437:I437"/>
    <mergeCell ref="J437:K437"/>
    <mergeCell ref="D438:I438"/>
    <mergeCell ref="J438:K438"/>
    <mergeCell ref="D440:I440"/>
    <mergeCell ref="J440:K440"/>
    <mergeCell ref="D441:I441"/>
    <mergeCell ref="J441:K441"/>
    <mergeCell ref="D442:I442"/>
    <mergeCell ref="J442:K442"/>
    <mergeCell ref="D439:I439"/>
    <mergeCell ref="J439:K439"/>
    <mergeCell ref="A408:B414"/>
    <mergeCell ref="D408:I408"/>
    <mergeCell ref="J408:K408"/>
    <mergeCell ref="D409:I409"/>
    <mergeCell ref="J409:K409"/>
    <mergeCell ref="D410:I410"/>
    <mergeCell ref="A429:B435"/>
    <mergeCell ref="D429:I429"/>
    <mergeCell ref="J429:K429"/>
    <mergeCell ref="D430:I430"/>
    <mergeCell ref="J430:K430"/>
    <mergeCell ref="D431:I431"/>
    <mergeCell ref="J431:K431"/>
    <mergeCell ref="D432:I432"/>
    <mergeCell ref="J432:K432"/>
    <mergeCell ref="D433:I433"/>
    <mergeCell ref="J433:K433"/>
    <mergeCell ref="D434:I434"/>
    <mergeCell ref="J434:K434"/>
    <mergeCell ref="D435:I435"/>
    <mergeCell ref="J435:K435"/>
    <mergeCell ref="A415:B421"/>
    <mergeCell ref="D415:I415"/>
    <mergeCell ref="D418:I418"/>
    <mergeCell ref="J418:K418"/>
    <mergeCell ref="D419:I419"/>
    <mergeCell ref="J419:K419"/>
    <mergeCell ref="J415:K415"/>
    <mergeCell ref="D416:I416"/>
    <mergeCell ref="J416:K416"/>
    <mergeCell ref="D417:I417"/>
    <mergeCell ref="J417:K417"/>
    <mergeCell ref="D420:I420"/>
    <mergeCell ref="J420:K420"/>
    <mergeCell ref="D421:I421"/>
    <mergeCell ref="J421:K421"/>
    <mergeCell ref="J410:K410"/>
    <mergeCell ref="A422:B428"/>
    <mergeCell ref="D422:I422"/>
    <mergeCell ref="J422:K422"/>
    <mergeCell ref="D423:I423"/>
    <mergeCell ref="J423:K423"/>
    <mergeCell ref="D424:I424"/>
    <mergeCell ref="J424:K424"/>
    <mergeCell ref="D425:I425"/>
    <mergeCell ref="J425:K425"/>
    <mergeCell ref="D426:I426"/>
    <mergeCell ref="J426:K426"/>
    <mergeCell ref="D427:I427"/>
    <mergeCell ref="J427:K427"/>
    <mergeCell ref="D428:I428"/>
    <mergeCell ref="J428:K428"/>
    <mergeCell ref="D411:I411"/>
    <mergeCell ref="J411:K411"/>
    <mergeCell ref="D412:I412"/>
    <mergeCell ref="J412:K412"/>
    <mergeCell ref="D413:I413"/>
    <mergeCell ref="J413:K413"/>
    <mergeCell ref="D414:I414"/>
    <mergeCell ref="J414:K414"/>
    <mergeCell ref="A380:B386"/>
    <mergeCell ref="D380:I380"/>
    <mergeCell ref="J380:K380"/>
    <mergeCell ref="D381:I381"/>
    <mergeCell ref="J381:K381"/>
    <mergeCell ref="D382:I382"/>
    <mergeCell ref="A401:B407"/>
    <mergeCell ref="D401:I401"/>
    <mergeCell ref="J401:K401"/>
    <mergeCell ref="D402:I402"/>
    <mergeCell ref="J402:K402"/>
    <mergeCell ref="D403:I403"/>
    <mergeCell ref="J403:K403"/>
    <mergeCell ref="D404:I404"/>
    <mergeCell ref="J404:K404"/>
    <mergeCell ref="D405:I405"/>
    <mergeCell ref="J405:K405"/>
    <mergeCell ref="D406:I406"/>
    <mergeCell ref="J406:K406"/>
    <mergeCell ref="D407:I407"/>
    <mergeCell ref="J407:K407"/>
    <mergeCell ref="A387:B393"/>
    <mergeCell ref="D387:I387"/>
    <mergeCell ref="J387:K387"/>
    <mergeCell ref="D388:I388"/>
    <mergeCell ref="J388:K388"/>
    <mergeCell ref="D389:I389"/>
    <mergeCell ref="J389:K389"/>
    <mergeCell ref="D390:I390"/>
    <mergeCell ref="J390:K390"/>
    <mergeCell ref="D391:I391"/>
    <mergeCell ref="J391:K391"/>
    <mergeCell ref="D392:I392"/>
    <mergeCell ref="J392:K392"/>
    <mergeCell ref="D393:I393"/>
    <mergeCell ref="J393:K393"/>
    <mergeCell ref="J382:K382"/>
    <mergeCell ref="A394:B400"/>
    <mergeCell ref="D394:I394"/>
    <mergeCell ref="J394:K394"/>
    <mergeCell ref="D395:I395"/>
    <mergeCell ref="J395:K395"/>
    <mergeCell ref="D396:I396"/>
    <mergeCell ref="J396:K396"/>
    <mergeCell ref="D397:I397"/>
    <mergeCell ref="J397:K397"/>
    <mergeCell ref="D398:I398"/>
    <mergeCell ref="J398:K398"/>
    <mergeCell ref="D399:I399"/>
    <mergeCell ref="J399:K399"/>
    <mergeCell ref="D400:I400"/>
    <mergeCell ref="J400:K400"/>
    <mergeCell ref="D383:I383"/>
    <mergeCell ref="J383:K383"/>
    <mergeCell ref="D384:I384"/>
    <mergeCell ref="J384:K384"/>
    <mergeCell ref="D385:I385"/>
    <mergeCell ref="J385:K385"/>
    <mergeCell ref="D386:I386"/>
    <mergeCell ref="J386:K386"/>
    <mergeCell ref="A373:B379"/>
    <mergeCell ref="D373:I373"/>
    <mergeCell ref="J373:K373"/>
    <mergeCell ref="D374:I374"/>
    <mergeCell ref="J374:K374"/>
    <mergeCell ref="D375:I375"/>
    <mergeCell ref="J375:K375"/>
    <mergeCell ref="D376:I376"/>
    <mergeCell ref="J376:K376"/>
    <mergeCell ref="D377:I377"/>
    <mergeCell ref="J377:K377"/>
    <mergeCell ref="D378:I378"/>
    <mergeCell ref="J378:K378"/>
    <mergeCell ref="D379:I379"/>
    <mergeCell ref="J379:K379"/>
    <mergeCell ref="A366:B372"/>
    <mergeCell ref="D366:I366"/>
    <mergeCell ref="J366:K366"/>
    <mergeCell ref="D367:I367"/>
    <mergeCell ref="J367:K367"/>
    <mergeCell ref="D368:I368"/>
    <mergeCell ref="J368:K368"/>
    <mergeCell ref="D369:I369"/>
    <mergeCell ref="J369:K369"/>
    <mergeCell ref="D370:I370"/>
    <mergeCell ref="J370:K370"/>
    <mergeCell ref="D371:I371"/>
    <mergeCell ref="J371:K371"/>
    <mergeCell ref="D372:I372"/>
    <mergeCell ref="J372:K372"/>
    <mergeCell ref="A359:B365"/>
    <mergeCell ref="D359:I359"/>
    <mergeCell ref="J359:K359"/>
    <mergeCell ref="D360:I360"/>
    <mergeCell ref="J360:K360"/>
    <mergeCell ref="D361:I361"/>
    <mergeCell ref="J361:K361"/>
    <mergeCell ref="D362:I362"/>
    <mergeCell ref="J362:K362"/>
    <mergeCell ref="D363:I363"/>
    <mergeCell ref="J363:K363"/>
    <mergeCell ref="D364:I364"/>
    <mergeCell ref="J364:K364"/>
    <mergeCell ref="D365:I365"/>
    <mergeCell ref="J365:K365"/>
    <mergeCell ref="A352:B358"/>
    <mergeCell ref="D352:I352"/>
    <mergeCell ref="J352:K352"/>
    <mergeCell ref="D353:I353"/>
    <mergeCell ref="J353:K353"/>
    <mergeCell ref="D354:I354"/>
    <mergeCell ref="J354:K354"/>
    <mergeCell ref="D355:I355"/>
    <mergeCell ref="J355:K355"/>
    <mergeCell ref="D356:I356"/>
    <mergeCell ref="J356:K356"/>
    <mergeCell ref="D357:I357"/>
    <mergeCell ref="J357:K357"/>
    <mergeCell ref="D358:I358"/>
    <mergeCell ref="J358:K358"/>
    <mergeCell ref="A345:B351"/>
    <mergeCell ref="D345:I345"/>
    <mergeCell ref="J345:K345"/>
    <mergeCell ref="D346:I346"/>
    <mergeCell ref="J346:K346"/>
    <mergeCell ref="D347:I347"/>
    <mergeCell ref="J347:K347"/>
    <mergeCell ref="D348:I348"/>
    <mergeCell ref="J348:K348"/>
    <mergeCell ref="D349:I349"/>
    <mergeCell ref="J349:K349"/>
    <mergeCell ref="D350:I350"/>
    <mergeCell ref="J350:K350"/>
    <mergeCell ref="D351:I351"/>
    <mergeCell ref="J351:K351"/>
    <mergeCell ref="A331:B337"/>
    <mergeCell ref="D331:I331"/>
    <mergeCell ref="J331:K331"/>
    <mergeCell ref="D332:I332"/>
    <mergeCell ref="J332:K332"/>
    <mergeCell ref="D333:I333"/>
    <mergeCell ref="J333:K333"/>
    <mergeCell ref="D334:I334"/>
    <mergeCell ref="J334:K334"/>
    <mergeCell ref="A324:B330"/>
    <mergeCell ref="D324:I324"/>
    <mergeCell ref="J324:K324"/>
    <mergeCell ref="D325:I325"/>
    <mergeCell ref="J325:K325"/>
    <mergeCell ref="D326:I326"/>
    <mergeCell ref="J326:K326"/>
    <mergeCell ref="A338:B344"/>
    <mergeCell ref="D338:I338"/>
    <mergeCell ref="J338:K338"/>
    <mergeCell ref="D339:I339"/>
    <mergeCell ref="J339:K339"/>
    <mergeCell ref="D340:I340"/>
    <mergeCell ref="J340:K340"/>
    <mergeCell ref="D341:I341"/>
    <mergeCell ref="J341:K341"/>
    <mergeCell ref="D342:I342"/>
    <mergeCell ref="J342:K342"/>
    <mergeCell ref="D343:I343"/>
    <mergeCell ref="J343:K343"/>
    <mergeCell ref="D344:I344"/>
    <mergeCell ref="J344:K344"/>
    <mergeCell ref="D327:I327"/>
    <mergeCell ref="J327:K327"/>
    <mergeCell ref="A317:B323"/>
    <mergeCell ref="D317:I317"/>
    <mergeCell ref="J317:K317"/>
    <mergeCell ref="D318:I318"/>
    <mergeCell ref="J318:K318"/>
    <mergeCell ref="D319:I319"/>
    <mergeCell ref="J319:K319"/>
    <mergeCell ref="D320:I320"/>
    <mergeCell ref="J320:K320"/>
    <mergeCell ref="D321:I321"/>
    <mergeCell ref="J321:K321"/>
    <mergeCell ref="D322:I322"/>
    <mergeCell ref="J322:K322"/>
    <mergeCell ref="D323:I323"/>
    <mergeCell ref="J323:K323"/>
    <mergeCell ref="D315:I315"/>
    <mergeCell ref="J315:K315"/>
    <mergeCell ref="D316:I316"/>
    <mergeCell ref="J316:K316"/>
    <mergeCell ref="D335:I335"/>
    <mergeCell ref="J335:K335"/>
    <mergeCell ref="D336:I336"/>
    <mergeCell ref="J336:K336"/>
    <mergeCell ref="D337:I337"/>
    <mergeCell ref="J337:K337"/>
    <mergeCell ref="D328:I328"/>
    <mergeCell ref="J328:K328"/>
    <mergeCell ref="D329:I329"/>
    <mergeCell ref="J329:K329"/>
    <mergeCell ref="D330:I330"/>
    <mergeCell ref="J330:K330"/>
    <mergeCell ref="D310:I310"/>
    <mergeCell ref="J310:K310"/>
    <mergeCell ref="D311:I311"/>
    <mergeCell ref="J311:K311"/>
    <mergeCell ref="D312:I312"/>
    <mergeCell ref="J312:K312"/>
    <mergeCell ref="D313:I313"/>
    <mergeCell ref="J313:K313"/>
    <mergeCell ref="D314:I314"/>
    <mergeCell ref="J314:K314"/>
    <mergeCell ref="J299:K299"/>
    <mergeCell ref="D300:I300"/>
    <mergeCell ref="J300:K300"/>
    <mergeCell ref="D301:I301"/>
    <mergeCell ref="J301:K301"/>
    <mergeCell ref="D302:I302"/>
    <mergeCell ref="J302:K302"/>
    <mergeCell ref="A303:B309"/>
    <mergeCell ref="D303:I303"/>
    <mergeCell ref="J303:K303"/>
    <mergeCell ref="D304:I304"/>
    <mergeCell ref="J304:K304"/>
    <mergeCell ref="D305:I305"/>
    <mergeCell ref="J305:K305"/>
    <mergeCell ref="D306:I306"/>
    <mergeCell ref="J306:K306"/>
    <mergeCell ref="D307:I307"/>
    <mergeCell ref="J307:K307"/>
    <mergeCell ref="D308:I308"/>
    <mergeCell ref="J308:K308"/>
    <mergeCell ref="D309:I309"/>
    <mergeCell ref="J309:K309"/>
    <mergeCell ref="A310:B316"/>
    <mergeCell ref="A289:B295"/>
    <mergeCell ref="D289:I289"/>
    <mergeCell ref="J289:K289"/>
    <mergeCell ref="D290:I290"/>
    <mergeCell ref="J290:K290"/>
    <mergeCell ref="D291:I291"/>
    <mergeCell ref="J291:K291"/>
    <mergeCell ref="D292:I292"/>
    <mergeCell ref="J292:K292"/>
    <mergeCell ref="D293:I293"/>
    <mergeCell ref="J293:K293"/>
    <mergeCell ref="D294:I294"/>
    <mergeCell ref="J294:K294"/>
    <mergeCell ref="D295:I295"/>
    <mergeCell ref="J295:K295"/>
    <mergeCell ref="A296:B302"/>
    <mergeCell ref="D296:I296"/>
    <mergeCell ref="J296:K296"/>
    <mergeCell ref="D297:I297"/>
    <mergeCell ref="J297:K297"/>
    <mergeCell ref="D298:I298"/>
    <mergeCell ref="J298:K298"/>
    <mergeCell ref="D299:I299"/>
    <mergeCell ref="A282:B288"/>
    <mergeCell ref="D282:I282"/>
    <mergeCell ref="J282:K282"/>
    <mergeCell ref="D283:I283"/>
    <mergeCell ref="J283:K283"/>
    <mergeCell ref="D284:I284"/>
    <mergeCell ref="J284:K284"/>
    <mergeCell ref="D285:I285"/>
    <mergeCell ref="J285:K285"/>
    <mergeCell ref="D286:I286"/>
    <mergeCell ref="J286:K286"/>
    <mergeCell ref="D287:I287"/>
    <mergeCell ref="J287:K287"/>
    <mergeCell ref="D288:I288"/>
    <mergeCell ref="J288:K288"/>
    <mergeCell ref="A275:B281"/>
    <mergeCell ref="D275:I275"/>
    <mergeCell ref="J275:K275"/>
    <mergeCell ref="D276:I276"/>
    <mergeCell ref="J276:K276"/>
    <mergeCell ref="D277:I277"/>
    <mergeCell ref="J277:K277"/>
    <mergeCell ref="D278:I278"/>
    <mergeCell ref="J278:K278"/>
    <mergeCell ref="D279:I279"/>
    <mergeCell ref="J279:K279"/>
    <mergeCell ref="D280:I280"/>
    <mergeCell ref="J280:K280"/>
    <mergeCell ref="D281:I281"/>
    <mergeCell ref="J281:K281"/>
    <mergeCell ref="A268:B274"/>
    <mergeCell ref="D268:I268"/>
    <mergeCell ref="J268:K268"/>
    <mergeCell ref="D269:I269"/>
    <mergeCell ref="J269:K269"/>
    <mergeCell ref="D270:I270"/>
    <mergeCell ref="J270:K270"/>
    <mergeCell ref="D271:I271"/>
    <mergeCell ref="J271:K271"/>
    <mergeCell ref="D272:I272"/>
    <mergeCell ref="J272:K272"/>
    <mergeCell ref="D273:I273"/>
    <mergeCell ref="J273:K273"/>
    <mergeCell ref="D274:I274"/>
    <mergeCell ref="J274:K274"/>
    <mergeCell ref="A261:B267"/>
    <mergeCell ref="D261:I261"/>
    <mergeCell ref="J261:K261"/>
    <mergeCell ref="D262:I262"/>
    <mergeCell ref="J262:K262"/>
    <mergeCell ref="D263:I263"/>
    <mergeCell ref="J263:K263"/>
    <mergeCell ref="D264:I264"/>
    <mergeCell ref="J264:K264"/>
    <mergeCell ref="D265:I265"/>
    <mergeCell ref="J265:K265"/>
    <mergeCell ref="D266:I266"/>
    <mergeCell ref="J266:K266"/>
    <mergeCell ref="D267:I267"/>
    <mergeCell ref="J267:K267"/>
    <mergeCell ref="A254:B260"/>
    <mergeCell ref="D254:I254"/>
    <mergeCell ref="J254:K254"/>
    <mergeCell ref="D255:I255"/>
    <mergeCell ref="J255:K255"/>
    <mergeCell ref="D256:I256"/>
    <mergeCell ref="J256:K256"/>
    <mergeCell ref="D257:I257"/>
    <mergeCell ref="J257:K257"/>
    <mergeCell ref="D258:I258"/>
    <mergeCell ref="J258:K258"/>
    <mergeCell ref="D259:I259"/>
    <mergeCell ref="J259:K259"/>
    <mergeCell ref="D260:I260"/>
    <mergeCell ref="J260:K260"/>
    <mergeCell ref="A247:B253"/>
    <mergeCell ref="D247:I247"/>
    <mergeCell ref="J247:K247"/>
    <mergeCell ref="D248:I248"/>
    <mergeCell ref="J248:K248"/>
    <mergeCell ref="D249:I249"/>
    <mergeCell ref="J249:K249"/>
    <mergeCell ref="D250:I250"/>
    <mergeCell ref="J250:K250"/>
    <mergeCell ref="D251:I251"/>
    <mergeCell ref="J251:K251"/>
    <mergeCell ref="D252:I252"/>
    <mergeCell ref="J252:K252"/>
    <mergeCell ref="D253:I253"/>
    <mergeCell ref="J253:K253"/>
    <mergeCell ref="A240:B246"/>
    <mergeCell ref="D240:I240"/>
    <mergeCell ref="J240:K240"/>
    <mergeCell ref="D241:I241"/>
    <mergeCell ref="J241:K241"/>
    <mergeCell ref="D242:I242"/>
    <mergeCell ref="J242:K242"/>
    <mergeCell ref="D243:I243"/>
    <mergeCell ref="J243:K243"/>
    <mergeCell ref="D244:I244"/>
    <mergeCell ref="J244:K244"/>
    <mergeCell ref="D245:I245"/>
    <mergeCell ref="J245:K245"/>
    <mergeCell ref="D246:I246"/>
    <mergeCell ref="J246:K246"/>
    <mergeCell ref="A233:B239"/>
    <mergeCell ref="D233:I233"/>
    <mergeCell ref="J233:K233"/>
    <mergeCell ref="D234:I234"/>
    <mergeCell ref="J234:K234"/>
    <mergeCell ref="D235:I235"/>
    <mergeCell ref="J235:K235"/>
    <mergeCell ref="D236:I236"/>
    <mergeCell ref="J236:K236"/>
    <mergeCell ref="D237:I237"/>
    <mergeCell ref="J237:K237"/>
    <mergeCell ref="D238:I238"/>
    <mergeCell ref="J238:K238"/>
    <mergeCell ref="D239:I239"/>
    <mergeCell ref="J239:K239"/>
    <mergeCell ref="A219:B225"/>
    <mergeCell ref="D219:I219"/>
    <mergeCell ref="J219:K219"/>
    <mergeCell ref="D220:I220"/>
    <mergeCell ref="J220:K220"/>
    <mergeCell ref="D221:I221"/>
    <mergeCell ref="J221:K221"/>
    <mergeCell ref="D222:I222"/>
    <mergeCell ref="J222:K222"/>
    <mergeCell ref="D223:I223"/>
    <mergeCell ref="J223:K223"/>
    <mergeCell ref="D224:I224"/>
    <mergeCell ref="J224:K224"/>
    <mergeCell ref="D225:I225"/>
    <mergeCell ref="J225:K225"/>
    <mergeCell ref="A226:B232"/>
    <mergeCell ref="D226:I226"/>
    <mergeCell ref="J226:K226"/>
    <mergeCell ref="D227:I227"/>
    <mergeCell ref="J227:K227"/>
    <mergeCell ref="D228:I228"/>
    <mergeCell ref="J228:K228"/>
    <mergeCell ref="D229:I229"/>
    <mergeCell ref="J229:K229"/>
    <mergeCell ref="D230:I230"/>
    <mergeCell ref="J230:K230"/>
    <mergeCell ref="D231:I231"/>
    <mergeCell ref="J231:K231"/>
    <mergeCell ref="D232:I232"/>
    <mergeCell ref="J232:K232"/>
    <mergeCell ref="A212:B218"/>
    <mergeCell ref="D212:I212"/>
    <mergeCell ref="J212:K212"/>
    <mergeCell ref="D213:I213"/>
    <mergeCell ref="J213:K213"/>
    <mergeCell ref="D214:I214"/>
    <mergeCell ref="J214:K214"/>
    <mergeCell ref="D215:I215"/>
    <mergeCell ref="J215:K215"/>
    <mergeCell ref="D216:I216"/>
    <mergeCell ref="J216:K216"/>
    <mergeCell ref="D217:I217"/>
    <mergeCell ref="J217:K217"/>
    <mergeCell ref="D218:I218"/>
    <mergeCell ref="J218:K218"/>
    <mergeCell ref="A205:B211"/>
    <mergeCell ref="D205:I205"/>
    <mergeCell ref="J205:K205"/>
    <mergeCell ref="D206:I206"/>
    <mergeCell ref="J206:K206"/>
    <mergeCell ref="D207:I207"/>
    <mergeCell ref="J207:K207"/>
    <mergeCell ref="D208:I208"/>
    <mergeCell ref="J208:K208"/>
    <mergeCell ref="D209:I209"/>
    <mergeCell ref="J209:K209"/>
    <mergeCell ref="D210:I210"/>
    <mergeCell ref="J210:K210"/>
    <mergeCell ref="D211:I211"/>
    <mergeCell ref="J211:K211"/>
    <mergeCell ref="A184:B190"/>
    <mergeCell ref="D184:I184"/>
    <mergeCell ref="J184:K184"/>
    <mergeCell ref="D185:I185"/>
    <mergeCell ref="A198:B204"/>
    <mergeCell ref="D198:I198"/>
    <mergeCell ref="J198:K198"/>
    <mergeCell ref="D199:I199"/>
    <mergeCell ref="J199:K199"/>
    <mergeCell ref="D200:I200"/>
    <mergeCell ref="J200:K200"/>
    <mergeCell ref="D201:I201"/>
    <mergeCell ref="J201:K201"/>
    <mergeCell ref="D202:I202"/>
    <mergeCell ref="J202:K202"/>
    <mergeCell ref="D203:I203"/>
    <mergeCell ref="J203:K203"/>
    <mergeCell ref="D204:I204"/>
    <mergeCell ref="J204:K204"/>
    <mergeCell ref="D186:I186"/>
    <mergeCell ref="A191:B197"/>
    <mergeCell ref="D191:I191"/>
    <mergeCell ref="J191:K191"/>
    <mergeCell ref="D192:I192"/>
    <mergeCell ref="A177:B183"/>
    <mergeCell ref="D177:I177"/>
    <mergeCell ref="J177:K177"/>
    <mergeCell ref="D178:I178"/>
    <mergeCell ref="J178:K178"/>
    <mergeCell ref="D179:I179"/>
    <mergeCell ref="J179:K179"/>
    <mergeCell ref="D180:I180"/>
    <mergeCell ref="J180:K180"/>
    <mergeCell ref="D181:I181"/>
    <mergeCell ref="J181:K181"/>
    <mergeCell ref="D182:I182"/>
    <mergeCell ref="J182:K182"/>
    <mergeCell ref="D183:I183"/>
    <mergeCell ref="J183:K183"/>
    <mergeCell ref="J192:K192"/>
    <mergeCell ref="D193:I193"/>
    <mergeCell ref="J193:K193"/>
    <mergeCell ref="D194:I194"/>
    <mergeCell ref="J194:K194"/>
    <mergeCell ref="D195:I195"/>
    <mergeCell ref="J195:K195"/>
    <mergeCell ref="D196:I196"/>
    <mergeCell ref="J196:K196"/>
    <mergeCell ref="D197:I197"/>
    <mergeCell ref="J197:K197"/>
    <mergeCell ref="J166:K166"/>
    <mergeCell ref="D167:I167"/>
    <mergeCell ref="J167:K167"/>
    <mergeCell ref="D168:I168"/>
    <mergeCell ref="J168:K168"/>
    <mergeCell ref="D169:I169"/>
    <mergeCell ref="J169:K169"/>
    <mergeCell ref="J170:K170"/>
    <mergeCell ref="D171:I171"/>
    <mergeCell ref="J171:K171"/>
    <mergeCell ref="J172:K172"/>
    <mergeCell ref="D174:I174"/>
    <mergeCell ref="J174:K174"/>
    <mergeCell ref="D175:I175"/>
    <mergeCell ref="J175:K175"/>
    <mergeCell ref="D176:I176"/>
    <mergeCell ref="J176:K176"/>
    <mergeCell ref="J173:K173"/>
    <mergeCell ref="J186:K186"/>
    <mergeCell ref="D187:I187"/>
    <mergeCell ref="J187:K187"/>
    <mergeCell ref="D188:I188"/>
    <mergeCell ref="A170:B176"/>
    <mergeCell ref="D170:I170"/>
    <mergeCell ref="D153:I153"/>
    <mergeCell ref="J153:K153"/>
    <mergeCell ref="D154:I154"/>
    <mergeCell ref="J154:K154"/>
    <mergeCell ref="D155:I155"/>
    <mergeCell ref="J155:K155"/>
    <mergeCell ref="A156:B162"/>
    <mergeCell ref="D156:I156"/>
    <mergeCell ref="J156:K156"/>
    <mergeCell ref="D157:I157"/>
    <mergeCell ref="J157:K157"/>
    <mergeCell ref="D158:I158"/>
    <mergeCell ref="J158:K158"/>
    <mergeCell ref="D159:I159"/>
    <mergeCell ref="J159:K159"/>
    <mergeCell ref="D160:I160"/>
    <mergeCell ref="J160:K160"/>
    <mergeCell ref="D161:I161"/>
    <mergeCell ref="A163:B169"/>
    <mergeCell ref="D163:I163"/>
    <mergeCell ref="D172:I172"/>
    <mergeCell ref="D173:I173"/>
    <mergeCell ref="D135:I135"/>
    <mergeCell ref="J161:K161"/>
    <mergeCell ref="D162:I162"/>
    <mergeCell ref="J162:K162"/>
    <mergeCell ref="D139:I139"/>
    <mergeCell ref="J139:K139"/>
    <mergeCell ref="D140:I140"/>
    <mergeCell ref="J140:K140"/>
    <mergeCell ref="D141:I141"/>
    <mergeCell ref="J141:K141"/>
    <mergeCell ref="J136:K136"/>
    <mergeCell ref="D137:I137"/>
    <mergeCell ref="J137:K137"/>
    <mergeCell ref="D138:I138"/>
    <mergeCell ref="J138:K138"/>
    <mergeCell ref="J163:K163"/>
    <mergeCell ref="D164:I164"/>
    <mergeCell ref="J164:K164"/>
    <mergeCell ref="D165:I165"/>
    <mergeCell ref="J165:K165"/>
    <mergeCell ref="D166:I166"/>
    <mergeCell ref="A149:B155"/>
    <mergeCell ref="D149:I149"/>
    <mergeCell ref="J149:K149"/>
    <mergeCell ref="D150:I150"/>
    <mergeCell ref="J150:K150"/>
    <mergeCell ref="D151:I151"/>
    <mergeCell ref="J151:K151"/>
    <mergeCell ref="D152:I152"/>
    <mergeCell ref="J152:K152"/>
    <mergeCell ref="D116:I116"/>
    <mergeCell ref="J116:K116"/>
    <mergeCell ref="D117:I117"/>
    <mergeCell ref="J117:K117"/>
    <mergeCell ref="D118:I118"/>
    <mergeCell ref="J118:K118"/>
    <mergeCell ref="D119:I119"/>
    <mergeCell ref="J119:K119"/>
    <mergeCell ref="D120:I120"/>
    <mergeCell ref="J120:K120"/>
    <mergeCell ref="A107:B113"/>
    <mergeCell ref="D112:I112"/>
    <mergeCell ref="J112:K112"/>
    <mergeCell ref="D113:I113"/>
    <mergeCell ref="J113:K113"/>
    <mergeCell ref="J111:K111"/>
    <mergeCell ref="D111:I111"/>
    <mergeCell ref="J110:K110"/>
    <mergeCell ref="D110:I110"/>
    <mergeCell ref="J109:K109"/>
    <mergeCell ref="J70:K70"/>
    <mergeCell ref="D67:I67"/>
    <mergeCell ref="J67:K67"/>
    <mergeCell ref="D68:I68"/>
    <mergeCell ref="J68:K68"/>
    <mergeCell ref="D98:I98"/>
    <mergeCell ref="J98:K98"/>
    <mergeCell ref="J106:K106"/>
    <mergeCell ref="J100:K100"/>
    <mergeCell ref="D101:I101"/>
    <mergeCell ref="J102:K102"/>
    <mergeCell ref="D103:I103"/>
    <mergeCell ref="J103:K103"/>
    <mergeCell ref="D104:I104"/>
    <mergeCell ref="D102:I102"/>
    <mergeCell ref="J74:K74"/>
    <mergeCell ref="J75:K75"/>
    <mergeCell ref="D76:I76"/>
    <mergeCell ref="J76:K76"/>
    <mergeCell ref="D73:I73"/>
    <mergeCell ref="J73:K73"/>
    <mergeCell ref="J72:K72"/>
    <mergeCell ref="D69:I69"/>
    <mergeCell ref="D93:I93"/>
    <mergeCell ref="A30:B36"/>
    <mergeCell ref="J34:K34"/>
    <mergeCell ref="A16:B22"/>
    <mergeCell ref="J69:K69"/>
    <mergeCell ref="D70:I70"/>
    <mergeCell ref="D71:I71"/>
    <mergeCell ref="J71:K71"/>
    <mergeCell ref="J1:K1"/>
    <mergeCell ref="J2:K2"/>
    <mergeCell ref="J8:K8"/>
    <mergeCell ref="J14:K14"/>
    <mergeCell ref="J15:K15"/>
    <mergeCell ref="J3:K3"/>
    <mergeCell ref="J4:K4"/>
    <mergeCell ref="J5:K5"/>
    <mergeCell ref="D1:I1"/>
    <mergeCell ref="D2:I2"/>
    <mergeCell ref="J6:K6"/>
    <mergeCell ref="J7:K7"/>
    <mergeCell ref="D12:I12"/>
    <mergeCell ref="J12:K12"/>
    <mergeCell ref="D13:I13"/>
    <mergeCell ref="D16:I16"/>
    <mergeCell ref="J16:K16"/>
    <mergeCell ref="A9:B15"/>
    <mergeCell ref="D9:I9"/>
    <mergeCell ref="J9:K9"/>
    <mergeCell ref="D10:I10"/>
    <mergeCell ref="J10:K10"/>
    <mergeCell ref="D11:I11"/>
    <mergeCell ref="J11:K11"/>
    <mergeCell ref="J13:K13"/>
    <mergeCell ref="A23:B29"/>
    <mergeCell ref="D17:I17"/>
    <mergeCell ref="A44:B50"/>
    <mergeCell ref="D44:I44"/>
    <mergeCell ref="J60:K60"/>
    <mergeCell ref="D61:I61"/>
    <mergeCell ref="J61:K61"/>
    <mergeCell ref="D62:I62"/>
    <mergeCell ref="J62:K62"/>
    <mergeCell ref="D45:I45"/>
    <mergeCell ref="J45:K45"/>
    <mergeCell ref="D53:I53"/>
    <mergeCell ref="J53:K53"/>
    <mergeCell ref="D50:I50"/>
    <mergeCell ref="J50:K50"/>
    <mergeCell ref="D54:I54"/>
    <mergeCell ref="J54:K54"/>
    <mergeCell ref="A58:B64"/>
    <mergeCell ref="D58:I58"/>
    <mergeCell ref="J58:K58"/>
    <mergeCell ref="D63:I63"/>
    <mergeCell ref="J63:K63"/>
    <mergeCell ref="D66:I66"/>
    <mergeCell ref="D55:I55"/>
    <mergeCell ref="J55:K55"/>
    <mergeCell ref="D52:I52"/>
    <mergeCell ref="J52:K52"/>
    <mergeCell ref="D47:I47"/>
    <mergeCell ref="J47:K47"/>
    <mergeCell ref="D64:I64"/>
    <mergeCell ref="J64:K64"/>
    <mergeCell ref="D59:I59"/>
    <mergeCell ref="J59:K59"/>
    <mergeCell ref="D60:I60"/>
    <mergeCell ref="D65:I65"/>
    <mergeCell ref="J65:K65"/>
    <mergeCell ref="D57:I57"/>
    <mergeCell ref="J57:K57"/>
    <mergeCell ref="D49:I49"/>
    <mergeCell ref="J49:K49"/>
    <mergeCell ref="D56:I56"/>
    <mergeCell ref="J56:K56"/>
    <mergeCell ref="D48:I48"/>
    <mergeCell ref="J48:K48"/>
    <mergeCell ref="J66:K66"/>
    <mergeCell ref="A1:B1"/>
    <mergeCell ref="A2:B8"/>
    <mergeCell ref="D5:I5"/>
    <mergeCell ref="D6:I6"/>
    <mergeCell ref="D7:I7"/>
    <mergeCell ref="A51:B57"/>
    <mergeCell ref="D51:I51"/>
    <mergeCell ref="J51:K51"/>
    <mergeCell ref="D23:I23"/>
    <mergeCell ref="J23:K23"/>
    <mergeCell ref="D24:I24"/>
    <mergeCell ref="J24:K24"/>
    <mergeCell ref="D25:I25"/>
    <mergeCell ref="J25:K25"/>
    <mergeCell ref="D26:I26"/>
    <mergeCell ref="J26:K26"/>
    <mergeCell ref="D27:I27"/>
    <mergeCell ref="J27:K27"/>
    <mergeCell ref="D28:I28"/>
    <mergeCell ref="J28:K28"/>
    <mergeCell ref="D29:I29"/>
    <mergeCell ref="J30:K30"/>
    <mergeCell ref="D34:I34"/>
    <mergeCell ref="A37:B43"/>
    <mergeCell ref="D42:I42"/>
    <mergeCell ref="D40:I40"/>
    <mergeCell ref="J40:K40"/>
    <mergeCell ref="D46:I46"/>
    <mergeCell ref="J46:K46"/>
    <mergeCell ref="D3:I3"/>
    <mergeCell ref="D4:I4"/>
    <mergeCell ref="D14:I14"/>
    <mergeCell ref="D15:I15"/>
    <mergeCell ref="D43:I43"/>
    <mergeCell ref="J43:K43"/>
    <mergeCell ref="D31:I31"/>
    <mergeCell ref="J31:K31"/>
    <mergeCell ref="D32:I32"/>
    <mergeCell ref="J32:K32"/>
    <mergeCell ref="D33:I33"/>
    <mergeCell ref="J33:K33"/>
    <mergeCell ref="J38:K38"/>
    <mergeCell ref="J44:K44"/>
    <mergeCell ref="D8:I8"/>
    <mergeCell ref="D37:I37"/>
    <mergeCell ref="J37:K37"/>
    <mergeCell ref="J17:K17"/>
    <mergeCell ref="J42:K42"/>
    <mergeCell ref="D39:I39"/>
    <mergeCell ref="D20:I20"/>
    <mergeCell ref="D21:I21"/>
    <mergeCell ref="D22:I22"/>
    <mergeCell ref="D18:I18"/>
    <mergeCell ref="D19:I19"/>
    <mergeCell ref="D41:I41"/>
    <mergeCell ref="J41:K41"/>
    <mergeCell ref="J36:K36"/>
    <mergeCell ref="J19:K19"/>
    <mergeCell ref="J39:K39"/>
    <mergeCell ref="J20:K20"/>
    <mergeCell ref="J21:K21"/>
    <mergeCell ref="J22:K22"/>
    <mergeCell ref="J18:K18"/>
    <mergeCell ref="D38:I38"/>
    <mergeCell ref="J29:K29"/>
    <mergeCell ref="D30:I30"/>
    <mergeCell ref="D36:I36"/>
    <mergeCell ref="D35:I35"/>
    <mergeCell ref="J35:K35"/>
    <mergeCell ref="A114:B120"/>
    <mergeCell ref="D114:I114"/>
    <mergeCell ref="J114:K114"/>
    <mergeCell ref="A79:B85"/>
    <mergeCell ref="D79:I79"/>
    <mergeCell ref="J79:K79"/>
    <mergeCell ref="D80:I80"/>
    <mergeCell ref="J80:K80"/>
    <mergeCell ref="D81:I81"/>
    <mergeCell ref="J81:K81"/>
    <mergeCell ref="D82:I82"/>
    <mergeCell ref="J82:K82"/>
    <mergeCell ref="D83:I83"/>
    <mergeCell ref="J83:K83"/>
    <mergeCell ref="D84:I84"/>
    <mergeCell ref="J84:K84"/>
    <mergeCell ref="D85:I85"/>
    <mergeCell ref="J85:K85"/>
    <mergeCell ref="J95:K95"/>
    <mergeCell ref="A100:B106"/>
    <mergeCell ref="A93:B99"/>
    <mergeCell ref="D100:I100"/>
    <mergeCell ref="J104:K104"/>
    <mergeCell ref="J101:K101"/>
    <mergeCell ref="A65:B71"/>
    <mergeCell ref="J86:K86"/>
    <mergeCell ref="D92:I92"/>
    <mergeCell ref="J92:K92"/>
    <mergeCell ref="D89:I89"/>
    <mergeCell ref="J89:K89"/>
    <mergeCell ref="D90:I90"/>
    <mergeCell ref="D86:I86"/>
    <mergeCell ref="D87:I87"/>
    <mergeCell ref="D88:I88"/>
    <mergeCell ref="J88:K88"/>
    <mergeCell ref="J90:K90"/>
    <mergeCell ref="D91:I91"/>
    <mergeCell ref="J91:K91"/>
    <mergeCell ref="J87:K87"/>
    <mergeCell ref="A86:B92"/>
    <mergeCell ref="D77:I77"/>
    <mergeCell ref="J77:K77"/>
    <mergeCell ref="D72:I72"/>
    <mergeCell ref="D75:I75"/>
    <mergeCell ref="A72:B78"/>
    <mergeCell ref="D78:I78"/>
    <mergeCell ref="J78:K78"/>
    <mergeCell ref="D74:I74"/>
    <mergeCell ref="D99:I99"/>
    <mergeCell ref="J99:K99"/>
    <mergeCell ref="D96:I96"/>
    <mergeCell ref="J93:K93"/>
    <mergeCell ref="D94:I94"/>
    <mergeCell ref="J94:K94"/>
    <mergeCell ref="D95:I95"/>
    <mergeCell ref="D115:I115"/>
    <mergeCell ref="J115:K115"/>
    <mergeCell ref="D106:I106"/>
    <mergeCell ref="J108:K108"/>
    <mergeCell ref="D108:I108"/>
    <mergeCell ref="J107:K107"/>
    <mergeCell ref="D107:I107"/>
    <mergeCell ref="D109:I109"/>
    <mergeCell ref="J96:K96"/>
    <mergeCell ref="D105:I105"/>
    <mergeCell ref="J105:K105"/>
    <mergeCell ref="D97:I97"/>
    <mergeCell ref="J97:K97"/>
    <mergeCell ref="A121:B127"/>
    <mergeCell ref="D121:I121"/>
    <mergeCell ref="J121:K121"/>
    <mergeCell ref="D122:I122"/>
    <mergeCell ref="J122:K122"/>
    <mergeCell ref="D123:I123"/>
    <mergeCell ref="J123:K123"/>
    <mergeCell ref="D124:I124"/>
    <mergeCell ref="J124:K124"/>
    <mergeCell ref="D125:I125"/>
    <mergeCell ref="J125:K125"/>
    <mergeCell ref="D126:I126"/>
    <mergeCell ref="J126:K126"/>
    <mergeCell ref="D127:I127"/>
    <mergeCell ref="J127:K127"/>
    <mergeCell ref="A142:B148"/>
    <mergeCell ref="D142:I142"/>
    <mergeCell ref="J142:K142"/>
    <mergeCell ref="D143:I143"/>
    <mergeCell ref="J143:K143"/>
    <mergeCell ref="D144:I144"/>
    <mergeCell ref="J144:K144"/>
    <mergeCell ref="D145:I145"/>
    <mergeCell ref="J145:K145"/>
    <mergeCell ref="D146:I146"/>
    <mergeCell ref="J146:K146"/>
    <mergeCell ref="D147:I147"/>
    <mergeCell ref="J147:K147"/>
    <mergeCell ref="D148:I148"/>
    <mergeCell ref="J148:K148"/>
    <mergeCell ref="J188:K188"/>
    <mergeCell ref="D189:I189"/>
    <mergeCell ref="J189:K189"/>
    <mergeCell ref="D190:I190"/>
    <mergeCell ref="J190:K190"/>
    <mergeCell ref="A128:B134"/>
    <mergeCell ref="D128:I128"/>
    <mergeCell ref="J128:K128"/>
    <mergeCell ref="D129:I129"/>
    <mergeCell ref="J129:K129"/>
    <mergeCell ref="D130:I130"/>
    <mergeCell ref="J130:K130"/>
    <mergeCell ref="D131:I131"/>
    <mergeCell ref="J131:K131"/>
    <mergeCell ref="D132:I132"/>
    <mergeCell ref="J132:K132"/>
    <mergeCell ref="D133:I133"/>
    <mergeCell ref="J133:K133"/>
    <mergeCell ref="D134:I134"/>
    <mergeCell ref="J134:K134"/>
    <mergeCell ref="A135:B141"/>
    <mergeCell ref="J185:K185"/>
    <mergeCell ref="J135:K135"/>
    <mergeCell ref="D136:I136"/>
  </mergeCells>
  <phoneticPr fontId="47" type="noConversion"/>
  <conditionalFormatting sqref="J2:K442">
    <cfRule type="cellIs" dxfId="226" priority="150" operator="equal">
      <formula>"Optional"</formula>
    </cfRule>
    <cfRule type="cellIs" dxfId="225" priority="152" operator="equal">
      <formula>"Required"</formula>
    </cfRule>
  </conditionalFormatting>
  <conditionalFormatting sqref="L2:L442">
    <cfRule type="cellIs" dxfId="224" priority="153" stopIfTrue="1" operator="equal">
      <formula>"Completed"</formula>
    </cfRule>
    <cfRule type="cellIs" dxfId="223" priority="154" stopIfTrue="1" operator="equal">
      <formula>"In Progress"</formula>
    </cfRule>
    <cfRule type="cellIs" dxfId="222" priority="155" stopIfTrue="1" operator="equal">
      <formula>"Incomplete"</formula>
    </cfRule>
  </conditionalFormatting>
  <dataValidations count="2">
    <dataValidation type="list" operator="equal" allowBlank="1" showInputMessage="1" showErrorMessage="1" sqref="J2:K442" xr:uid="{E7C6DF7D-8BB6-4D37-BBE9-7876EA0D6CBE}">
      <formula1>"Required, Optional, /"</formula1>
    </dataValidation>
    <dataValidation type="list" allowBlank="1" showInputMessage="1" showErrorMessage="1" errorTitle="Invalid Status" error="Please choose: Completed, In Progress, or Incomplete." sqref="L2:L442" xr:uid="{C15D8AB2-53CE-4069-B4D2-4680807353B3}">
      <formula1>"Completed,In Progress,Incomplete"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3076E-0D22-4721-85B1-F1D03C8AF38D}">
  <sheetPr codeName="Sheet6">
    <tabColor theme="5" tint="-0.249977111117893"/>
  </sheetPr>
  <dimension ref="A1:U114"/>
  <sheetViews>
    <sheetView zoomScale="115" zoomScaleNormal="115" workbookViewId="0">
      <selection activeCell="H17" sqref="H17:N26"/>
    </sheetView>
  </sheetViews>
  <sheetFormatPr defaultRowHeight="13.8"/>
  <sheetData>
    <row r="1" spans="1:21" ht="14.55" customHeight="1">
      <c r="A1" s="327"/>
      <c r="B1" s="327"/>
      <c r="C1" s="327"/>
      <c r="D1" s="327"/>
      <c r="E1" s="327"/>
      <c r="F1" s="327"/>
      <c r="G1" s="327"/>
      <c r="H1" s="327"/>
      <c r="I1" s="327"/>
      <c r="J1" s="327"/>
      <c r="K1" s="327"/>
      <c r="L1" s="327"/>
      <c r="M1" s="327"/>
      <c r="N1" s="327"/>
      <c r="O1" s="327"/>
      <c r="P1" s="327"/>
      <c r="Q1" s="327"/>
      <c r="R1" s="327"/>
      <c r="S1" s="327"/>
      <c r="T1" s="327"/>
      <c r="U1" s="327"/>
    </row>
    <row r="2" spans="1:21" ht="14.55" customHeight="1">
      <c r="A2" s="327"/>
      <c r="B2" s="327"/>
      <c r="C2" s="327"/>
      <c r="D2" s="327"/>
      <c r="E2" s="327"/>
      <c r="F2" s="327"/>
      <c r="G2" s="327"/>
      <c r="H2" s="327"/>
      <c r="I2" s="327"/>
      <c r="J2" s="327"/>
      <c r="K2" s="327"/>
      <c r="L2" s="327"/>
      <c r="M2" s="327"/>
      <c r="N2" s="327"/>
      <c r="O2" s="327"/>
      <c r="P2" s="327"/>
      <c r="Q2" s="327"/>
      <c r="R2" s="327"/>
      <c r="S2" s="327"/>
      <c r="T2" s="327"/>
      <c r="U2" s="327"/>
    </row>
    <row r="3" spans="1:21" ht="14.55" customHeight="1">
      <c r="A3" s="327"/>
      <c r="B3" s="327"/>
      <c r="C3" s="327"/>
      <c r="D3" s="327"/>
      <c r="E3" s="327"/>
      <c r="F3" s="327"/>
      <c r="G3" s="327"/>
      <c r="H3" s="327"/>
      <c r="I3" s="327"/>
      <c r="J3" s="327"/>
      <c r="K3" s="327"/>
      <c r="L3" s="327"/>
      <c r="M3" s="327"/>
      <c r="N3" s="327"/>
      <c r="O3" s="327"/>
      <c r="P3" s="327"/>
      <c r="Q3" s="327"/>
      <c r="R3" s="327"/>
      <c r="S3" s="327"/>
      <c r="T3" s="327"/>
      <c r="U3" s="327"/>
    </row>
    <row r="4" spans="1:21" ht="15.45" customHeight="1">
      <c r="A4" s="328"/>
      <c r="B4" s="329"/>
      <c r="C4" s="329"/>
      <c r="D4" s="329"/>
      <c r="E4" s="329"/>
      <c r="F4" s="329"/>
      <c r="G4" s="330"/>
      <c r="H4" s="328"/>
      <c r="I4" s="329"/>
      <c r="J4" s="329"/>
      <c r="K4" s="329"/>
      <c r="L4" s="329"/>
      <c r="M4" s="329"/>
      <c r="N4" s="330"/>
      <c r="O4" s="328"/>
      <c r="P4" s="329"/>
      <c r="Q4" s="329"/>
      <c r="R4" s="329"/>
      <c r="S4" s="329"/>
      <c r="T4" s="329"/>
      <c r="U4" s="330"/>
    </row>
    <row r="5" spans="1:21" ht="15.45" customHeight="1">
      <c r="A5" s="331"/>
      <c r="B5" s="332"/>
      <c r="C5" s="332"/>
      <c r="D5" s="332"/>
      <c r="E5" s="332"/>
      <c r="F5" s="332"/>
      <c r="G5" s="333"/>
      <c r="H5" s="331"/>
      <c r="I5" s="332"/>
      <c r="J5" s="332"/>
      <c r="K5" s="332"/>
      <c r="L5" s="332"/>
      <c r="M5" s="332"/>
      <c r="N5" s="333"/>
      <c r="O5" s="331"/>
      <c r="P5" s="332"/>
      <c r="Q5" s="332"/>
      <c r="R5" s="332"/>
      <c r="S5" s="332"/>
      <c r="T5" s="332"/>
      <c r="U5" s="333"/>
    </row>
    <row r="6" spans="1:21" ht="15.45" customHeight="1">
      <c r="A6" s="331"/>
      <c r="B6" s="332"/>
      <c r="C6" s="332"/>
      <c r="D6" s="332"/>
      <c r="E6" s="332"/>
      <c r="F6" s="332"/>
      <c r="G6" s="333"/>
      <c r="H6" s="331"/>
      <c r="I6" s="332"/>
      <c r="J6" s="332"/>
      <c r="K6" s="332"/>
      <c r="L6" s="332"/>
      <c r="M6" s="332"/>
      <c r="N6" s="333"/>
      <c r="O6" s="331"/>
      <c r="P6" s="332"/>
      <c r="Q6" s="332"/>
      <c r="R6" s="332"/>
      <c r="S6" s="332"/>
      <c r="T6" s="332"/>
      <c r="U6" s="333"/>
    </row>
    <row r="7" spans="1:21" ht="15.45" customHeight="1">
      <c r="A7" s="331"/>
      <c r="B7" s="332"/>
      <c r="C7" s="332"/>
      <c r="D7" s="332"/>
      <c r="E7" s="332"/>
      <c r="F7" s="332"/>
      <c r="G7" s="333"/>
      <c r="H7" s="331"/>
      <c r="I7" s="332"/>
      <c r="J7" s="332"/>
      <c r="K7" s="332"/>
      <c r="L7" s="332"/>
      <c r="M7" s="332"/>
      <c r="N7" s="333"/>
      <c r="O7" s="331"/>
      <c r="P7" s="332"/>
      <c r="Q7" s="332"/>
      <c r="R7" s="332"/>
      <c r="S7" s="332"/>
      <c r="T7" s="332"/>
      <c r="U7" s="333"/>
    </row>
    <row r="8" spans="1:21" ht="15.45" customHeight="1">
      <c r="A8" s="331"/>
      <c r="B8" s="332"/>
      <c r="C8" s="332"/>
      <c r="D8" s="332"/>
      <c r="E8" s="332"/>
      <c r="F8" s="332"/>
      <c r="G8" s="333"/>
      <c r="H8" s="331"/>
      <c r="I8" s="332"/>
      <c r="J8" s="332"/>
      <c r="K8" s="332"/>
      <c r="L8" s="332"/>
      <c r="M8" s="332"/>
      <c r="N8" s="333"/>
      <c r="O8" s="331"/>
      <c r="P8" s="332"/>
      <c r="Q8" s="332"/>
      <c r="R8" s="332"/>
      <c r="S8" s="332"/>
      <c r="T8" s="332"/>
      <c r="U8" s="333"/>
    </row>
    <row r="9" spans="1:21" ht="15.45" customHeight="1">
      <c r="A9" s="331"/>
      <c r="B9" s="332"/>
      <c r="C9" s="332"/>
      <c r="D9" s="332"/>
      <c r="E9" s="332"/>
      <c r="F9" s="332"/>
      <c r="G9" s="333"/>
      <c r="H9" s="331"/>
      <c r="I9" s="332"/>
      <c r="J9" s="332"/>
      <c r="K9" s="332"/>
      <c r="L9" s="332"/>
      <c r="M9" s="332"/>
      <c r="N9" s="333"/>
      <c r="O9" s="331"/>
      <c r="P9" s="332"/>
      <c r="Q9" s="332"/>
      <c r="R9" s="332"/>
      <c r="S9" s="332"/>
      <c r="T9" s="332"/>
      <c r="U9" s="333"/>
    </row>
    <row r="10" spans="1:21" ht="15.45" customHeight="1">
      <c r="A10" s="331"/>
      <c r="B10" s="332"/>
      <c r="C10" s="332"/>
      <c r="D10" s="332"/>
      <c r="E10" s="332"/>
      <c r="F10" s="332"/>
      <c r="G10" s="333"/>
      <c r="H10" s="331"/>
      <c r="I10" s="332"/>
      <c r="J10" s="332"/>
      <c r="K10" s="332"/>
      <c r="L10" s="332"/>
      <c r="M10" s="332"/>
      <c r="N10" s="333"/>
      <c r="O10" s="331"/>
      <c r="P10" s="332"/>
      <c r="Q10" s="332"/>
      <c r="R10" s="332"/>
      <c r="S10" s="332"/>
      <c r="T10" s="332"/>
      <c r="U10" s="333"/>
    </row>
    <row r="11" spans="1:21" ht="15.45" customHeight="1">
      <c r="A11" s="331"/>
      <c r="B11" s="332"/>
      <c r="C11" s="332"/>
      <c r="D11" s="332"/>
      <c r="E11" s="332"/>
      <c r="F11" s="332"/>
      <c r="G11" s="333"/>
      <c r="H11" s="331"/>
      <c r="I11" s="332"/>
      <c r="J11" s="332"/>
      <c r="K11" s="332"/>
      <c r="L11" s="332"/>
      <c r="M11" s="332"/>
      <c r="N11" s="333"/>
      <c r="O11" s="331"/>
      <c r="P11" s="332"/>
      <c r="Q11" s="332"/>
      <c r="R11" s="332"/>
      <c r="S11" s="332"/>
      <c r="T11" s="332"/>
      <c r="U11" s="333"/>
    </row>
    <row r="12" spans="1:21" ht="14.55" customHeight="1">
      <c r="A12" s="331"/>
      <c r="B12" s="332"/>
      <c r="C12" s="332"/>
      <c r="D12" s="332"/>
      <c r="E12" s="332"/>
      <c r="F12" s="332"/>
      <c r="G12" s="333"/>
      <c r="H12" s="331"/>
      <c r="I12" s="332"/>
      <c r="J12" s="332"/>
      <c r="K12" s="332"/>
      <c r="L12" s="332"/>
      <c r="M12" s="332"/>
      <c r="N12" s="333"/>
      <c r="O12" s="331"/>
      <c r="P12" s="332"/>
      <c r="Q12" s="332"/>
      <c r="R12" s="332"/>
      <c r="S12" s="332"/>
      <c r="T12" s="332"/>
      <c r="U12" s="333"/>
    </row>
    <row r="13" spans="1:21">
      <c r="A13" s="334"/>
      <c r="B13" s="335"/>
      <c r="C13" s="335"/>
      <c r="D13" s="335"/>
      <c r="E13" s="335"/>
      <c r="F13" s="335"/>
      <c r="G13" s="336"/>
      <c r="H13" s="334"/>
      <c r="I13" s="335"/>
      <c r="J13" s="335"/>
      <c r="K13" s="335"/>
      <c r="L13" s="335"/>
      <c r="M13" s="335"/>
      <c r="N13" s="336"/>
      <c r="O13" s="334"/>
      <c r="P13" s="335"/>
      <c r="Q13" s="335"/>
      <c r="R13" s="335"/>
      <c r="S13" s="335"/>
      <c r="T13" s="335"/>
      <c r="U13" s="336"/>
    </row>
    <row r="14" spans="1:21">
      <c r="A14" s="327"/>
      <c r="B14" s="327"/>
      <c r="C14" s="327"/>
      <c r="D14" s="327"/>
      <c r="E14" s="327"/>
      <c r="F14" s="327"/>
      <c r="G14" s="327"/>
      <c r="H14" s="327"/>
      <c r="I14" s="327"/>
      <c r="J14" s="327"/>
      <c r="K14" s="327"/>
      <c r="L14" s="327"/>
      <c r="M14" s="327"/>
      <c r="N14" s="327"/>
      <c r="O14" s="327"/>
      <c r="P14" s="327"/>
      <c r="Q14" s="327"/>
      <c r="R14" s="327"/>
      <c r="S14" s="327"/>
      <c r="T14" s="327"/>
      <c r="U14" s="327"/>
    </row>
    <row r="15" spans="1:21">
      <c r="A15" s="327"/>
      <c r="B15" s="327"/>
      <c r="C15" s="327"/>
      <c r="D15" s="327"/>
      <c r="E15" s="327"/>
      <c r="F15" s="327"/>
      <c r="G15" s="327"/>
      <c r="H15" s="327"/>
      <c r="I15" s="327"/>
      <c r="J15" s="327"/>
      <c r="K15" s="327"/>
      <c r="L15" s="327"/>
      <c r="M15" s="327"/>
      <c r="N15" s="327"/>
      <c r="O15" s="327"/>
      <c r="P15" s="327"/>
      <c r="Q15" s="327"/>
      <c r="R15" s="327"/>
      <c r="S15" s="327"/>
      <c r="T15" s="327"/>
      <c r="U15" s="327"/>
    </row>
    <row r="16" spans="1:21">
      <c r="A16" s="327"/>
      <c r="B16" s="327"/>
      <c r="C16" s="327"/>
      <c r="D16" s="327"/>
      <c r="E16" s="327"/>
      <c r="F16" s="327"/>
      <c r="G16" s="327"/>
      <c r="H16" s="327"/>
      <c r="I16" s="327"/>
      <c r="J16" s="327"/>
      <c r="K16" s="327"/>
      <c r="L16" s="327"/>
      <c r="M16" s="327"/>
      <c r="N16" s="327"/>
      <c r="O16" s="327"/>
      <c r="P16" s="327"/>
      <c r="Q16" s="327"/>
      <c r="R16" s="327"/>
      <c r="S16" s="327"/>
      <c r="T16" s="327"/>
      <c r="U16" s="327"/>
    </row>
    <row r="17" spans="1:21">
      <c r="A17" s="328"/>
      <c r="B17" s="329"/>
      <c r="C17" s="329"/>
      <c r="D17" s="329"/>
      <c r="E17" s="329"/>
      <c r="F17" s="329"/>
      <c r="G17" s="330"/>
      <c r="H17" s="328"/>
      <c r="I17" s="329"/>
      <c r="J17" s="329"/>
      <c r="K17" s="329"/>
      <c r="L17" s="329"/>
      <c r="M17" s="329"/>
      <c r="N17" s="330"/>
      <c r="O17" s="328"/>
      <c r="P17" s="329"/>
      <c r="Q17" s="329"/>
      <c r="R17" s="329"/>
      <c r="S17" s="329"/>
      <c r="T17" s="329"/>
      <c r="U17" s="330"/>
    </row>
    <row r="18" spans="1:21">
      <c r="A18" s="331"/>
      <c r="B18" s="332"/>
      <c r="C18" s="332"/>
      <c r="D18" s="332"/>
      <c r="E18" s="332"/>
      <c r="F18" s="332"/>
      <c r="G18" s="333"/>
      <c r="H18" s="331"/>
      <c r="I18" s="332"/>
      <c r="J18" s="332"/>
      <c r="K18" s="332"/>
      <c r="L18" s="332"/>
      <c r="M18" s="332"/>
      <c r="N18" s="333"/>
      <c r="O18" s="331"/>
      <c r="P18" s="332"/>
      <c r="Q18" s="332"/>
      <c r="R18" s="332"/>
      <c r="S18" s="332"/>
      <c r="T18" s="332"/>
      <c r="U18" s="333"/>
    </row>
    <row r="19" spans="1:21">
      <c r="A19" s="331"/>
      <c r="B19" s="332"/>
      <c r="C19" s="332"/>
      <c r="D19" s="332"/>
      <c r="E19" s="332"/>
      <c r="F19" s="332"/>
      <c r="G19" s="333"/>
      <c r="H19" s="331"/>
      <c r="I19" s="332"/>
      <c r="J19" s="332"/>
      <c r="K19" s="332"/>
      <c r="L19" s="332"/>
      <c r="M19" s="332"/>
      <c r="N19" s="333"/>
      <c r="O19" s="331"/>
      <c r="P19" s="332"/>
      <c r="Q19" s="332"/>
      <c r="R19" s="332"/>
      <c r="S19" s="332"/>
      <c r="T19" s="332"/>
      <c r="U19" s="333"/>
    </row>
    <row r="20" spans="1:21">
      <c r="A20" s="331"/>
      <c r="B20" s="332"/>
      <c r="C20" s="332"/>
      <c r="D20" s="332"/>
      <c r="E20" s="332"/>
      <c r="F20" s="332"/>
      <c r="G20" s="333"/>
      <c r="H20" s="331"/>
      <c r="I20" s="332"/>
      <c r="J20" s="332"/>
      <c r="K20" s="332"/>
      <c r="L20" s="332"/>
      <c r="M20" s="332"/>
      <c r="N20" s="333"/>
      <c r="O20" s="331"/>
      <c r="P20" s="332"/>
      <c r="Q20" s="332"/>
      <c r="R20" s="332"/>
      <c r="S20" s="332"/>
      <c r="T20" s="332"/>
      <c r="U20" s="333"/>
    </row>
    <row r="21" spans="1:21">
      <c r="A21" s="331"/>
      <c r="B21" s="332"/>
      <c r="C21" s="332"/>
      <c r="D21" s="332"/>
      <c r="E21" s="332"/>
      <c r="F21" s="332"/>
      <c r="G21" s="333"/>
      <c r="H21" s="331"/>
      <c r="I21" s="332"/>
      <c r="J21" s="332"/>
      <c r="K21" s="332"/>
      <c r="L21" s="332"/>
      <c r="M21" s="332"/>
      <c r="N21" s="333"/>
      <c r="O21" s="331"/>
      <c r="P21" s="332"/>
      <c r="Q21" s="332"/>
      <c r="R21" s="332"/>
      <c r="S21" s="332"/>
      <c r="T21" s="332"/>
      <c r="U21" s="333"/>
    </row>
    <row r="22" spans="1:21">
      <c r="A22" s="331"/>
      <c r="B22" s="332"/>
      <c r="C22" s="332"/>
      <c r="D22" s="332"/>
      <c r="E22" s="332"/>
      <c r="F22" s="332"/>
      <c r="G22" s="333"/>
      <c r="H22" s="331"/>
      <c r="I22" s="332"/>
      <c r="J22" s="332"/>
      <c r="K22" s="332"/>
      <c r="L22" s="332"/>
      <c r="M22" s="332"/>
      <c r="N22" s="333"/>
      <c r="O22" s="331"/>
      <c r="P22" s="332"/>
      <c r="Q22" s="332"/>
      <c r="R22" s="332"/>
      <c r="S22" s="332"/>
      <c r="T22" s="332"/>
      <c r="U22" s="333"/>
    </row>
    <row r="23" spans="1:21">
      <c r="A23" s="331"/>
      <c r="B23" s="332"/>
      <c r="C23" s="332"/>
      <c r="D23" s="332"/>
      <c r="E23" s="332"/>
      <c r="F23" s="332"/>
      <c r="G23" s="333"/>
      <c r="H23" s="331"/>
      <c r="I23" s="332"/>
      <c r="J23" s="332"/>
      <c r="K23" s="332"/>
      <c r="L23" s="332"/>
      <c r="M23" s="332"/>
      <c r="N23" s="333"/>
      <c r="O23" s="331"/>
      <c r="P23" s="332"/>
      <c r="Q23" s="332"/>
      <c r="R23" s="332"/>
      <c r="S23" s="332"/>
      <c r="T23" s="332"/>
      <c r="U23" s="333"/>
    </row>
    <row r="24" spans="1:21">
      <c r="A24" s="331"/>
      <c r="B24" s="332"/>
      <c r="C24" s="332"/>
      <c r="D24" s="332"/>
      <c r="E24" s="332"/>
      <c r="F24" s="332"/>
      <c r="G24" s="333"/>
      <c r="H24" s="331"/>
      <c r="I24" s="332"/>
      <c r="J24" s="332"/>
      <c r="K24" s="332"/>
      <c r="L24" s="332"/>
      <c r="M24" s="332"/>
      <c r="N24" s="333"/>
      <c r="O24" s="331"/>
      <c r="P24" s="332"/>
      <c r="Q24" s="332"/>
      <c r="R24" s="332"/>
      <c r="S24" s="332"/>
      <c r="T24" s="332"/>
      <c r="U24" s="333"/>
    </row>
    <row r="25" spans="1:21" ht="15.45" customHeight="1">
      <c r="A25" s="331"/>
      <c r="B25" s="332"/>
      <c r="C25" s="332"/>
      <c r="D25" s="332"/>
      <c r="E25" s="332"/>
      <c r="F25" s="332"/>
      <c r="G25" s="333"/>
      <c r="H25" s="331"/>
      <c r="I25" s="332"/>
      <c r="J25" s="332"/>
      <c r="K25" s="332"/>
      <c r="L25" s="332"/>
      <c r="M25" s="332"/>
      <c r="N25" s="333"/>
      <c r="O25" s="331"/>
      <c r="P25" s="332"/>
      <c r="Q25" s="332"/>
      <c r="R25" s="332"/>
      <c r="S25" s="332"/>
      <c r="T25" s="332"/>
      <c r="U25" s="333"/>
    </row>
    <row r="26" spans="1:21">
      <c r="A26" s="334"/>
      <c r="B26" s="335"/>
      <c r="C26" s="335"/>
      <c r="D26" s="335"/>
      <c r="E26" s="335"/>
      <c r="F26" s="335"/>
      <c r="G26" s="336"/>
      <c r="H26" s="334"/>
      <c r="I26" s="335"/>
      <c r="J26" s="335"/>
      <c r="K26" s="335"/>
      <c r="L26" s="335"/>
      <c r="M26" s="335"/>
      <c r="N26" s="336"/>
      <c r="O26" s="334"/>
      <c r="P26" s="335"/>
      <c r="Q26" s="335"/>
      <c r="R26" s="335"/>
      <c r="S26" s="335"/>
      <c r="T26" s="335"/>
      <c r="U26" s="336"/>
    </row>
    <row r="27" spans="1:21" ht="14.55" customHeight="1">
      <c r="A27" s="327"/>
      <c r="B27" s="327"/>
      <c r="C27" s="327"/>
      <c r="D27" s="327"/>
      <c r="E27" s="327"/>
      <c r="F27" s="327"/>
      <c r="G27" s="327"/>
      <c r="H27" s="327"/>
      <c r="I27" s="327"/>
      <c r="J27" s="327"/>
      <c r="K27" s="327"/>
      <c r="L27" s="327"/>
      <c r="M27" s="327"/>
      <c r="N27" s="327"/>
      <c r="O27" s="326"/>
      <c r="P27" s="326"/>
      <c r="Q27" s="326"/>
      <c r="R27" s="326"/>
      <c r="S27" s="326"/>
      <c r="T27" s="326"/>
      <c r="U27" s="326"/>
    </row>
    <row r="28" spans="1:21" ht="14.55" customHeight="1">
      <c r="A28" s="327"/>
      <c r="B28" s="327"/>
      <c r="C28" s="327"/>
      <c r="D28" s="327"/>
      <c r="E28" s="327"/>
      <c r="F28" s="327"/>
      <c r="G28" s="327"/>
      <c r="H28" s="327"/>
      <c r="I28" s="327"/>
      <c r="J28" s="327"/>
      <c r="K28" s="327"/>
      <c r="L28" s="327"/>
      <c r="M28" s="327"/>
      <c r="N28" s="327"/>
      <c r="O28" s="327"/>
      <c r="P28" s="327"/>
      <c r="Q28" s="327"/>
      <c r="R28" s="327"/>
      <c r="S28" s="327"/>
      <c r="T28" s="327"/>
      <c r="U28" s="327"/>
    </row>
    <row r="29" spans="1:21" ht="14.55" customHeight="1">
      <c r="A29" s="327"/>
      <c r="B29" s="327"/>
      <c r="C29" s="327"/>
      <c r="D29" s="327"/>
      <c r="E29" s="327"/>
      <c r="F29" s="327"/>
      <c r="G29" s="327"/>
      <c r="H29" s="327"/>
      <c r="I29" s="327"/>
      <c r="J29" s="327"/>
      <c r="K29" s="327"/>
      <c r="L29" s="327"/>
      <c r="M29" s="327"/>
      <c r="N29" s="327"/>
      <c r="O29" s="337"/>
      <c r="P29" s="337"/>
      <c r="Q29" s="337"/>
      <c r="R29" s="337"/>
      <c r="S29" s="337"/>
      <c r="T29" s="337"/>
      <c r="U29" s="337"/>
    </row>
    <row r="30" spans="1:21" ht="14.55" customHeight="1">
      <c r="A30" s="328"/>
      <c r="B30" s="329"/>
      <c r="C30" s="329"/>
      <c r="D30" s="329"/>
      <c r="E30" s="329"/>
      <c r="F30" s="329"/>
      <c r="G30" s="330"/>
      <c r="H30" s="328"/>
      <c r="I30" s="329"/>
      <c r="J30" s="329"/>
      <c r="K30" s="329"/>
      <c r="L30" s="329"/>
      <c r="M30" s="329"/>
      <c r="N30" s="330"/>
      <c r="O30" s="328"/>
      <c r="P30" s="329"/>
      <c r="Q30" s="329"/>
      <c r="R30" s="329"/>
      <c r="S30" s="329"/>
      <c r="T30" s="329"/>
      <c r="U30" s="330"/>
    </row>
    <row r="31" spans="1:21" ht="14.55" customHeight="1">
      <c r="A31" s="331"/>
      <c r="B31" s="332"/>
      <c r="C31" s="332"/>
      <c r="D31" s="332"/>
      <c r="E31" s="332"/>
      <c r="F31" s="332"/>
      <c r="G31" s="333"/>
      <c r="H31" s="331"/>
      <c r="I31" s="332"/>
      <c r="J31" s="332"/>
      <c r="K31" s="332"/>
      <c r="L31" s="332"/>
      <c r="M31" s="332"/>
      <c r="N31" s="333"/>
      <c r="O31" s="331"/>
      <c r="P31" s="332"/>
      <c r="Q31" s="332"/>
      <c r="R31" s="332"/>
      <c r="S31" s="332"/>
      <c r="T31" s="332"/>
      <c r="U31" s="333"/>
    </row>
    <row r="32" spans="1:21" ht="14.55" customHeight="1">
      <c r="A32" s="331"/>
      <c r="B32" s="332"/>
      <c r="C32" s="332"/>
      <c r="D32" s="332"/>
      <c r="E32" s="332"/>
      <c r="F32" s="332"/>
      <c r="G32" s="333"/>
      <c r="H32" s="331"/>
      <c r="I32" s="332"/>
      <c r="J32" s="332"/>
      <c r="K32" s="332"/>
      <c r="L32" s="332"/>
      <c r="M32" s="332"/>
      <c r="N32" s="333"/>
      <c r="O32" s="331"/>
      <c r="P32" s="332"/>
      <c r="Q32" s="332"/>
      <c r="R32" s="332"/>
      <c r="S32" s="332"/>
      <c r="T32" s="332"/>
      <c r="U32" s="333"/>
    </row>
    <row r="33" spans="1:21" ht="14.55" customHeight="1">
      <c r="A33" s="331"/>
      <c r="B33" s="332"/>
      <c r="C33" s="332"/>
      <c r="D33" s="332"/>
      <c r="E33" s="332"/>
      <c r="F33" s="332"/>
      <c r="G33" s="333"/>
      <c r="H33" s="331"/>
      <c r="I33" s="332"/>
      <c r="J33" s="332"/>
      <c r="K33" s="332"/>
      <c r="L33" s="332"/>
      <c r="M33" s="332"/>
      <c r="N33" s="333"/>
      <c r="O33" s="331"/>
      <c r="P33" s="332"/>
      <c r="Q33" s="332"/>
      <c r="R33" s="332"/>
      <c r="S33" s="332"/>
      <c r="T33" s="332"/>
      <c r="U33" s="333"/>
    </row>
    <row r="34" spans="1:21" ht="14.55" customHeight="1">
      <c r="A34" s="331"/>
      <c r="B34" s="332"/>
      <c r="C34" s="332"/>
      <c r="D34" s="332"/>
      <c r="E34" s="332"/>
      <c r="F34" s="332"/>
      <c r="G34" s="333"/>
      <c r="H34" s="331"/>
      <c r="I34" s="332"/>
      <c r="J34" s="332"/>
      <c r="K34" s="332"/>
      <c r="L34" s="332"/>
      <c r="M34" s="332"/>
      <c r="N34" s="333"/>
      <c r="O34" s="331"/>
      <c r="P34" s="332"/>
      <c r="Q34" s="332"/>
      <c r="R34" s="332"/>
      <c r="S34" s="332"/>
      <c r="T34" s="332"/>
      <c r="U34" s="333"/>
    </row>
    <row r="35" spans="1:21" ht="14.55" customHeight="1">
      <c r="A35" s="331"/>
      <c r="B35" s="332"/>
      <c r="C35" s="332"/>
      <c r="D35" s="332"/>
      <c r="E35" s="332"/>
      <c r="F35" s="332"/>
      <c r="G35" s="333"/>
      <c r="H35" s="331"/>
      <c r="I35" s="332"/>
      <c r="J35" s="332"/>
      <c r="K35" s="332"/>
      <c r="L35" s="332"/>
      <c r="M35" s="332"/>
      <c r="N35" s="333"/>
      <c r="O35" s="331"/>
      <c r="P35" s="332"/>
      <c r="Q35" s="332"/>
      <c r="R35" s="332"/>
      <c r="S35" s="332"/>
      <c r="T35" s="332"/>
      <c r="U35" s="333"/>
    </row>
    <row r="36" spans="1:21" ht="14.55" customHeight="1">
      <c r="A36" s="331"/>
      <c r="B36" s="332"/>
      <c r="C36" s="332"/>
      <c r="D36" s="332"/>
      <c r="E36" s="332"/>
      <c r="F36" s="332"/>
      <c r="G36" s="333"/>
      <c r="H36" s="331"/>
      <c r="I36" s="332"/>
      <c r="J36" s="332"/>
      <c r="K36" s="332"/>
      <c r="L36" s="332"/>
      <c r="M36" s="332"/>
      <c r="N36" s="333"/>
      <c r="O36" s="331"/>
      <c r="P36" s="332"/>
      <c r="Q36" s="332"/>
      <c r="R36" s="332"/>
      <c r="S36" s="332"/>
      <c r="T36" s="332"/>
      <c r="U36" s="333"/>
    </row>
    <row r="37" spans="1:21" ht="14.55" customHeight="1">
      <c r="A37" s="331"/>
      <c r="B37" s="332"/>
      <c r="C37" s="332"/>
      <c r="D37" s="332"/>
      <c r="E37" s="332"/>
      <c r="F37" s="332"/>
      <c r="G37" s="333"/>
      <c r="H37" s="331"/>
      <c r="I37" s="332"/>
      <c r="J37" s="332"/>
      <c r="K37" s="332"/>
      <c r="L37" s="332"/>
      <c r="M37" s="332"/>
      <c r="N37" s="333"/>
      <c r="O37" s="331"/>
      <c r="P37" s="332"/>
      <c r="Q37" s="332"/>
      <c r="R37" s="332"/>
      <c r="S37" s="332"/>
      <c r="T37" s="332"/>
      <c r="U37" s="333"/>
    </row>
    <row r="38" spans="1:21" ht="14.55" customHeight="1">
      <c r="A38" s="331"/>
      <c r="B38" s="332"/>
      <c r="C38" s="332"/>
      <c r="D38" s="332"/>
      <c r="E38" s="332"/>
      <c r="F38" s="332"/>
      <c r="G38" s="333"/>
      <c r="H38" s="331"/>
      <c r="I38" s="332"/>
      <c r="J38" s="332"/>
      <c r="K38" s="332"/>
      <c r="L38" s="332"/>
      <c r="M38" s="332"/>
      <c r="N38" s="333"/>
      <c r="O38" s="331"/>
      <c r="P38" s="332"/>
      <c r="Q38" s="332"/>
      <c r="R38" s="332"/>
      <c r="S38" s="332"/>
      <c r="T38" s="332"/>
      <c r="U38" s="333"/>
    </row>
    <row r="39" spans="1:21" ht="14.55" customHeight="1">
      <c r="A39" s="334"/>
      <c r="B39" s="335"/>
      <c r="C39" s="335"/>
      <c r="D39" s="335"/>
      <c r="E39" s="335"/>
      <c r="F39" s="335"/>
      <c r="G39" s="336"/>
      <c r="H39" s="334"/>
      <c r="I39" s="335"/>
      <c r="J39" s="335"/>
      <c r="K39" s="335"/>
      <c r="L39" s="335"/>
      <c r="M39" s="335"/>
      <c r="N39" s="336"/>
      <c r="O39" s="334"/>
      <c r="P39" s="335"/>
      <c r="Q39" s="335"/>
      <c r="R39" s="335"/>
      <c r="S39" s="335"/>
      <c r="T39" s="335"/>
      <c r="U39" s="336"/>
    </row>
    <row r="40" spans="1:21" ht="14.55" customHeight="1">
      <c r="A40" s="323"/>
      <c r="B40" s="323"/>
      <c r="C40" s="323"/>
      <c r="D40" s="323"/>
      <c r="E40" s="323"/>
      <c r="F40" s="324"/>
      <c r="G40" s="324"/>
      <c r="H40" s="324"/>
      <c r="I40" s="324"/>
      <c r="J40" s="324"/>
      <c r="K40" s="324"/>
      <c r="L40" s="324"/>
      <c r="M40" s="324"/>
      <c r="N40" s="324"/>
      <c r="O40" s="324"/>
      <c r="P40" s="324"/>
      <c r="Q40" s="324"/>
      <c r="R40" s="325"/>
      <c r="S40" s="325"/>
      <c r="T40" s="325"/>
      <c r="U40" s="325"/>
    </row>
    <row r="41" spans="1:21" ht="14.55" customHeight="1">
      <c r="A41" s="323"/>
      <c r="B41" s="323"/>
      <c r="C41" s="323"/>
      <c r="D41" s="323"/>
      <c r="E41" s="323"/>
      <c r="F41" s="324"/>
      <c r="G41" s="324"/>
      <c r="H41" s="324"/>
      <c r="I41" s="324"/>
      <c r="J41" s="324"/>
      <c r="K41" s="324"/>
      <c r="L41" s="324"/>
      <c r="M41" s="324"/>
      <c r="N41" s="324"/>
      <c r="O41" s="324"/>
      <c r="P41" s="324"/>
      <c r="Q41" s="324"/>
      <c r="R41" s="325"/>
      <c r="S41" s="325"/>
      <c r="T41" s="325"/>
      <c r="U41" s="325"/>
    </row>
    <row r="42" spans="1:21" ht="14.55" customHeight="1">
      <c r="A42" s="323"/>
      <c r="B42" s="323"/>
      <c r="C42" s="323"/>
      <c r="D42" s="323"/>
      <c r="E42" s="323"/>
      <c r="F42" s="324"/>
      <c r="G42" s="324"/>
      <c r="H42" s="324"/>
      <c r="I42" s="324"/>
      <c r="J42" s="324"/>
      <c r="K42" s="324"/>
      <c r="L42" s="324"/>
      <c r="M42" s="324"/>
      <c r="N42" s="324"/>
      <c r="O42" s="324"/>
      <c r="P42" s="324"/>
      <c r="Q42" s="324"/>
      <c r="R42" s="325"/>
      <c r="S42" s="325"/>
      <c r="T42" s="325"/>
      <c r="U42" s="325"/>
    </row>
    <row r="43" spans="1:21" ht="14.55" customHeight="1">
      <c r="A43" s="323"/>
      <c r="B43" s="323"/>
      <c r="C43" s="323"/>
      <c r="D43" s="323"/>
      <c r="E43" s="323"/>
      <c r="F43" s="324"/>
      <c r="G43" s="324"/>
      <c r="H43" s="324"/>
      <c r="I43" s="324"/>
      <c r="J43" s="324"/>
      <c r="K43" s="324"/>
      <c r="L43" s="324"/>
      <c r="M43" s="324"/>
      <c r="N43" s="324"/>
      <c r="O43" s="324"/>
      <c r="P43" s="324"/>
      <c r="Q43" s="324"/>
      <c r="R43" s="325"/>
      <c r="S43" s="325"/>
      <c r="T43" s="325"/>
      <c r="U43" s="325"/>
    </row>
    <row r="44" spans="1:21" ht="14.55" customHeight="1">
      <c r="A44" s="323"/>
      <c r="B44" s="323"/>
      <c r="C44" s="323"/>
      <c r="D44" s="323"/>
      <c r="E44" s="323"/>
      <c r="F44" s="324"/>
      <c r="G44" s="324"/>
      <c r="H44" s="324"/>
      <c r="I44" s="324"/>
      <c r="J44" s="324"/>
      <c r="K44" s="324"/>
      <c r="L44" s="324"/>
      <c r="M44" s="324"/>
      <c r="N44" s="324"/>
      <c r="O44" s="324"/>
      <c r="P44" s="324"/>
      <c r="Q44" s="324"/>
      <c r="R44" s="325"/>
      <c r="S44" s="325"/>
      <c r="T44" s="325"/>
      <c r="U44" s="325"/>
    </row>
    <row r="45" spans="1:21" ht="14.55" customHeight="1">
      <c r="A45" s="323"/>
      <c r="B45" s="323"/>
      <c r="C45" s="323"/>
      <c r="D45" s="323"/>
      <c r="E45" s="323"/>
      <c r="F45" s="324"/>
      <c r="G45" s="324"/>
      <c r="H45" s="324"/>
      <c r="I45" s="324"/>
      <c r="J45" s="324"/>
      <c r="K45" s="324"/>
      <c r="L45" s="324"/>
      <c r="M45" s="324"/>
      <c r="N45" s="324"/>
      <c r="O45" s="324"/>
      <c r="P45" s="324"/>
      <c r="Q45" s="324"/>
      <c r="R45" s="325"/>
      <c r="S45" s="325"/>
      <c r="T45" s="325"/>
      <c r="U45" s="325"/>
    </row>
    <row r="46" spans="1:21">
      <c r="A46" s="323"/>
      <c r="B46" s="323"/>
      <c r="C46" s="323"/>
      <c r="D46" s="323"/>
      <c r="E46" s="323"/>
      <c r="F46" s="324"/>
      <c r="G46" s="324"/>
      <c r="H46" s="324"/>
      <c r="I46" s="324"/>
      <c r="J46" s="324"/>
      <c r="K46" s="324"/>
      <c r="L46" s="324"/>
      <c r="M46" s="324"/>
      <c r="N46" s="324"/>
      <c r="O46" s="324"/>
      <c r="P46" s="324"/>
      <c r="Q46" s="324"/>
      <c r="R46" s="325"/>
      <c r="S46" s="325"/>
      <c r="T46" s="325"/>
      <c r="U46" s="325"/>
    </row>
    <row r="47" spans="1:21">
      <c r="A47" s="323"/>
      <c r="B47" s="323"/>
      <c r="C47" s="323"/>
      <c r="D47" s="323"/>
      <c r="E47" s="323"/>
      <c r="F47" s="324"/>
      <c r="G47" s="324"/>
      <c r="H47" s="324"/>
      <c r="I47" s="324"/>
      <c r="J47" s="324"/>
      <c r="K47" s="324"/>
      <c r="L47" s="324"/>
      <c r="M47" s="324"/>
      <c r="N47" s="324"/>
      <c r="O47" s="324"/>
      <c r="P47" s="324"/>
      <c r="Q47" s="324"/>
      <c r="R47" s="325"/>
      <c r="S47" s="325"/>
      <c r="T47" s="325"/>
      <c r="U47" s="325"/>
    </row>
    <row r="48" spans="1:21">
      <c r="A48" s="323"/>
      <c r="B48" s="323"/>
      <c r="C48" s="323"/>
      <c r="D48" s="323"/>
      <c r="E48" s="323"/>
      <c r="F48" s="324"/>
      <c r="G48" s="324"/>
      <c r="H48" s="324"/>
      <c r="I48" s="324"/>
      <c r="J48" s="324"/>
      <c r="K48" s="324"/>
      <c r="L48" s="324"/>
      <c r="M48" s="324"/>
      <c r="N48" s="324"/>
      <c r="O48" s="324"/>
      <c r="P48" s="324"/>
      <c r="Q48" s="324"/>
      <c r="R48" s="325"/>
      <c r="S48" s="325"/>
      <c r="T48" s="325"/>
      <c r="U48" s="325"/>
    </row>
    <row r="49" spans="1:21" ht="14.55" customHeight="1">
      <c r="A49" s="323"/>
      <c r="B49" s="323"/>
      <c r="C49" s="323"/>
      <c r="D49" s="323"/>
      <c r="E49" s="323"/>
      <c r="F49" s="324"/>
      <c r="G49" s="324"/>
      <c r="H49" s="324"/>
      <c r="I49" s="324"/>
      <c r="J49" s="324"/>
      <c r="K49" s="324"/>
      <c r="L49" s="324"/>
      <c r="M49" s="324"/>
      <c r="N49" s="324"/>
      <c r="O49" s="324"/>
      <c r="P49" s="324"/>
      <c r="Q49" s="324"/>
      <c r="R49" s="325"/>
      <c r="S49" s="325"/>
      <c r="T49" s="325"/>
      <c r="U49" s="325"/>
    </row>
    <row r="50" spans="1:21" ht="14.55" customHeight="1">
      <c r="A50" s="323"/>
      <c r="B50" s="323"/>
      <c r="C50" s="323"/>
      <c r="D50" s="323"/>
      <c r="E50" s="323"/>
      <c r="F50" s="324"/>
      <c r="G50" s="324"/>
      <c r="H50" s="324"/>
      <c r="I50" s="324"/>
      <c r="J50" s="324"/>
      <c r="K50" s="324"/>
      <c r="L50" s="324"/>
      <c r="M50" s="324"/>
      <c r="N50" s="324"/>
      <c r="O50" s="324"/>
      <c r="P50" s="324"/>
      <c r="Q50" s="324"/>
      <c r="R50" s="325"/>
      <c r="S50" s="325"/>
      <c r="T50" s="325"/>
      <c r="U50" s="325"/>
    </row>
    <row r="51" spans="1:21" ht="14.55" customHeight="1">
      <c r="A51" s="323"/>
      <c r="B51" s="323"/>
      <c r="C51" s="323"/>
      <c r="D51" s="323"/>
      <c r="E51" s="323"/>
      <c r="F51" s="324"/>
      <c r="G51" s="324"/>
      <c r="H51" s="324"/>
      <c r="I51" s="324"/>
      <c r="J51" s="324"/>
      <c r="K51" s="324"/>
      <c r="L51" s="324"/>
      <c r="M51" s="324"/>
      <c r="N51" s="324"/>
      <c r="O51" s="324"/>
      <c r="P51" s="324"/>
      <c r="Q51" s="324"/>
      <c r="R51" s="325"/>
      <c r="S51" s="325"/>
      <c r="T51" s="325"/>
      <c r="U51" s="325"/>
    </row>
    <row r="52" spans="1:21">
      <c r="A52" s="323"/>
      <c r="B52" s="323"/>
      <c r="C52" s="323"/>
      <c r="D52" s="323"/>
      <c r="E52" s="323"/>
      <c r="F52" s="324"/>
      <c r="G52" s="324"/>
      <c r="H52" s="324"/>
      <c r="I52" s="324"/>
      <c r="J52" s="324"/>
      <c r="K52" s="324"/>
      <c r="L52" s="324"/>
      <c r="M52" s="324"/>
      <c r="N52" s="324"/>
      <c r="O52" s="324"/>
      <c r="P52" s="324"/>
      <c r="Q52" s="324"/>
      <c r="R52" s="325"/>
      <c r="S52" s="325"/>
      <c r="T52" s="325"/>
      <c r="U52" s="325"/>
    </row>
    <row r="53" spans="1:21">
      <c r="A53" s="323"/>
      <c r="B53" s="323"/>
      <c r="C53" s="323"/>
      <c r="D53" s="323"/>
      <c r="E53" s="323"/>
      <c r="F53" s="324"/>
      <c r="G53" s="324"/>
      <c r="H53" s="324"/>
      <c r="I53" s="324"/>
      <c r="J53" s="324"/>
      <c r="K53" s="324"/>
      <c r="L53" s="324"/>
      <c r="M53" s="324"/>
      <c r="N53" s="324"/>
      <c r="O53" s="324"/>
      <c r="P53" s="324"/>
      <c r="Q53" s="324"/>
      <c r="R53" s="325"/>
      <c r="S53" s="325"/>
      <c r="T53" s="325"/>
      <c r="U53" s="325"/>
    </row>
    <row r="54" spans="1:21">
      <c r="A54" s="323"/>
      <c r="B54" s="323"/>
      <c r="C54" s="323"/>
      <c r="D54" s="323"/>
      <c r="E54" s="323"/>
      <c r="F54" s="324"/>
      <c r="G54" s="324"/>
      <c r="H54" s="324"/>
      <c r="I54" s="324"/>
      <c r="J54" s="324"/>
      <c r="K54" s="324"/>
      <c r="L54" s="324"/>
      <c r="M54" s="324"/>
      <c r="N54" s="324"/>
      <c r="O54" s="324"/>
      <c r="P54" s="324"/>
      <c r="Q54" s="324"/>
      <c r="R54" s="325"/>
      <c r="S54" s="325"/>
      <c r="T54" s="325"/>
      <c r="U54" s="325"/>
    </row>
    <row r="55" spans="1:21">
      <c r="A55" s="323"/>
      <c r="B55" s="323"/>
      <c r="C55" s="323"/>
      <c r="D55" s="323"/>
      <c r="E55" s="323"/>
      <c r="F55" s="324"/>
      <c r="G55" s="324"/>
      <c r="H55" s="324"/>
      <c r="I55" s="324"/>
      <c r="J55" s="324"/>
      <c r="K55" s="324"/>
      <c r="L55" s="324"/>
      <c r="M55" s="324"/>
      <c r="N55" s="324"/>
      <c r="O55" s="324"/>
      <c r="P55" s="324"/>
      <c r="Q55" s="324"/>
      <c r="R55" s="325"/>
      <c r="S55" s="325"/>
      <c r="T55" s="325"/>
      <c r="U55" s="325"/>
    </row>
    <row r="56" spans="1:21">
      <c r="A56" s="323"/>
      <c r="B56" s="323"/>
      <c r="C56" s="323"/>
      <c r="D56" s="323"/>
      <c r="E56" s="323"/>
      <c r="F56" s="324"/>
      <c r="G56" s="324"/>
      <c r="H56" s="324"/>
      <c r="I56" s="324"/>
      <c r="J56" s="324"/>
      <c r="K56" s="324"/>
      <c r="L56" s="324"/>
      <c r="M56" s="324"/>
      <c r="N56" s="324"/>
      <c r="O56" s="324"/>
      <c r="P56" s="324"/>
      <c r="Q56" s="324"/>
      <c r="R56" s="325"/>
      <c r="S56" s="325"/>
      <c r="T56" s="325"/>
      <c r="U56" s="325"/>
    </row>
    <row r="57" spans="1:21">
      <c r="A57" s="323"/>
      <c r="B57" s="323"/>
      <c r="C57" s="323"/>
      <c r="D57" s="323"/>
      <c r="E57" s="323"/>
      <c r="F57" s="324"/>
      <c r="G57" s="324"/>
      <c r="H57" s="324"/>
      <c r="I57" s="324"/>
      <c r="J57" s="324"/>
      <c r="K57" s="324"/>
      <c r="L57" s="324"/>
      <c r="M57" s="324"/>
      <c r="N57" s="324"/>
      <c r="O57" s="324"/>
      <c r="P57" s="324"/>
      <c r="Q57" s="324"/>
      <c r="R57" s="325"/>
      <c r="S57" s="325"/>
      <c r="T57" s="325"/>
      <c r="U57" s="325"/>
    </row>
    <row r="58" spans="1:21">
      <c r="A58" s="323"/>
      <c r="B58" s="323"/>
      <c r="C58" s="323"/>
      <c r="D58" s="323"/>
      <c r="E58" s="323"/>
      <c r="F58" s="324"/>
      <c r="G58" s="324"/>
      <c r="H58" s="324"/>
      <c r="I58" s="324"/>
      <c r="J58" s="324"/>
      <c r="K58" s="324"/>
      <c r="L58" s="324"/>
      <c r="M58" s="324"/>
      <c r="N58" s="324"/>
      <c r="O58" s="324"/>
      <c r="P58" s="324"/>
      <c r="Q58" s="324"/>
      <c r="R58" s="325"/>
      <c r="S58" s="325"/>
      <c r="T58" s="325"/>
      <c r="U58" s="325"/>
    </row>
    <row r="59" spans="1:21">
      <c r="A59" s="323"/>
      <c r="B59" s="323"/>
      <c r="C59" s="323"/>
      <c r="D59" s="323"/>
      <c r="E59" s="323"/>
      <c r="F59" s="324"/>
      <c r="G59" s="324"/>
      <c r="H59" s="324"/>
      <c r="I59" s="324"/>
      <c r="J59" s="324"/>
      <c r="K59" s="324"/>
      <c r="L59" s="324"/>
      <c r="M59" s="324"/>
      <c r="N59" s="324"/>
      <c r="O59" s="324"/>
      <c r="P59" s="324"/>
      <c r="Q59" s="324"/>
      <c r="R59" s="325"/>
      <c r="S59" s="325"/>
      <c r="T59" s="325"/>
      <c r="U59" s="325"/>
    </row>
    <row r="60" spans="1:21">
      <c r="A60" s="323"/>
      <c r="B60" s="323"/>
      <c r="C60" s="323"/>
      <c r="D60" s="323"/>
      <c r="E60" s="323"/>
      <c r="F60" s="324"/>
      <c r="G60" s="324"/>
      <c r="H60" s="324"/>
      <c r="I60" s="324"/>
      <c r="J60" s="324"/>
      <c r="K60" s="324"/>
      <c r="L60" s="324"/>
      <c r="M60" s="324"/>
      <c r="N60" s="324"/>
      <c r="O60" s="324"/>
      <c r="P60" s="324"/>
      <c r="Q60" s="324"/>
      <c r="R60" s="325"/>
      <c r="S60" s="325"/>
      <c r="T60" s="325"/>
      <c r="U60" s="325"/>
    </row>
    <row r="61" spans="1:21">
      <c r="A61" s="323"/>
      <c r="B61" s="323"/>
      <c r="C61" s="323"/>
      <c r="D61" s="323"/>
      <c r="E61" s="323"/>
      <c r="F61" s="324"/>
      <c r="G61" s="324"/>
      <c r="H61" s="324"/>
      <c r="I61" s="324"/>
      <c r="J61" s="324"/>
      <c r="K61" s="324"/>
      <c r="L61" s="324"/>
      <c r="M61" s="324"/>
      <c r="N61" s="324"/>
      <c r="O61" s="324"/>
      <c r="P61" s="324"/>
      <c r="Q61" s="324"/>
      <c r="R61" s="325"/>
      <c r="S61" s="325"/>
      <c r="T61" s="325"/>
      <c r="U61" s="325"/>
    </row>
    <row r="62" spans="1:21">
      <c r="A62" s="323"/>
      <c r="B62" s="323"/>
      <c r="C62" s="323"/>
      <c r="D62" s="323"/>
      <c r="E62" s="323"/>
      <c r="F62" s="324"/>
      <c r="G62" s="324"/>
      <c r="H62" s="324"/>
      <c r="I62" s="324"/>
      <c r="J62" s="324"/>
      <c r="K62" s="324"/>
      <c r="L62" s="324"/>
      <c r="M62" s="324"/>
      <c r="N62" s="324"/>
      <c r="O62" s="324"/>
      <c r="P62" s="324"/>
      <c r="Q62" s="324"/>
      <c r="R62" s="325"/>
      <c r="S62" s="325"/>
      <c r="T62" s="325"/>
      <c r="U62" s="325"/>
    </row>
    <row r="63" spans="1:21">
      <c r="A63" s="323"/>
      <c r="B63" s="323"/>
      <c r="C63" s="323"/>
      <c r="D63" s="323"/>
      <c r="E63" s="323"/>
      <c r="F63" s="324"/>
      <c r="G63" s="324"/>
      <c r="H63" s="324"/>
      <c r="I63" s="324"/>
      <c r="J63" s="324"/>
      <c r="K63" s="324"/>
      <c r="L63" s="324"/>
      <c r="M63" s="324"/>
      <c r="N63" s="324"/>
      <c r="O63" s="324"/>
      <c r="P63" s="324"/>
      <c r="Q63" s="324"/>
      <c r="R63" s="325"/>
      <c r="S63" s="325"/>
      <c r="T63" s="325"/>
      <c r="U63" s="325"/>
    </row>
    <row r="64" spans="1:21">
      <c r="A64" s="323"/>
      <c r="B64" s="323"/>
      <c r="C64" s="323"/>
      <c r="D64" s="323"/>
      <c r="E64" s="323"/>
      <c r="F64" s="324"/>
      <c r="G64" s="324"/>
      <c r="H64" s="324"/>
      <c r="I64" s="324"/>
      <c r="J64" s="324"/>
      <c r="K64" s="324"/>
      <c r="L64" s="324"/>
      <c r="M64" s="324"/>
      <c r="N64" s="324"/>
      <c r="O64" s="324"/>
      <c r="P64" s="324"/>
      <c r="Q64" s="324"/>
      <c r="R64" s="325"/>
      <c r="S64" s="325"/>
      <c r="T64" s="325"/>
      <c r="U64" s="325"/>
    </row>
    <row r="65" spans="1:21">
      <c r="A65" s="323"/>
      <c r="B65" s="323"/>
      <c r="C65" s="323"/>
      <c r="D65" s="323"/>
      <c r="E65" s="323"/>
      <c r="F65" s="324"/>
      <c r="G65" s="324"/>
      <c r="H65" s="324"/>
      <c r="I65" s="324"/>
      <c r="J65" s="324"/>
      <c r="K65" s="324"/>
      <c r="L65" s="324"/>
      <c r="M65" s="324"/>
      <c r="N65" s="324"/>
      <c r="O65" s="324"/>
      <c r="P65" s="324"/>
      <c r="Q65" s="324"/>
      <c r="R65" s="325"/>
      <c r="S65" s="325"/>
      <c r="T65" s="325"/>
      <c r="U65" s="325"/>
    </row>
    <row r="66" spans="1:21">
      <c r="A66" s="323"/>
      <c r="B66" s="323"/>
      <c r="C66" s="323"/>
      <c r="D66" s="323"/>
      <c r="E66" s="323"/>
      <c r="F66" s="324"/>
      <c r="G66" s="324"/>
      <c r="H66" s="324"/>
      <c r="I66" s="324"/>
      <c r="J66" s="324"/>
      <c r="K66" s="324"/>
      <c r="L66" s="324"/>
      <c r="M66" s="324"/>
      <c r="N66" s="324"/>
      <c r="O66" s="324"/>
      <c r="P66" s="324"/>
      <c r="Q66" s="324"/>
      <c r="R66" s="325"/>
      <c r="S66" s="325"/>
      <c r="T66" s="325"/>
      <c r="U66" s="325"/>
    </row>
    <row r="67" spans="1:21">
      <c r="A67" s="323"/>
      <c r="B67" s="323"/>
      <c r="C67" s="323"/>
      <c r="D67" s="323"/>
      <c r="E67" s="323"/>
      <c r="F67" s="324"/>
      <c r="G67" s="324"/>
      <c r="H67" s="324"/>
      <c r="I67" s="324"/>
      <c r="J67" s="324"/>
      <c r="K67" s="324"/>
      <c r="L67" s="324"/>
      <c r="M67" s="324"/>
      <c r="N67" s="324"/>
      <c r="O67" s="324"/>
      <c r="P67" s="324"/>
      <c r="Q67" s="324"/>
      <c r="R67" s="325"/>
      <c r="S67" s="325"/>
      <c r="T67" s="325"/>
      <c r="U67" s="325"/>
    </row>
    <row r="68" spans="1:21">
      <c r="A68" s="323"/>
      <c r="B68" s="323"/>
      <c r="C68" s="323"/>
      <c r="D68" s="323"/>
      <c r="E68" s="323"/>
      <c r="F68" s="324"/>
      <c r="G68" s="324"/>
      <c r="H68" s="324"/>
      <c r="I68" s="324"/>
      <c r="J68" s="324"/>
      <c r="K68" s="324"/>
      <c r="L68" s="324"/>
      <c r="M68" s="324"/>
      <c r="N68" s="324"/>
      <c r="O68" s="324"/>
      <c r="P68" s="324"/>
      <c r="Q68" s="324"/>
      <c r="R68" s="325"/>
      <c r="S68" s="325"/>
      <c r="T68" s="325"/>
      <c r="U68" s="325"/>
    </row>
    <row r="69" spans="1:21">
      <c r="A69" s="323"/>
      <c r="B69" s="323"/>
      <c r="C69" s="323"/>
      <c r="D69" s="323"/>
      <c r="E69" s="323"/>
      <c r="F69" s="324"/>
      <c r="G69" s="324"/>
      <c r="H69" s="324"/>
      <c r="I69" s="324"/>
      <c r="J69" s="324"/>
      <c r="K69" s="324"/>
      <c r="L69" s="324"/>
      <c r="M69" s="324"/>
      <c r="N69" s="324"/>
      <c r="O69" s="324"/>
      <c r="P69" s="324"/>
      <c r="Q69" s="324"/>
      <c r="R69" s="325"/>
      <c r="S69" s="325"/>
      <c r="T69" s="325"/>
      <c r="U69" s="325"/>
    </row>
    <row r="70" spans="1:21">
      <c r="A70" s="323"/>
      <c r="B70" s="323"/>
      <c r="C70" s="323"/>
      <c r="D70" s="323"/>
      <c r="E70" s="323"/>
      <c r="F70" s="324"/>
      <c r="G70" s="324"/>
      <c r="H70" s="324"/>
      <c r="I70" s="324"/>
      <c r="J70" s="324"/>
      <c r="K70" s="324"/>
      <c r="L70" s="324"/>
      <c r="M70" s="324"/>
      <c r="N70" s="324"/>
      <c r="O70" s="324"/>
      <c r="P70" s="324"/>
      <c r="Q70" s="324"/>
      <c r="R70" s="325"/>
      <c r="S70" s="325"/>
      <c r="T70" s="325"/>
      <c r="U70" s="325"/>
    </row>
    <row r="71" spans="1:21">
      <c r="A71" s="323"/>
      <c r="B71" s="323"/>
      <c r="C71" s="323"/>
      <c r="D71" s="323"/>
      <c r="E71" s="323"/>
      <c r="F71" s="324"/>
      <c r="G71" s="324"/>
      <c r="H71" s="324"/>
      <c r="I71" s="324"/>
      <c r="J71" s="324"/>
      <c r="K71" s="324"/>
      <c r="L71" s="324"/>
      <c r="M71" s="324"/>
      <c r="N71" s="324"/>
      <c r="O71" s="324"/>
      <c r="P71" s="324"/>
      <c r="Q71" s="324"/>
      <c r="R71" s="325"/>
      <c r="S71" s="325"/>
      <c r="T71" s="325"/>
      <c r="U71" s="325"/>
    </row>
    <row r="72" spans="1:21">
      <c r="A72" s="323"/>
      <c r="B72" s="323"/>
      <c r="C72" s="323"/>
      <c r="D72" s="323"/>
      <c r="E72" s="323"/>
      <c r="F72" s="324"/>
      <c r="G72" s="324"/>
      <c r="H72" s="324"/>
      <c r="I72" s="324"/>
      <c r="J72" s="324"/>
      <c r="K72" s="324"/>
      <c r="L72" s="324"/>
      <c r="M72" s="324"/>
      <c r="N72" s="324"/>
      <c r="O72" s="324"/>
      <c r="P72" s="324"/>
      <c r="Q72" s="324"/>
      <c r="R72" s="325"/>
      <c r="S72" s="325"/>
      <c r="T72" s="325"/>
      <c r="U72" s="325"/>
    </row>
    <row r="73" spans="1:21">
      <c r="A73" s="323"/>
      <c r="B73" s="323"/>
      <c r="C73" s="323"/>
      <c r="D73" s="323"/>
      <c r="E73" s="323"/>
      <c r="F73" s="324"/>
      <c r="G73" s="324"/>
      <c r="H73" s="324"/>
      <c r="I73" s="324"/>
      <c r="J73" s="324"/>
      <c r="K73" s="324"/>
      <c r="L73" s="324"/>
      <c r="M73" s="324"/>
      <c r="N73" s="324"/>
      <c r="O73" s="324"/>
      <c r="P73" s="324"/>
      <c r="Q73" s="324"/>
      <c r="R73" s="325"/>
      <c r="S73" s="325"/>
      <c r="T73" s="325"/>
      <c r="U73" s="325"/>
    </row>
    <row r="74" spans="1:21">
      <c r="A74" s="323"/>
      <c r="B74" s="323"/>
      <c r="C74" s="323"/>
      <c r="D74" s="323"/>
      <c r="E74" s="323"/>
      <c r="F74" s="324"/>
      <c r="G74" s="324"/>
      <c r="H74" s="324"/>
      <c r="I74" s="324"/>
      <c r="J74" s="324"/>
      <c r="K74" s="324"/>
      <c r="L74" s="324"/>
      <c r="M74" s="324"/>
      <c r="N74" s="324"/>
      <c r="O74" s="324"/>
      <c r="P74" s="324"/>
      <c r="Q74" s="324"/>
      <c r="R74" s="325"/>
      <c r="S74" s="325"/>
      <c r="T74" s="325"/>
      <c r="U74" s="325"/>
    </row>
    <row r="75" spans="1:21">
      <c r="A75" s="323"/>
      <c r="B75" s="323"/>
      <c r="C75" s="323"/>
      <c r="D75" s="323"/>
      <c r="E75" s="323"/>
      <c r="F75" s="324"/>
      <c r="G75" s="324"/>
      <c r="H75" s="324"/>
      <c r="I75" s="324"/>
      <c r="J75" s="324"/>
      <c r="K75" s="324"/>
      <c r="L75" s="324"/>
      <c r="M75" s="324"/>
      <c r="N75" s="324"/>
      <c r="O75" s="324"/>
      <c r="P75" s="324"/>
      <c r="Q75" s="324"/>
      <c r="R75" s="325"/>
      <c r="S75" s="325"/>
      <c r="T75" s="325"/>
      <c r="U75" s="325"/>
    </row>
    <row r="76" spans="1:21">
      <c r="A76" s="323"/>
      <c r="B76" s="323"/>
      <c r="C76" s="323"/>
      <c r="D76" s="323"/>
      <c r="E76" s="323"/>
      <c r="F76" s="324"/>
      <c r="G76" s="324"/>
      <c r="H76" s="324"/>
      <c r="I76" s="324"/>
      <c r="J76" s="324"/>
      <c r="K76" s="324"/>
      <c r="L76" s="324"/>
      <c r="M76" s="324"/>
      <c r="N76" s="324"/>
      <c r="O76" s="324"/>
      <c r="P76" s="324"/>
      <c r="Q76" s="324"/>
      <c r="R76" s="325"/>
      <c r="S76" s="325"/>
      <c r="T76" s="325"/>
      <c r="U76" s="325"/>
    </row>
    <row r="77" spans="1:21">
      <c r="A77" s="323"/>
      <c r="B77" s="323"/>
      <c r="C77" s="323"/>
      <c r="D77" s="323"/>
      <c r="E77" s="323"/>
      <c r="F77" s="324"/>
      <c r="G77" s="324"/>
      <c r="H77" s="324"/>
      <c r="I77" s="324"/>
      <c r="J77" s="324"/>
      <c r="K77" s="324"/>
      <c r="L77" s="324"/>
      <c r="M77" s="324"/>
      <c r="N77" s="324"/>
      <c r="O77" s="324"/>
      <c r="P77" s="324"/>
      <c r="Q77" s="324"/>
      <c r="R77" s="325"/>
      <c r="S77" s="325"/>
      <c r="T77" s="325"/>
      <c r="U77" s="325"/>
    </row>
    <row r="78" spans="1:21">
      <c r="A78" s="323"/>
      <c r="B78" s="323"/>
      <c r="C78" s="323"/>
      <c r="D78" s="323"/>
      <c r="E78" s="323"/>
      <c r="F78" s="324"/>
      <c r="G78" s="324"/>
      <c r="H78" s="324"/>
      <c r="I78" s="324"/>
      <c r="J78" s="324"/>
      <c r="K78" s="324"/>
      <c r="L78" s="324"/>
      <c r="M78" s="324"/>
      <c r="N78" s="324"/>
      <c r="O78" s="324"/>
      <c r="P78" s="324"/>
      <c r="Q78" s="324"/>
      <c r="R78" s="325"/>
      <c r="S78" s="325"/>
      <c r="T78" s="325"/>
      <c r="U78" s="325"/>
    </row>
    <row r="79" spans="1:21">
      <c r="A79" s="323"/>
      <c r="B79" s="323"/>
      <c r="C79" s="323"/>
      <c r="D79" s="323"/>
      <c r="E79" s="323"/>
      <c r="F79" s="324"/>
      <c r="G79" s="324"/>
      <c r="H79" s="324"/>
      <c r="I79" s="324"/>
      <c r="J79" s="324"/>
      <c r="K79" s="324"/>
      <c r="L79" s="324"/>
      <c r="M79" s="324"/>
      <c r="N79" s="324"/>
      <c r="O79" s="324"/>
      <c r="P79" s="324"/>
      <c r="Q79" s="324"/>
      <c r="R79" s="325"/>
      <c r="S79" s="325"/>
      <c r="T79" s="325"/>
      <c r="U79" s="325"/>
    </row>
    <row r="80" spans="1:21">
      <c r="A80" s="323"/>
      <c r="B80" s="323"/>
      <c r="C80" s="323"/>
      <c r="D80" s="323"/>
      <c r="E80" s="323"/>
      <c r="F80" s="324"/>
      <c r="G80" s="324"/>
      <c r="H80" s="324"/>
      <c r="I80" s="324"/>
      <c r="J80" s="324"/>
      <c r="K80" s="324"/>
      <c r="L80" s="324"/>
      <c r="M80" s="324"/>
      <c r="N80" s="324"/>
      <c r="O80" s="324"/>
      <c r="P80" s="324"/>
      <c r="Q80" s="324"/>
      <c r="R80" s="325"/>
      <c r="S80" s="325"/>
      <c r="T80" s="325"/>
      <c r="U80" s="325"/>
    </row>
    <row r="81" spans="1:21">
      <c r="A81" s="323"/>
      <c r="B81" s="323"/>
      <c r="C81" s="323"/>
      <c r="D81" s="323"/>
      <c r="E81" s="323"/>
      <c r="F81" s="324"/>
      <c r="G81" s="324"/>
      <c r="H81" s="324"/>
      <c r="I81" s="324"/>
      <c r="J81" s="324"/>
      <c r="K81" s="324"/>
      <c r="L81" s="324"/>
      <c r="M81" s="324"/>
      <c r="N81" s="324"/>
      <c r="O81" s="324"/>
      <c r="P81" s="324"/>
      <c r="Q81" s="324"/>
      <c r="R81" s="325"/>
      <c r="S81" s="325"/>
      <c r="T81" s="325"/>
      <c r="U81" s="325"/>
    </row>
    <row r="82" spans="1:21">
      <c r="A82" s="323"/>
      <c r="B82" s="323"/>
      <c r="C82" s="323"/>
      <c r="D82" s="323"/>
      <c r="E82" s="323"/>
      <c r="F82" s="324"/>
      <c r="G82" s="324"/>
      <c r="H82" s="324"/>
      <c r="I82" s="324"/>
      <c r="J82" s="324"/>
      <c r="K82" s="324"/>
      <c r="L82" s="324"/>
      <c r="M82" s="324"/>
      <c r="N82" s="324"/>
      <c r="O82" s="324"/>
      <c r="P82" s="324"/>
      <c r="Q82" s="324"/>
      <c r="R82" s="325"/>
      <c r="S82" s="325"/>
      <c r="T82" s="325"/>
      <c r="U82" s="325"/>
    </row>
    <row r="83" spans="1:21">
      <c r="A83" s="323"/>
      <c r="B83" s="323"/>
      <c r="C83" s="323"/>
      <c r="D83" s="323"/>
      <c r="E83" s="323"/>
      <c r="F83" s="324"/>
      <c r="G83" s="324"/>
      <c r="H83" s="324"/>
      <c r="I83" s="324"/>
      <c r="J83" s="324"/>
      <c r="K83" s="324"/>
      <c r="L83" s="324"/>
      <c r="M83" s="324"/>
      <c r="N83" s="324"/>
      <c r="O83" s="324"/>
      <c r="P83" s="324"/>
      <c r="Q83" s="324"/>
      <c r="R83" s="325"/>
      <c r="S83" s="325"/>
      <c r="T83" s="325"/>
      <c r="U83" s="325"/>
    </row>
    <row r="84" spans="1:21">
      <c r="A84" s="323"/>
      <c r="B84" s="323"/>
      <c r="C84" s="323"/>
      <c r="D84" s="323"/>
      <c r="E84" s="323"/>
      <c r="F84" s="324"/>
      <c r="G84" s="324"/>
      <c r="H84" s="324"/>
      <c r="I84" s="324"/>
      <c r="J84" s="324"/>
      <c r="K84" s="324"/>
      <c r="L84" s="324"/>
      <c r="M84" s="324"/>
      <c r="N84" s="324"/>
      <c r="O84" s="324"/>
      <c r="P84" s="324"/>
      <c r="Q84" s="324"/>
      <c r="R84" s="325"/>
      <c r="S84" s="325"/>
      <c r="T84" s="325"/>
      <c r="U84" s="325"/>
    </row>
    <row r="85" spans="1:21">
      <c r="A85" s="323"/>
      <c r="B85" s="323"/>
      <c r="C85" s="323"/>
      <c r="D85" s="323"/>
      <c r="E85" s="323"/>
      <c r="F85" s="324"/>
      <c r="G85" s="324"/>
      <c r="H85" s="324"/>
      <c r="I85" s="324"/>
      <c r="J85" s="324"/>
      <c r="K85" s="324"/>
      <c r="L85" s="324"/>
      <c r="M85" s="324"/>
      <c r="N85" s="324"/>
      <c r="O85" s="324"/>
      <c r="P85" s="324"/>
      <c r="Q85" s="324"/>
      <c r="R85" s="325"/>
      <c r="S85" s="325"/>
      <c r="T85" s="325"/>
      <c r="U85" s="325"/>
    </row>
    <row r="86" spans="1:21">
      <c r="A86" s="323"/>
      <c r="B86" s="323"/>
      <c r="C86" s="323"/>
      <c r="D86" s="323"/>
      <c r="E86" s="323"/>
      <c r="F86" s="324"/>
      <c r="G86" s="324"/>
      <c r="H86" s="324"/>
      <c r="I86" s="324"/>
      <c r="J86" s="324"/>
      <c r="K86" s="324"/>
      <c r="L86" s="324"/>
      <c r="M86" s="324"/>
      <c r="N86" s="324"/>
      <c r="O86" s="324"/>
      <c r="P86" s="324"/>
      <c r="Q86" s="324"/>
      <c r="R86" s="325"/>
      <c r="S86" s="325"/>
      <c r="T86" s="325"/>
      <c r="U86" s="325"/>
    </row>
    <row r="87" spans="1:21">
      <c r="A87" s="323"/>
      <c r="B87" s="323"/>
      <c r="C87" s="323"/>
      <c r="D87" s="323"/>
      <c r="E87" s="323"/>
      <c r="F87" s="324"/>
      <c r="G87" s="324"/>
      <c r="H87" s="324"/>
      <c r="I87" s="324"/>
      <c r="J87" s="324"/>
      <c r="K87" s="324"/>
      <c r="L87" s="324"/>
      <c r="M87" s="324"/>
      <c r="N87" s="324"/>
      <c r="O87" s="324"/>
      <c r="P87" s="324"/>
      <c r="Q87" s="324"/>
      <c r="R87" s="325"/>
      <c r="S87" s="325"/>
      <c r="T87" s="325"/>
      <c r="U87" s="325"/>
    </row>
    <row r="88" spans="1:21">
      <c r="A88" s="323"/>
      <c r="B88" s="323"/>
      <c r="C88" s="323"/>
      <c r="D88" s="323"/>
      <c r="E88" s="323"/>
      <c r="F88" s="324"/>
      <c r="G88" s="324"/>
      <c r="H88" s="324"/>
      <c r="I88" s="324"/>
      <c r="J88" s="324"/>
      <c r="K88" s="324"/>
      <c r="L88" s="324"/>
      <c r="M88" s="324"/>
      <c r="N88" s="324"/>
      <c r="O88" s="324"/>
      <c r="P88" s="324"/>
      <c r="Q88" s="324"/>
      <c r="R88" s="325"/>
      <c r="S88" s="325"/>
      <c r="T88" s="325"/>
      <c r="U88" s="325"/>
    </row>
    <row r="89" spans="1:21">
      <c r="A89" s="323"/>
      <c r="B89" s="323"/>
      <c r="C89" s="323"/>
      <c r="D89" s="323"/>
      <c r="E89" s="323"/>
      <c r="F89" s="324"/>
      <c r="G89" s="324"/>
      <c r="H89" s="324"/>
      <c r="I89" s="324"/>
      <c r="J89" s="324"/>
      <c r="K89" s="324"/>
      <c r="L89" s="324"/>
      <c r="M89" s="324"/>
      <c r="N89" s="324"/>
      <c r="O89" s="324"/>
      <c r="P89" s="324"/>
      <c r="Q89" s="324"/>
      <c r="R89" s="325"/>
      <c r="S89" s="325"/>
      <c r="T89" s="325"/>
      <c r="U89" s="325"/>
    </row>
    <row r="90" spans="1:21">
      <c r="A90" s="323"/>
      <c r="B90" s="323"/>
      <c r="C90" s="323"/>
      <c r="D90" s="323"/>
      <c r="E90" s="323"/>
      <c r="F90" s="324"/>
      <c r="G90" s="324"/>
      <c r="H90" s="324"/>
      <c r="I90" s="324"/>
      <c r="J90" s="324"/>
      <c r="K90" s="324"/>
      <c r="L90" s="324"/>
      <c r="M90" s="324"/>
      <c r="N90" s="324"/>
      <c r="O90" s="324"/>
      <c r="P90" s="324"/>
      <c r="Q90" s="324"/>
      <c r="R90" s="325"/>
      <c r="S90" s="325"/>
      <c r="T90" s="325"/>
      <c r="U90" s="325"/>
    </row>
    <row r="91" spans="1:21">
      <c r="A91" s="323"/>
      <c r="B91" s="323"/>
      <c r="C91" s="323"/>
      <c r="D91" s="323"/>
      <c r="E91" s="323"/>
      <c r="F91" s="324"/>
      <c r="G91" s="324"/>
      <c r="H91" s="324"/>
      <c r="I91" s="324"/>
      <c r="J91" s="324"/>
      <c r="K91" s="324"/>
      <c r="L91" s="324"/>
      <c r="M91" s="324"/>
      <c r="N91" s="324"/>
      <c r="O91" s="324"/>
      <c r="P91" s="324"/>
      <c r="Q91" s="324"/>
      <c r="R91" s="325"/>
      <c r="S91" s="325"/>
      <c r="T91" s="325"/>
      <c r="U91" s="325"/>
    </row>
    <row r="92" spans="1:21">
      <c r="A92" s="323"/>
      <c r="B92" s="323"/>
      <c r="C92" s="323"/>
      <c r="D92" s="323"/>
      <c r="E92" s="323"/>
      <c r="F92" s="324"/>
      <c r="G92" s="324"/>
      <c r="H92" s="324"/>
      <c r="I92" s="324"/>
      <c r="J92" s="324"/>
      <c r="K92" s="324"/>
      <c r="L92" s="324"/>
      <c r="M92" s="324"/>
      <c r="N92" s="324"/>
      <c r="O92" s="324"/>
      <c r="P92" s="324"/>
      <c r="Q92" s="324"/>
      <c r="R92" s="325"/>
      <c r="S92" s="325"/>
      <c r="T92" s="325"/>
      <c r="U92" s="325"/>
    </row>
    <row r="93" spans="1:21">
      <c r="A93" s="323"/>
      <c r="B93" s="323"/>
      <c r="C93" s="323"/>
      <c r="D93" s="323"/>
      <c r="E93" s="323"/>
      <c r="F93" s="324"/>
      <c r="G93" s="324"/>
      <c r="H93" s="324"/>
      <c r="I93" s="324"/>
      <c r="J93" s="324"/>
      <c r="K93" s="324"/>
      <c r="L93" s="324"/>
      <c r="M93" s="324"/>
      <c r="N93" s="324"/>
      <c r="O93" s="324"/>
      <c r="P93" s="324"/>
      <c r="Q93" s="324"/>
      <c r="R93" s="325"/>
      <c r="S93" s="325"/>
      <c r="T93" s="325"/>
      <c r="U93" s="325"/>
    </row>
    <row r="94" spans="1:21">
      <c r="A94" s="323"/>
      <c r="B94" s="323"/>
      <c r="C94" s="323"/>
      <c r="D94" s="323"/>
      <c r="E94" s="323"/>
      <c r="F94" s="324"/>
      <c r="G94" s="324"/>
      <c r="H94" s="324"/>
      <c r="I94" s="324"/>
      <c r="J94" s="324"/>
      <c r="K94" s="324"/>
      <c r="L94" s="324"/>
      <c r="M94" s="324"/>
      <c r="N94" s="324"/>
      <c r="O94" s="324"/>
      <c r="P94" s="324"/>
      <c r="Q94" s="324"/>
      <c r="R94" s="325"/>
      <c r="S94" s="325"/>
      <c r="T94" s="325"/>
      <c r="U94" s="325"/>
    </row>
    <row r="95" spans="1:21">
      <c r="A95" s="323"/>
      <c r="B95" s="323"/>
      <c r="C95" s="323"/>
      <c r="D95" s="323"/>
      <c r="E95" s="323"/>
      <c r="F95" s="324"/>
      <c r="G95" s="324"/>
      <c r="H95" s="324"/>
      <c r="I95" s="324"/>
      <c r="J95" s="324"/>
      <c r="K95" s="324"/>
      <c r="L95" s="324"/>
      <c r="M95" s="324"/>
      <c r="N95" s="324"/>
      <c r="O95" s="324"/>
      <c r="P95" s="324"/>
      <c r="Q95" s="324"/>
      <c r="R95" s="325"/>
      <c r="S95" s="325"/>
      <c r="T95" s="325"/>
      <c r="U95" s="325"/>
    </row>
    <row r="96" spans="1:21">
      <c r="A96" s="323"/>
      <c r="B96" s="323"/>
      <c r="C96" s="323"/>
      <c r="D96" s="323"/>
      <c r="E96" s="323"/>
      <c r="F96" s="324"/>
      <c r="G96" s="324"/>
      <c r="H96" s="324"/>
      <c r="I96" s="324"/>
      <c r="J96" s="324"/>
      <c r="K96" s="324"/>
      <c r="L96" s="324"/>
      <c r="M96" s="324"/>
      <c r="N96" s="324"/>
      <c r="O96" s="324"/>
      <c r="P96" s="324"/>
      <c r="Q96" s="324"/>
      <c r="R96" s="325"/>
      <c r="S96" s="325"/>
      <c r="T96" s="325"/>
      <c r="U96" s="325"/>
    </row>
    <row r="97" spans="1:21">
      <c r="A97" s="323"/>
      <c r="B97" s="323"/>
      <c r="C97" s="323"/>
      <c r="D97" s="323"/>
      <c r="E97" s="323"/>
      <c r="F97" s="324"/>
      <c r="G97" s="324"/>
      <c r="H97" s="324"/>
      <c r="I97" s="324"/>
      <c r="J97" s="324"/>
      <c r="K97" s="324"/>
      <c r="L97" s="324"/>
      <c r="M97" s="324"/>
      <c r="N97" s="324"/>
      <c r="O97" s="324"/>
      <c r="P97" s="324"/>
      <c r="Q97" s="324"/>
      <c r="R97" s="325"/>
      <c r="S97" s="325"/>
      <c r="T97" s="325"/>
      <c r="U97" s="325"/>
    </row>
    <row r="98" spans="1:21">
      <c r="A98" s="323"/>
      <c r="B98" s="323"/>
      <c r="C98" s="323"/>
      <c r="D98" s="323"/>
      <c r="E98" s="323"/>
      <c r="F98" s="324"/>
      <c r="G98" s="324"/>
      <c r="H98" s="324"/>
      <c r="I98" s="324"/>
      <c r="J98" s="324"/>
      <c r="K98" s="324"/>
      <c r="L98" s="324"/>
      <c r="M98" s="324"/>
      <c r="N98" s="324"/>
      <c r="O98" s="324"/>
      <c r="P98" s="324"/>
      <c r="Q98" s="324"/>
      <c r="R98" s="325"/>
      <c r="S98" s="325"/>
      <c r="T98" s="325"/>
      <c r="U98" s="325"/>
    </row>
    <row r="99" spans="1:21">
      <c r="A99" s="323"/>
      <c r="B99" s="323"/>
      <c r="C99" s="323"/>
      <c r="D99" s="323"/>
      <c r="E99" s="323"/>
      <c r="F99" s="324"/>
      <c r="G99" s="324"/>
      <c r="H99" s="324"/>
      <c r="I99" s="324"/>
      <c r="J99" s="324"/>
      <c r="K99" s="324"/>
      <c r="L99" s="324"/>
      <c r="M99" s="324"/>
      <c r="N99" s="324"/>
      <c r="O99" s="324"/>
      <c r="P99" s="324"/>
      <c r="Q99" s="324"/>
      <c r="R99" s="325"/>
      <c r="S99" s="325"/>
      <c r="T99" s="325"/>
      <c r="U99" s="325"/>
    </row>
    <row r="100" spans="1:21">
      <c r="A100" s="323"/>
      <c r="B100" s="323"/>
      <c r="C100" s="323"/>
      <c r="D100" s="323"/>
      <c r="E100" s="323"/>
      <c r="F100" s="324"/>
      <c r="G100" s="324"/>
      <c r="H100" s="324"/>
      <c r="I100" s="324"/>
      <c r="J100" s="324"/>
      <c r="K100" s="324"/>
      <c r="L100" s="324"/>
      <c r="M100" s="324"/>
      <c r="N100" s="324"/>
      <c r="O100" s="324"/>
      <c r="P100" s="324"/>
      <c r="Q100" s="324"/>
      <c r="R100" s="325"/>
      <c r="S100" s="325"/>
      <c r="T100" s="325"/>
      <c r="U100" s="325"/>
    </row>
    <row r="101" spans="1:21">
      <c r="A101" s="323"/>
      <c r="B101" s="323"/>
      <c r="C101" s="323"/>
      <c r="D101" s="323"/>
      <c r="E101" s="323"/>
      <c r="F101" s="324"/>
      <c r="G101" s="324"/>
      <c r="H101" s="324"/>
      <c r="I101" s="324"/>
      <c r="J101" s="324"/>
      <c r="K101" s="324"/>
      <c r="L101" s="324"/>
      <c r="M101" s="324"/>
      <c r="N101" s="324"/>
      <c r="O101" s="324"/>
      <c r="P101" s="324"/>
      <c r="Q101" s="324"/>
      <c r="R101" s="325"/>
      <c r="S101" s="325"/>
      <c r="T101" s="325"/>
      <c r="U101" s="325"/>
    </row>
    <row r="102" spans="1:21">
      <c r="A102" s="323"/>
      <c r="B102" s="323"/>
      <c r="C102" s="323"/>
      <c r="D102" s="323"/>
      <c r="E102" s="323"/>
      <c r="F102" s="324"/>
      <c r="G102" s="324"/>
      <c r="H102" s="324"/>
      <c r="I102" s="324"/>
      <c r="J102" s="324"/>
      <c r="K102" s="324"/>
      <c r="L102" s="324"/>
      <c r="M102" s="324"/>
      <c r="N102" s="324"/>
      <c r="O102" s="324"/>
      <c r="P102" s="324"/>
      <c r="Q102" s="324"/>
      <c r="R102" s="325"/>
      <c r="S102" s="325"/>
      <c r="T102" s="325"/>
      <c r="U102" s="325"/>
    </row>
    <row r="103" spans="1:21">
      <c r="A103" s="323"/>
      <c r="B103" s="323"/>
      <c r="C103" s="323"/>
      <c r="D103" s="323"/>
      <c r="E103" s="323"/>
      <c r="F103" s="324"/>
      <c r="G103" s="324"/>
      <c r="H103" s="324"/>
      <c r="I103" s="324"/>
      <c r="J103" s="324"/>
      <c r="K103" s="324"/>
      <c r="L103" s="324"/>
      <c r="M103" s="324"/>
      <c r="N103" s="324"/>
      <c r="O103" s="324"/>
      <c r="P103" s="324"/>
      <c r="Q103" s="324"/>
      <c r="R103" s="325"/>
      <c r="S103" s="325"/>
      <c r="T103" s="325"/>
      <c r="U103" s="325"/>
    </row>
    <row r="104" spans="1:21">
      <c r="A104" s="323"/>
      <c r="B104" s="323"/>
      <c r="C104" s="323"/>
      <c r="D104" s="323"/>
      <c r="E104" s="323"/>
      <c r="F104" s="324"/>
      <c r="G104" s="324"/>
      <c r="H104" s="324"/>
      <c r="I104" s="324"/>
      <c r="J104" s="324"/>
      <c r="K104" s="324"/>
      <c r="L104" s="324"/>
      <c r="M104" s="324"/>
      <c r="N104" s="324"/>
      <c r="O104" s="324"/>
      <c r="P104" s="324"/>
      <c r="Q104" s="324"/>
      <c r="R104" s="325"/>
      <c r="S104" s="325"/>
      <c r="T104" s="325"/>
      <c r="U104" s="325"/>
    </row>
    <row r="105" spans="1:21">
      <c r="A105" s="323"/>
      <c r="B105" s="323"/>
      <c r="C105" s="323"/>
      <c r="D105" s="323"/>
      <c r="E105" s="323"/>
      <c r="F105" s="324"/>
      <c r="G105" s="324"/>
      <c r="H105" s="324"/>
      <c r="I105" s="324"/>
      <c r="J105" s="324"/>
      <c r="K105" s="324"/>
      <c r="L105" s="324"/>
      <c r="M105" s="324"/>
      <c r="N105" s="324"/>
      <c r="O105" s="324"/>
      <c r="P105" s="324"/>
      <c r="Q105" s="324"/>
      <c r="R105" s="325"/>
      <c r="S105" s="325"/>
      <c r="T105" s="325"/>
      <c r="U105" s="325"/>
    </row>
    <row r="106" spans="1:21">
      <c r="A106" s="323"/>
      <c r="B106" s="323"/>
      <c r="C106" s="323"/>
      <c r="D106" s="323"/>
      <c r="E106" s="323"/>
      <c r="F106" s="324"/>
      <c r="G106" s="324"/>
      <c r="H106" s="324"/>
      <c r="I106" s="324"/>
      <c r="J106" s="324"/>
      <c r="K106" s="324"/>
      <c r="L106" s="324"/>
      <c r="M106" s="324"/>
      <c r="N106" s="324"/>
      <c r="O106" s="324"/>
      <c r="P106" s="324"/>
      <c r="Q106" s="324"/>
      <c r="R106" s="325"/>
      <c r="S106" s="325"/>
      <c r="T106" s="325"/>
      <c r="U106" s="325"/>
    </row>
    <row r="107" spans="1:21">
      <c r="A107" s="323"/>
      <c r="B107" s="323"/>
      <c r="C107" s="323"/>
      <c r="D107" s="323"/>
      <c r="E107" s="323"/>
      <c r="F107" s="324"/>
      <c r="G107" s="324"/>
      <c r="H107" s="324"/>
      <c r="I107" s="324"/>
      <c r="J107" s="324"/>
      <c r="K107" s="324"/>
      <c r="L107" s="324"/>
      <c r="M107" s="324"/>
      <c r="N107" s="324"/>
      <c r="O107" s="324"/>
      <c r="P107" s="324"/>
      <c r="Q107" s="324"/>
      <c r="R107" s="325"/>
      <c r="S107" s="325"/>
      <c r="T107" s="325"/>
      <c r="U107" s="325"/>
    </row>
    <row r="108" spans="1:21">
      <c r="A108" s="323"/>
      <c r="B108" s="323"/>
      <c r="C108" s="323"/>
      <c r="D108" s="323"/>
      <c r="E108" s="323"/>
      <c r="F108" s="324"/>
      <c r="G108" s="324"/>
      <c r="H108" s="324"/>
      <c r="I108" s="324"/>
      <c r="J108" s="324"/>
      <c r="K108" s="324"/>
      <c r="L108" s="324"/>
      <c r="M108" s="324"/>
      <c r="N108" s="324"/>
      <c r="O108" s="324"/>
      <c r="P108" s="324"/>
      <c r="Q108" s="324"/>
      <c r="R108" s="325"/>
      <c r="S108" s="325"/>
      <c r="T108" s="325"/>
      <c r="U108" s="325"/>
    </row>
    <row r="109" spans="1:21">
      <c r="A109" s="323"/>
      <c r="B109" s="323"/>
      <c r="C109" s="323"/>
      <c r="D109" s="323"/>
      <c r="E109" s="323"/>
      <c r="F109" s="324"/>
      <c r="G109" s="324"/>
      <c r="H109" s="324"/>
      <c r="I109" s="324"/>
      <c r="J109" s="324"/>
      <c r="K109" s="324"/>
      <c r="L109" s="324"/>
      <c r="M109" s="324"/>
      <c r="N109" s="324"/>
      <c r="O109" s="324"/>
      <c r="P109" s="324"/>
      <c r="Q109" s="324"/>
      <c r="R109" s="325"/>
      <c r="S109" s="325"/>
      <c r="T109" s="325"/>
      <c r="U109" s="325"/>
    </row>
    <row r="110" spans="1:21">
      <c r="A110" s="323"/>
      <c r="B110" s="323"/>
      <c r="C110" s="323"/>
      <c r="D110" s="323"/>
      <c r="E110" s="323"/>
      <c r="F110" s="324"/>
      <c r="G110" s="324"/>
      <c r="H110" s="324"/>
      <c r="I110" s="324"/>
      <c r="J110" s="324"/>
      <c r="K110" s="324"/>
      <c r="L110" s="324"/>
      <c r="M110" s="324"/>
      <c r="N110" s="324"/>
      <c r="O110" s="324"/>
      <c r="P110" s="324"/>
      <c r="Q110" s="324"/>
      <c r="R110" s="325"/>
      <c r="S110" s="325"/>
      <c r="T110" s="325"/>
      <c r="U110" s="325"/>
    </row>
    <row r="111" spans="1:21">
      <c r="A111" s="323"/>
      <c r="B111" s="323"/>
      <c r="C111" s="323"/>
      <c r="D111" s="323"/>
      <c r="E111" s="323"/>
      <c r="F111" s="324"/>
      <c r="G111" s="324"/>
      <c r="H111" s="324"/>
      <c r="I111" s="324"/>
      <c r="J111" s="324"/>
      <c r="K111" s="324"/>
      <c r="L111" s="324"/>
      <c r="M111" s="324"/>
      <c r="N111" s="324"/>
      <c r="O111" s="324"/>
      <c r="P111" s="324"/>
      <c r="Q111" s="324"/>
      <c r="R111" s="325"/>
      <c r="S111" s="325"/>
      <c r="T111" s="325"/>
      <c r="U111" s="325"/>
    </row>
    <row r="112" spans="1:21">
      <c r="A112" s="323"/>
      <c r="B112" s="323"/>
      <c r="C112" s="323"/>
      <c r="D112" s="323"/>
      <c r="E112" s="323"/>
      <c r="F112" s="324"/>
      <c r="G112" s="324"/>
      <c r="H112" s="324"/>
      <c r="I112" s="324"/>
      <c r="J112" s="324"/>
      <c r="K112" s="324"/>
      <c r="L112" s="324"/>
      <c r="M112" s="324"/>
      <c r="N112" s="324"/>
      <c r="O112" s="324"/>
      <c r="P112" s="324"/>
      <c r="Q112" s="324"/>
      <c r="R112" s="325"/>
      <c r="S112" s="325"/>
      <c r="T112" s="325"/>
      <c r="U112" s="325"/>
    </row>
    <row r="113" spans="1:21">
      <c r="A113" s="323"/>
      <c r="B113" s="323"/>
      <c r="C113" s="323"/>
      <c r="D113" s="323"/>
      <c r="E113" s="323"/>
      <c r="F113" s="324"/>
      <c r="G113" s="324"/>
      <c r="H113" s="324"/>
      <c r="I113" s="324"/>
      <c r="J113" s="324"/>
      <c r="K113" s="324"/>
      <c r="L113" s="324"/>
      <c r="M113" s="324"/>
      <c r="N113" s="324"/>
      <c r="O113" s="324"/>
      <c r="P113" s="324"/>
      <c r="Q113" s="324"/>
      <c r="R113" s="325"/>
      <c r="S113" s="325"/>
      <c r="T113" s="325"/>
      <c r="U113" s="325"/>
    </row>
    <row r="114" spans="1:21">
      <c r="A114" s="323"/>
      <c r="B114" s="323"/>
      <c r="C114" s="323"/>
      <c r="D114" s="323"/>
      <c r="E114" s="323"/>
      <c r="F114" s="324"/>
      <c r="G114" s="324"/>
      <c r="H114" s="324"/>
      <c r="I114" s="324"/>
      <c r="J114" s="324"/>
      <c r="K114" s="324"/>
      <c r="L114" s="324"/>
      <c r="M114" s="324"/>
      <c r="N114" s="324"/>
      <c r="O114" s="324"/>
      <c r="P114" s="324"/>
      <c r="Q114" s="324"/>
      <c r="R114" s="325"/>
      <c r="S114" s="325"/>
      <c r="T114" s="325"/>
      <c r="U114" s="325"/>
    </row>
  </sheetData>
  <mergeCells count="93">
    <mergeCell ref="A61:E63"/>
    <mergeCell ref="A64:E66"/>
    <mergeCell ref="A67:E69"/>
    <mergeCell ref="F61:Q63"/>
    <mergeCell ref="R61:U63"/>
    <mergeCell ref="F64:Q66"/>
    <mergeCell ref="R64:U66"/>
    <mergeCell ref="F67:Q69"/>
    <mergeCell ref="R67:U69"/>
    <mergeCell ref="R52:U54"/>
    <mergeCell ref="R55:U57"/>
    <mergeCell ref="R58:U60"/>
    <mergeCell ref="A52:E54"/>
    <mergeCell ref="A55:E57"/>
    <mergeCell ref="A58:E60"/>
    <mergeCell ref="F52:Q54"/>
    <mergeCell ref="F55:Q57"/>
    <mergeCell ref="F58:Q60"/>
    <mergeCell ref="O27:U29"/>
    <mergeCell ref="A30:G39"/>
    <mergeCell ref="H27:N29"/>
    <mergeCell ref="H30:N39"/>
    <mergeCell ref="O30:U39"/>
    <mergeCell ref="A27:G29"/>
    <mergeCell ref="A17:G26"/>
    <mergeCell ref="A1:G3"/>
    <mergeCell ref="A4:G13"/>
    <mergeCell ref="A14:G16"/>
    <mergeCell ref="O17:U26"/>
    <mergeCell ref="H17:N26"/>
    <mergeCell ref="O1:U3"/>
    <mergeCell ref="O4:U13"/>
    <mergeCell ref="O14:U16"/>
    <mergeCell ref="H1:N3"/>
    <mergeCell ref="H4:N13"/>
    <mergeCell ref="H14:N16"/>
    <mergeCell ref="F40:Q42"/>
    <mergeCell ref="R40:U42"/>
    <mergeCell ref="R43:U45"/>
    <mergeCell ref="R46:U48"/>
    <mergeCell ref="R49:U51"/>
    <mergeCell ref="A40:E42"/>
    <mergeCell ref="A43:E45"/>
    <mergeCell ref="A46:E48"/>
    <mergeCell ref="A49:E51"/>
    <mergeCell ref="F43:Q45"/>
    <mergeCell ref="F46:Q48"/>
    <mergeCell ref="F49:Q51"/>
    <mergeCell ref="A70:E72"/>
    <mergeCell ref="A73:E75"/>
    <mergeCell ref="A76:E78"/>
    <mergeCell ref="F70:Q72"/>
    <mergeCell ref="R70:U72"/>
    <mergeCell ref="F73:Q75"/>
    <mergeCell ref="R73:U75"/>
    <mergeCell ref="F76:Q78"/>
    <mergeCell ref="R76:U78"/>
    <mergeCell ref="A79:E81"/>
    <mergeCell ref="F79:Q81"/>
    <mergeCell ref="R79:U81"/>
    <mergeCell ref="A82:E84"/>
    <mergeCell ref="F82:Q84"/>
    <mergeCell ref="R82:U84"/>
    <mergeCell ref="A85:E87"/>
    <mergeCell ref="F85:Q87"/>
    <mergeCell ref="R85:U87"/>
    <mergeCell ref="A88:E90"/>
    <mergeCell ref="F88:Q90"/>
    <mergeCell ref="R88:U90"/>
    <mergeCell ref="A91:E93"/>
    <mergeCell ref="F91:Q93"/>
    <mergeCell ref="R91:U93"/>
    <mergeCell ref="A94:E96"/>
    <mergeCell ref="F94:Q96"/>
    <mergeCell ref="R94:U96"/>
    <mergeCell ref="A97:E99"/>
    <mergeCell ref="F97:Q99"/>
    <mergeCell ref="R97:U99"/>
    <mergeCell ref="A100:E102"/>
    <mergeCell ref="F100:Q102"/>
    <mergeCell ref="R100:U102"/>
    <mergeCell ref="A103:E105"/>
    <mergeCell ref="F103:Q105"/>
    <mergeCell ref="R103:U105"/>
    <mergeCell ref="A106:E108"/>
    <mergeCell ref="F106:Q108"/>
    <mergeCell ref="R106:U108"/>
    <mergeCell ref="A109:E111"/>
    <mergeCell ref="F109:Q111"/>
    <mergeCell ref="R109:U111"/>
    <mergeCell ref="A112:E114"/>
    <mergeCell ref="F112:Q114"/>
    <mergeCell ref="R112:U114"/>
  </mergeCells>
  <phoneticPr fontId="47"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7358E-43B3-4F15-A6E4-1D79F6C58BB9}">
  <sheetPr codeName="Sheet7">
    <tabColor theme="1"/>
  </sheetPr>
  <dimension ref="A1:AG356"/>
  <sheetViews>
    <sheetView zoomScale="85" zoomScaleNormal="85" workbookViewId="0">
      <selection activeCell="S43" sqref="S43:T43"/>
    </sheetView>
  </sheetViews>
  <sheetFormatPr defaultColWidth="8.77734375" defaultRowHeight="13.8"/>
  <cols>
    <col min="1" max="1" width="11.21875" style="27" customWidth="1"/>
    <col min="2" max="16" width="8.77734375" style="27"/>
    <col min="17" max="17" width="9.88671875" style="27" customWidth="1"/>
    <col min="18" max="22" width="8.77734375" style="27"/>
    <col min="23" max="23" width="8.77734375" style="27" customWidth="1"/>
    <col min="24" max="16384" width="8.77734375" style="27"/>
  </cols>
  <sheetData>
    <row r="1" spans="1:30" ht="14.55" customHeight="1">
      <c r="A1" s="391" t="s">
        <v>60</v>
      </c>
      <c r="B1" s="391"/>
      <c r="C1" s="391"/>
      <c r="D1" s="391"/>
      <c r="E1" s="391"/>
      <c r="F1" s="391"/>
      <c r="G1" s="391"/>
      <c r="H1" s="391"/>
      <c r="I1" s="391"/>
      <c r="J1" s="391"/>
      <c r="K1" s="391"/>
      <c r="L1" s="391"/>
      <c r="M1" s="391"/>
      <c r="N1" s="391"/>
      <c r="O1" s="391"/>
      <c r="P1" s="391"/>
      <c r="Q1" s="391"/>
      <c r="R1" s="391"/>
      <c r="S1" s="391"/>
      <c r="T1" s="391"/>
      <c r="U1" s="391"/>
      <c r="V1" s="391"/>
      <c r="W1" s="391"/>
      <c r="X1" s="391"/>
      <c r="Y1" s="391"/>
      <c r="Z1" s="391"/>
      <c r="AA1" s="391"/>
      <c r="AB1" s="391"/>
      <c r="AC1" s="391"/>
      <c r="AD1" s="391"/>
    </row>
    <row r="2" spans="1:30" ht="14.55" customHeight="1">
      <c r="A2" s="391"/>
      <c r="B2" s="391"/>
      <c r="C2" s="391"/>
      <c r="D2" s="391"/>
      <c r="E2" s="391"/>
      <c r="F2" s="391"/>
      <c r="G2" s="391"/>
      <c r="H2" s="391"/>
      <c r="I2" s="391"/>
      <c r="J2" s="391"/>
      <c r="K2" s="391"/>
      <c r="L2" s="391"/>
      <c r="M2" s="391"/>
      <c r="N2" s="391"/>
      <c r="O2" s="391"/>
      <c r="P2" s="391"/>
      <c r="Q2" s="391"/>
      <c r="R2" s="391"/>
      <c r="S2" s="391"/>
      <c r="T2" s="391"/>
      <c r="U2" s="391"/>
      <c r="V2" s="391"/>
      <c r="W2" s="391"/>
      <c r="X2" s="391"/>
      <c r="Y2" s="391"/>
      <c r="Z2" s="391"/>
      <c r="AA2" s="391"/>
      <c r="AB2" s="391"/>
      <c r="AC2" s="391"/>
      <c r="AD2" s="391"/>
    </row>
    <row r="3" spans="1:30" ht="14.55" customHeight="1">
      <c r="A3" s="391"/>
      <c r="B3" s="391"/>
      <c r="C3" s="391"/>
      <c r="D3" s="391"/>
      <c r="E3" s="391"/>
      <c r="F3" s="391"/>
      <c r="G3" s="391"/>
      <c r="H3" s="391"/>
      <c r="I3" s="391"/>
      <c r="J3" s="391"/>
      <c r="K3" s="391"/>
      <c r="L3" s="391"/>
      <c r="M3" s="391"/>
      <c r="N3" s="391"/>
      <c r="O3" s="391"/>
      <c r="P3" s="391"/>
      <c r="Q3" s="391"/>
      <c r="R3" s="391"/>
      <c r="S3" s="391"/>
      <c r="T3" s="391"/>
      <c r="U3" s="391"/>
      <c r="V3" s="391"/>
      <c r="W3" s="391"/>
      <c r="X3" s="391"/>
      <c r="Y3" s="391"/>
      <c r="Z3" s="391"/>
      <c r="AA3" s="391"/>
      <c r="AB3" s="391"/>
      <c r="AC3" s="391"/>
      <c r="AD3" s="391"/>
    </row>
    <row r="4" spans="1:30" ht="14.55" customHeight="1">
      <c r="A4" s="376"/>
      <c r="B4" s="377"/>
      <c r="C4" s="377"/>
      <c r="D4" s="377"/>
      <c r="E4" s="378"/>
      <c r="F4" s="376"/>
      <c r="G4" s="377"/>
      <c r="H4" s="377"/>
      <c r="I4" s="377"/>
      <c r="J4" s="378"/>
      <c r="K4" s="376"/>
      <c r="L4" s="377"/>
      <c r="M4" s="377"/>
      <c r="N4" s="377"/>
      <c r="O4" s="378"/>
      <c r="P4" s="376"/>
      <c r="Q4" s="377"/>
      <c r="R4" s="377"/>
      <c r="S4" s="377"/>
      <c r="T4" s="378"/>
      <c r="U4" s="376"/>
      <c r="V4" s="377"/>
      <c r="W4" s="377"/>
      <c r="X4" s="377"/>
      <c r="Y4" s="378"/>
      <c r="Z4" s="376"/>
      <c r="AA4" s="377"/>
      <c r="AB4" s="377"/>
      <c r="AC4" s="377"/>
      <c r="AD4" s="378"/>
    </row>
    <row r="5" spans="1:30" ht="14.55" customHeight="1">
      <c r="A5" s="379"/>
      <c r="B5" s="380"/>
      <c r="C5" s="380"/>
      <c r="D5" s="380"/>
      <c r="E5" s="381"/>
      <c r="F5" s="379"/>
      <c r="G5" s="380"/>
      <c r="H5" s="380"/>
      <c r="I5" s="380"/>
      <c r="J5" s="381"/>
      <c r="K5" s="379"/>
      <c r="L5" s="380"/>
      <c r="M5" s="380"/>
      <c r="N5" s="380"/>
      <c r="O5" s="381"/>
      <c r="P5" s="379"/>
      <c r="Q5" s="380"/>
      <c r="R5" s="380"/>
      <c r="S5" s="380"/>
      <c r="T5" s="381"/>
      <c r="U5" s="379"/>
      <c r="V5" s="380"/>
      <c r="W5" s="380"/>
      <c r="X5" s="380"/>
      <c r="Y5" s="381"/>
      <c r="Z5" s="379"/>
      <c r="AA5" s="380"/>
      <c r="AB5" s="380"/>
      <c r="AC5" s="380"/>
      <c r="AD5" s="381"/>
    </row>
    <row r="6" spans="1:30" ht="14.55" customHeight="1">
      <c r="A6" s="382"/>
      <c r="B6" s="383"/>
      <c r="C6" s="383"/>
      <c r="D6" s="383"/>
      <c r="E6" s="384"/>
      <c r="F6" s="382"/>
      <c r="G6" s="383"/>
      <c r="H6" s="383"/>
      <c r="I6" s="383"/>
      <c r="J6" s="384"/>
      <c r="K6" s="382"/>
      <c r="L6" s="383"/>
      <c r="M6" s="383"/>
      <c r="N6" s="383"/>
      <c r="O6" s="384"/>
      <c r="P6" s="382"/>
      <c r="Q6" s="383"/>
      <c r="R6" s="383"/>
      <c r="S6" s="383"/>
      <c r="T6" s="384"/>
      <c r="U6" s="382"/>
      <c r="V6" s="383"/>
      <c r="W6" s="383"/>
      <c r="X6" s="383"/>
      <c r="Y6" s="384"/>
      <c r="Z6" s="382"/>
      <c r="AA6" s="383"/>
      <c r="AB6" s="383"/>
      <c r="AC6" s="383"/>
      <c r="AD6" s="384"/>
    </row>
    <row r="7" spans="1:30" ht="18" thickBot="1">
      <c r="A7" s="368"/>
      <c r="B7" s="369"/>
      <c r="C7" s="369"/>
      <c r="D7" s="385" t="s">
        <v>192</v>
      </c>
      <c r="E7" s="385"/>
      <c r="F7" s="368"/>
      <c r="G7" s="369"/>
      <c r="H7" s="369"/>
      <c r="I7" s="385" t="s">
        <v>192</v>
      </c>
      <c r="J7" s="385"/>
      <c r="K7" s="368"/>
      <c r="L7" s="369"/>
      <c r="M7" s="369"/>
      <c r="N7" s="386" t="s">
        <v>192</v>
      </c>
      <c r="O7" s="387"/>
      <c r="P7" s="368"/>
      <c r="Q7" s="369"/>
      <c r="R7" s="369"/>
      <c r="S7" s="386" t="s">
        <v>192</v>
      </c>
      <c r="T7" s="387"/>
      <c r="U7" s="368"/>
      <c r="V7" s="369"/>
      <c r="W7" s="369"/>
      <c r="X7" s="385" t="s">
        <v>192</v>
      </c>
      <c r="Y7" s="385"/>
      <c r="Z7" s="368"/>
      <c r="AA7" s="369"/>
      <c r="AB7" s="369"/>
      <c r="AC7" s="385" t="s">
        <v>192</v>
      </c>
      <c r="AD7" s="385"/>
    </row>
    <row r="8" spans="1:30" ht="14.55" customHeight="1">
      <c r="A8" s="171"/>
      <c r="B8" s="171"/>
      <c r="C8" s="171"/>
      <c r="D8" s="360"/>
      <c r="E8" s="361"/>
      <c r="F8" s="171"/>
      <c r="G8" s="171"/>
      <c r="H8" s="171"/>
      <c r="I8" s="360" t="str">
        <f ca="1">IF(F7="","",IF(AND(ISNUMBER(F7),F7&gt;=TODAY(),F7&lt;=TODAY()+15),"In Progress",IF(F7&lt;TODAY(),"Completed",IF(F7&gt;TODAY()+5,"Not Started",""))))</f>
        <v/>
      </c>
      <c r="J8" s="361"/>
      <c r="K8" s="356"/>
      <c r="L8" s="171"/>
      <c r="M8" s="357"/>
      <c r="N8" s="360" t="str">
        <f ca="1">IF(K7="","",IF(AND(ISNUMBER(K7),K7&gt;=TODAY(),K7&lt;=TODAY()+15),"In Progress",IF(K7&lt;TODAY(),"Completed",IF(K7&gt;TODAY()+5,"Not Started",""))))</f>
        <v/>
      </c>
      <c r="O8" s="361"/>
      <c r="P8" s="356"/>
      <c r="Q8" s="171"/>
      <c r="R8" s="357"/>
      <c r="S8" s="360" t="str">
        <f ca="1">IF(P7="","",IF(AND(ISNUMBER(P7),P7&gt;=TODAY(),P7&lt;=TODAY()+15),"In Progress",IF(P7&lt;TODAY(),"Completed",IF(P7&gt;TODAY()+5,"Not Started",""))))</f>
        <v/>
      </c>
      <c r="T8" s="361"/>
      <c r="U8" s="171"/>
      <c r="V8" s="171"/>
      <c r="W8" s="171"/>
      <c r="X8" s="360" t="str">
        <f ca="1">IF(U7="","",IF(AND(ISNUMBER(U7),U7&gt;=TODAY(),U7&lt;=TODAY()+15),"In Progress",IF(U7&lt;TODAY(),"Completed",IF(U7&gt;TODAY()+5,"Not Started",""))))</f>
        <v/>
      </c>
      <c r="Y8" s="361"/>
      <c r="Z8" s="171"/>
      <c r="AA8" s="171"/>
      <c r="AB8" s="171"/>
      <c r="AC8" s="360" t="str">
        <f ca="1">IF(Z7="","",IF(AND(ISNUMBER(Z7),Z7&gt;=TODAY(),Z7&lt;=TODAY()+15),"In Progress",IF(Z7&lt;TODAY(),"Completed",IF(Z7&gt;TODAY()+5,"Not Started",""))))</f>
        <v/>
      </c>
      <c r="AD8" s="361"/>
    </row>
    <row r="9" spans="1:30" ht="14.55" customHeight="1">
      <c r="A9" s="164"/>
      <c r="B9" s="164"/>
      <c r="C9" s="164"/>
      <c r="D9" s="362"/>
      <c r="E9" s="363"/>
      <c r="F9" s="164"/>
      <c r="G9" s="164"/>
      <c r="H9" s="164"/>
      <c r="I9" s="362"/>
      <c r="J9" s="363"/>
      <c r="K9" s="358"/>
      <c r="L9" s="164"/>
      <c r="M9" s="359"/>
      <c r="N9" s="362"/>
      <c r="O9" s="363"/>
      <c r="P9" s="358"/>
      <c r="Q9" s="164"/>
      <c r="R9" s="359"/>
      <c r="S9" s="362"/>
      <c r="T9" s="363"/>
      <c r="U9" s="164"/>
      <c r="V9" s="164"/>
      <c r="W9" s="164"/>
      <c r="X9" s="362"/>
      <c r="Y9" s="363"/>
      <c r="Z9" s="164"/>
      <c r="AA9" s="164"/>
      <c r="AB9" s="164"/>
      <c r="AC9" s="362"/>
      <c r="AD9" s="363"/>
    </row>
    <row r="10" spans="1:30" ht="14.55" customHeight="1" thickBot="1">
      <c r="A10" s="164"/>
      <c r="B10" s="164"/>
      <c r="C10" s="164"/>
      <c r="D10" s="364"/>
      <c r="E10" s="365"/>
      <c r="F10" s="164"/>
      <c r="G10" s="164"/>
      <c r="H10" s="164"/>
      <c r="I10" s="364"/>
      <c r="J10" s="365"/>
      <c r="K10" s="358"/>
      <c r="L10" s="164"/>
      <c r="M10" s="359"/>
      <c r="N10" s="364"/>
      <c r="O10" s="365"/>
      <c r="P10" s="358"/>
      <c r="Q10" s="164"/>
      <c r="R10" s="359"/>
      <c r="S10" s="364"/>
      <c r="T10" s="365"/>
      <c r="U10" s="164"/>
      <c r="V10" s="164"/>
      <c r="W10" s="164"/>
      <c r="X10" s="364"/>
      <c r="Y10" s="365"/>
      <c r="Z10" s="164"/>
      <c r="AA10" s="164"/>
      <c r="AB10" s="164"/>
      <c r="AC10" s="364"/>
      <c r="AD10" s="365"/>
    </row>
    <row r="11" spans="1:30" ht="19.05" customHeight="1" thickBot="1">
      <c r="A11" s="368"/>
      <c r="B11" s="369"/>
      <c r="C11" s="369"/>
      <c r="D11" s="385" t="s">
        <v>192</v>
      </c>
      <c r="E11" s="385"/>
      <c r="F11" s="368"/>
      <c r="G11" s="369"/>
      <c r="H11" s="369"/>
      <c r="I11" s="385" t="s">
        <v>192</v>
      </c>
      <c r="J11" s="385"/>
      <c r="K11" s="368"/>
      <c r="L11" s="369"/>
      <c r="M11" s="369"/>
      <c r="N11" s="370" t="s">
        <v>192</v>
      </c>
      <c r="O11" s="371"/>
      <c r="P11" s="368"/>
      <c r="Q11" s="369"/>
      <c r="R11" s="369"/>
      <c r="S11" s="370" t="s">
        <v>192</v>
      </c>
      <c r="T11" s="371"/>
      <c r="U11" s="368"/>
      <c r="V11" s="369"/>
      <c r="W11" s="369"/>
      <c r="X11" s="385" t="s">
        <v>192</v>
      </c>
      <c r="Y11" s="385"/>
      <c r="Z11" s="368"/>
      <c r="AA11" s="369"/>
      <c r="AB11" s="369"/>
      <c r="AC11" s="385" t="s">
        <v>192</v>
      </c>
      <c r="AD11" s="385"/>
    </row>
    <row r="12" spans="1:30" ht="14.55" customHeight="1">
      <c r="A12" s="171"/>
      <c r="B12" s="171"/>
      <c r="C12" s="357"/>
      <c r="D12" s="360" t="str">
        <f ca="1">IF(A11="","",IF(AND(ISNUMBER(A11),A11&gt;=TODAY(),A11&lt;=TODAY()+15),"In Progress",IF(A11&lt;TODAY(),"Completed",IF(A11&gt;TODAY()+5,"Not Started",""))))</f>
        <v/>
      </c>
      <c r="E12" s="361"/>
      <c r="F12" s="171"/>
      <c r="G12" s="171"/>
      <c r="H12" s="171"/>
      <c r="I12" s="360" t="str">
        <f ca="1">IF(F11="","",IF(AND(ISNUMBER(F11),F11&gt;=TODAY(),F11&lt;=TODAY()+15),"In Progress",IF(F11&lt;TODAY(),"Completed",IF(F11&gt;TODAY()+5,"Not Started",""))))</f>
        <v/>
      </c>
      <c r="J12" s="361"/>
      <c r="K12" s="356"/>
      <c r="L12" s="171"/>
      <c r="M12" s="357"/>
      <c r="N12" s="360" t="str">
        <f ca="1">IF(K11="","",IF(AND(ISNUMBER(K11),K11&gt;=TODAY(),K11&lt;=TODAY()+15),"In Progress",IF(K11&lt;TODAY(),"Completed",IF(K11&gt;TODAY()+5,"Not Started",""))))</f>
        <v/>
      </c>
      <c r="O12" s="361"/>
      <c r="P12" s="356"/>
      <c r="Q12" s="171"/>
      <c r="R12" s="357"/>
      <c r="S12" s="360" t="str">
        <f ca="1">IF(P11="","",IF(AND(ISNUMBER(P11),P11&gt;=TODAY(),P11&lt;=TODAY()+15),"In Progress",IF(P11&lt;TODAY(),"Completed",IF(P11&gt;TODAY()+5,"Not Started",""))))</f>
        <v/>
      </c>
      <c r="T12" s="361"/>
      <c r="U12" s="171"/>
      <c r="V12" s="171"/>
      <c r="W12" s="171"/>
      <c r="X12" s="360" t="str">
        <f ca="1">IF(U11="","",IF(AND(ISNUMBER(U11),U11&gt;=TODAY(),U11&lt;=TODAY()+15),"In Progress",IF(U11&lt;TODAY(),"Completed",IF(U11&gt;TODAY()+5,"Not Started",""))))</f>
        <v/>
      </c>
      <c r="Y12" s="361"/>
      <c r="Z12" s="171"/>
      <c r="AA12" s="171"/>
      <c r="AB12" s="171"/>
      <c r="AC12" s="360" t="str">
        <f ca="1">IF(Z11="","",IF(AND(ISNUMBER(Z11),Z11&gt;=TODAY(),Z11&lt;=TODAY()+15),"In Progress",IF(Z11&lt;TODAY(),"Completed",IF(Z11&gt;TODAY()+5,"Not Started",""))))</f>
        <v/>
      </c>
      <c r="AD12" s="361"/>
    </row>
    <row r="13" spans="1:30" ht="14.55" customHeight="1">
      <c r="A13" s="164"/>
      <c r="B13" s="164"/>
      <c r="C13" s="359"/>
      <c r="D13" s="362"/>
      <c r="E13" s="363"/>
      <c r="F13" s="164"/>
      <c r="G13" s="164"/>
      <c r="H13" s="164"/>
      <c r="I13" s="362"/>
      <c r="J13" s="363"/>
      <c r="K13" s="358"/>
      <c r="L13" s="164"/>
      <c r="M13" s="359"/>
      <c r="N13" s="362"/>
      <c r="O13" s="363"/>
      <c r="P13" s="358"/>
      <c r="Q13" s="164"/>
      <c r="R13" s="359"/>
      <c r="S13" s="362"/>
      <c r="T13" s="363"/>
      <c r="U13" s="164"/>
      <c r="V13" s="164"/>
      <c r="W13" s="164"/>
      <c r="X13" s="362"/>
      <c r="Y13" s="363"/>
      <c r="Z13" s="164"/>
      <c r="AA13" s="164"/>
      <c r="AB13" s="164"/>
      <c r="AC13" s="362"/>
      <c r="AD13" s="363"/>
    </row>
    <row r="14" spans="1:30" ht="14.55" customHeight="1" thickBot="1">
      <c r="A14" s="164"/>
      <c r="B14" s="164"/>
      <c r="C14" s="359"/>
      <c r="D14" s="364"/>
      <c r="E14" s="365"/>
      <c r="F14" s="164"/>
      <c r="G14" s="164"/>
      <c r="H14" s="164"/>
      <c r="I14" s="364"/>
      <c r="J14" s="365"/>
      <c r="K14" s="358"/>
      <c r="L14" s="164"/>
      <c r="M14" s="359"/>
      <c r="N14" s="364"/>
      <c r="O14" s="365"/>
      <c r="P14" s="358"/>
      <c r="Q14" s="164"/>
      <c r="R14" s="359"/>
      <c r="S14" s="364"/>
      <c r="T14" s="365"/>
      <c r="U14" s="164"/>
      <c r="V14" s="164"/>
      <c r="W14" s="164"/>
      <c r="X14" s="364"/>
      <c r="Y14" s="365"/>
      <c r="Z14" s="164"/>
      <c r="AA14" s="164"/>
      <c r="AB14" s="164"/>
      <c r="AC14" s="364"/>
      <c r="AD14" s="365"/>
    </row>
    <row r="15" spans="1:30" ht="18" thickBot="1">
      <c r="A15" s="368"/>
      <c r="B15" s="369"/>
      <c r="C15" s="369"/>
      <c r="D15" s="370" t="s">
        <v>192</v>
      </c>
      <c r="E15" s="371"/>
      <c r="F15" s="368"/>
      <c r="G15" s="369"/>
      <c r="H15" s="369"/>
      <c r="I15" s="385" t="s">
        <v>192</v>
      </c>
      <c r="J15" s="385"/>
      <c r="K15" s="368"/>
      <c r="L15" s="369"/>
      <c r="M15" s="369"/>
      <c r="N15" s="370" t="s">
        <v>192</v>
      </c>
      <c r="O15" s="371"/>
      <c r="P15" s="368"/>
      <c r="Q15" s="369"/>
      <c r="R15" s="369"/>
      <c r="S15" s="370" t="s">
        <v>192</v>
      </c>
      <c r="T15" s="371"/>
      <c r="U15" s="368"/>
      <c r="V15" s="369"/>
      <c r="W15" s="369"/>
      <c r="X15" s="385" t="s">
        <v>192</v>
      </c>
      <c r="Y15" s="385"/>
      <c r="Z15" s="368"/>
      <c r="AA15" s="369"/>
      <c r="AB15" s="369"/>
      <c r="AC15" s="385" t="s">
        <v>192</v>
      </c>
      <c r="AD15" s="385"/>
    </row>
    <row r="16" spans="1:30" ht="14.55" customHeight="1">
      <c r="A16" s="171"/>
      <c r="B16" s="171"/>
      <c r="C16" s="357"/>
      <c r="D16" s="360" t="str">
        <f ca="1">IF(A15="","",IF(AND(ISNUMBER(A15),A15&gt;=TODAY(),A15&lt;=TODAY()+15),"In Progress",IF(A15&lt;TODAY(),"Completed",IF(A15&gt;TODAY()+5,"Not Started",""))))</f>
        <v/>
      </c>
      <c r="E16" s="361"/>
      <c r="F16" s="171"/>
      <c r="G16" s="171"/>
      <c r="H16" s="171"/>
      <c r="I16" s="360" t="str">
        <f ca="1">IF(F15="","",IF(AND(ISNUMBER(F15),F15&gt;=TODAY(),F15&lt;=TODAY()+15),"In Progress",IF(F15&lt;TODAY(),"Completed",IF(F15&gt;TODAY()+5,"Not Started",""))))</f>
        <v/>
      </c>
      <c r="J16" s="361"/>
      <c r="K16" s="356"/>
      <c r="L16" s="171"/>
      <c r="M16" s="357"/>
      <c r="N16" s="360" t="str">
        <f ca="1">IF(K15="","",IF(AND(ISNUMBER(K15),K15&gt;=TODAY(),K15&lt;=TODAY()+15),"In Progress",IF(K15&lt;TODAY(),"Completed",IF(K15&gt;TODAY()+5,"Not Started",""))))</f>
        <v/>
      </c>
      <c r="O16" s="361"/>
      <c r="P16" s="356"/>
      <c r="Q16" s="171"/>
      <c r="R16" s="357"/>
      <c r="S16" s="360" t="str">
        <f ca="1">IF(P15="","",IF(AND(ISNUMBER(P15),P15&gt;=TODAY(),P15&lt;=TODAY()+15),"In Progress",IF(P15&lt;TODAY(),"Completed",IF(P15&gt;TODAY()+5,"Not Started",""))))</f>
        <v/>
      </c>
      <c r="T16" s="361"/>
      <c r="U16" s="171"/>
      <c r="V16" s="171"/>
      <c r="W16" s="171"/>
      <c r="X16" s="360" t="str">
        <f ca="1">IF(U15="","",IF(AND(ISNUMBER(U15),U15&gt;=TODAY(),U15&lt;=TODAY()+15),"In Progress",IF(U15&lt;TODAY(),"Completed",IF(U15&gt;TODAY()+5,"Not Started",""))))</f>
        <v/>
      </c>
      <c r="Y16" s="361"/>
      <c r="Z16" s="171"/>
      <c r="AA16" s="171"/>
      <c r="AB16" s="171"/>
      <c r="AC16" s="360" t="str">
        <f ca="1">IF(Z15="","",IF(AND(ISNUMBER(Z15),Z15&gt;=TODAY(),Z15&lt;=TODAY()+15),"In Progress",IF(Z15&lt;TODAY(),"Completed",IF(Z15&gt;TODAY()+5,"Not Started",""))))</f>
        <v/>
      </c>
      <c r="AD16" s="361"/>
    </row>
    <row r="17" spans="1:30" ht="14.55" customHeight="1">
      <c r="A17" s="164"/>
      <c r="B17" s="164"/>
      <c r="C17" s="359"/>
      <c r="D17" s="362"/>
      <c r="E17" s="363"/>
      <c r="F17" s="164"/>
      <c r="G17" s="164"/>
      <c r="H17" s="164"/>
      <c r="I17" s="362"/>
      <c r="J17" s="363"/>
      <c r="K17" s="358"/>
      <c r="L17" s="164"/>
      <c r="M17" s="359"/>
      <c r="N17" s="362"/>
      <c r="O17" s="363"/>
      <c r="P17" s="358"/>
      <c r="Q17" s="164"/>
      <c r="R17" s="359"/>
      <c r="S17" s="362"/>
      <c r="T17" s="363"/>
      <c r="U17" s="164"/>
      <c r="V17" s="164"/>
      <c r="W17" s="164"/>
      <c r="X17" s="362"/>
      <c r="Y17" s="363"/>
      <c r="Z17" s="164"/>
      <c r="AA17" s="164"/>
      <c r="AB17" s="164"/>
      <c r="AC17" s="362"/>
      <c r="AD17" s="363"/>
    </row>
    <row r="18" spans="1:30" ht="14.55" customHeight="1" thickBot="1">
      <c r="A18" s="164"/>
      <c r="B18" s="164"/>
      <c r="C18" s="359"/>
      <c r="D18" s="364"/>
      <c r="E18" s="365"/>
      <c r="F18" s="164"/>
      <c r="G18" s="164"/>
      <c r="H18" s="164"/>
      <c r="I18" s="364"/>
      <c r="J18" s="365"/>
      <c r="K18" s="358"/>
      <c r="L18" s="164"/>
      <c r="M18" s="359"/>
      <c r="N18" s="364"/>
      <c r="O18" s="365"/>
      <c r="P18" s="358"/>
      <c r="Q18" s="164"/>
      <c r="R18" s="359"/>
      <c r="S18" s="364"/>
      <c r="T18" s="365"/>
      <c r="U18" s="164"/>
      <c r="V18" s="164"/>
      <c r="W18" s="164"/>
      <c r="X18" s="364"/>
      <c r="Y18" s="365"/>
      <c r="Z18" s="164"/>
      <c r="AA18" s="164"/>
      <c r="AB18" s="164"/>
      <c r="AC18" s="364"/>
      <c r="AD18" s="365"/>
    </row>
    <row r="19" spans="1:30" ht="18" thickBot="1">
      <c r="A19" s="368"/>
      <c r="B19" s="369"/>
      <c r="C19" s="369"/>
      <c r="D19" s="385" t="s">
        <v>192</v>
      </c>
      <c r="E19" s="385"/>
      <c r="F19" s="368"/>
      <c r="G19" s="369"/>
      <c r="H19" s="369"/>
      <c r="I19" s="385" t="s">
        <v>192</v>
      </c>
      <c r="J19" s="385"/>
      <c r="K19" s="368"/>
      <c r="L19" s="369"/>
      <c r="M19" s="369"/>
      <c r="N19" s="370" t="s">
        <v>192</v>
      </c>
      <c r="O19" s="371"/>
      <c r="P19" s="368"/>
      <c r="Q19" s="369"/>
      <c r="R19" s="369"/>
      <c r="S19" s="370" t="s">
        <v>192</v>
      </c>
      <c r="T19" s="371"/>
      <c r="U19" s="368"/>
      <c r="V19" s="369"/>
      <c r="W19" s="369"/>
      <c r="X19" s="385" t="s">
        <v>192</v>
      </c>
      <c r="Y19" s="385"/>
      <c r="Z19" s="368"/>
      <c r="AA19" s="369"/>
      <c r="AB19" s="369"/>
      <c r="AC19" s="385" t="s">
        <v>192</v>
      </c>
      <c r="AD19" s="385"/>
    </row>
    <row r="20" spans="1:30" ht="14.55" customHeight="1">
      <c r="A20" s="171"/>
      <c r="B20" s="171"/>
      <c r="C20" s="357"/>
      <c r="D20" s="360" t="str">
        <f ca="1">IF(A19="","",IF(AND(ISNUMBER(A19),A19&gt;=TODAY(),A19&lt;=TODAY()+15),"In Progress",IF(A19&lt;TODAY(),"Completed",IF(A19&gt;TODAY()+5,"Not Started",""))))</f>
        <v/>
      </c>
      <c r="E20" s="361"/>
      <c r="F20" s="171"/>
      <c r="G20" s="171"/>
      <c r="H20" s="171"/>
      <c r="I20" s="360" t="str">
        <f ca="1">IF(F19="","",IF(AND(ISNUMBER(F19),F19&gt;=TODAY(),F19&lt;=TODAY()+15),"In Progress",IF(F19&lt;TODAY(),"Completed",IF(F19&gt;TODAY()+5,"Not Started",""))))</f>
        <v/>
      </c>
      <c r="J20" s="361"/>
      <c r="K20" s="356"/>
      <c r="L20" s="171"/>
      <c r="M20" s="357"/>
      <c r="N20" s="360" t="str">
        <f ca="1">IF(K19="","",IF(AND(ISNUMBER(K19),K19&gt;=TODAY(),K19&lt;=TODAY()+15),"In Progress",IF(K19&lt;TODAY(),"Completed",IF(K19&gt;TODAY()+5,"Not Started",""))))</f>
        <v/>
      </c>
      <c r="O20" s="361"/>
      <c r="P20" s="356"/>
      <c r="Q20" s="171"/>
      <c r="R20" s="357"/>
      <c r="S20" s="360" t="str">
        <f ca="1">IF(P19="","",IF(AND(ISNUMBER(P19),P19&gt;=TODAY(),P19&lt;=TODAY()+15),"In Progress",IF(P19&lt;TODAY(),"Completed",IF(P19&gt;TODAY()+5,"Not Started",""))))</f>
        <v/>
      </c>
      <c r="T20" s="361"/>
      <c r="U20" s="171"/>
      <c r="V20" s="171"/>
      <c r="W20" s="171"/>
      <c r="X20" s="360" t="str">
        <f ca="1">IF(U19="","",IF(AND(ISNUMBER(U19),U19&gt;=TODAY(),U19&lt;=TODAY()+15),"In Progress",IF(U19&lt;TODAY(),"Completed",IF(U19&gt;TODAY()+5,"Not Started",""))))</f>
        <v/>
      </c>
      <c r="Y20" s="361"/>
      <c r="Z20" s="171"/>
      <c r="AA20" s="171"/>
      <c r="AB20" s="171"/>
      <c r="AC20" s="360" t="str">
        <f ca="1">IF(Z19="","",IF(AND(ISNUMBER(Z19),Z19&gt;=TODAY(),Z19&lt;=TODAY()+15),"In Progress",IF(Z19&lt;TODAY(),"Completed",IF(Z19&gt;TODAY()+5,"Not Started",""))))</f>
        <v/>
      </c>
      <c r="AD20" s="361"/>
    </row>
    <row r="21" spans="1:30" ht="14.55" customHeight="1">
      <c r="A21" s="164"/>
      <c r="B21" s="164"/>
      <c r="C21" s="359"/>
      <c r="D21" s="362"/>
      <c r="E21" s="363"/>
      <c r="F21" s="164"/>
      <c r="G21" s="164"/>
      <c r="H21" s="164"/>
      <c r="I21" s="362"/>
      <c r="J21" s="363"/>
      <c r="K21" s="358"/>
      <c r="L21" s="164"/>
      <c r="M21" s="359"/>
      <c r="N21" s="362"/>
      <c r="O21" s="363"/>
      <c r="P21" s="358"/>
      <c r="Q21" s="164"/>
      <c r="R21" s="359"/>
      <c r="S21" s="362"/>
      <c r="T21" s="363"/>
      <c r="U21" s="164"/>
      <c r="V21" s="164"/>
      <c r="W21" s="164"/>
      <c r="X21" s="362"/>
      <c r="Y21" s="363"/>
      <c r="Z21" s="164"/>
      <c r="AA21" s="164"/>
      <c r="AB21" s="164"/>
      <c r="AC21" s="362"/>
      <c r="AD21" s="363"/>
    </row>
    <row r="22" spans="1:30" ht="14.55" customHeight="1" thickBot="1">
      <c r="A22" s="164"/>
      <c r="B22" s="164"/>
      <c r="C22" s="359"/>
      <c r="D22" s="364"/>
      <c r="E22" s="365"/>
      <c r="F22" s="164"/>
      <c r="G22" s="164"/>
      <c r="H22" s="164"/>
      <c r="I22" s="364"/>
      <c r="J22" s="365"/>
      <c r="K22" s="358"/>
      <c r="L22" s="164"/>
      <c r="M22" s="359"/>
      <c r="N22" s="364"/>
      <c r="O22" s="365"/>
      <c r="P22" s="358"/>
      <c r="Q22" s="164"/>
      <c r="R22" s="359"/>
      <c r="S22" s="364"/>
      <c r="T22" s="365"/>
      <c r="U22" s="164"/>
      <c r="V22" s="164"/>
      <c r="W22" s="164"/>
      <c r="X22" s="364"/>
      <c r="Y22" s="365"/>
      <c r="Z22" s="164"/>
      <c r="AA22" s="164"/>
      <c r="AB22" s="164"/>
      <c r="AC22" s="364"/>
      <c r="AD22" s="365"/>
    </row>
    <row r="23" spans="1:30" ht="18" thickBot="1">
      <c r="A23" s="368"/>
      <c r="B23" s="369"/>
      <c r="C23" s="369"/>
      <c r="D23" s="385" t="s">
        <v>192</v>
      </c>
      <c r="E23" s="385"/>
      <c r="F23" s="368"/>
      <c r="G23" s="369"/>
      <c r="H23" s="369"/>
      <c r="I23" s="385" t="s">
        <v>192</v>
      </c>
      <c r="J23" s="385"/>
      <c r="K23" s="368"/>
      <c r="L23" s="369"/>
      <c r="M23" s="369"/>
      <c r="N23" s="370" t="s">
        <v>192</v>
      </c>
      <c r="O23" s="371"/>
      <c r="P23" s="368"/>
      <c r="Q23" s="369"/>
      <c r="R23" s="369"/>
      <c r="S23" s="370" t="s">
        <v>192</v>
      </c>
      <c r="T23" s="371"/>
      <c r="U23" s="368"/>
      <c r="V23" s="369"/>
      <c r="W23" s="369"/>
      <c r="X23" s="385" t="s">
        <v>192</v>
      </c>
      <c r="Y23" s="385"/>
      <c r="Z23" s="368"/>
      <c r="AA23" s="369"/>
      <c r="AB23" s="369"/>
      <c r="AC23" s="385" t="s">
        <v>192</v>
      </c>
      <c r="AD23" s="385"/>
    </row>
    <row r="24" spans="1:30" ht="14.55" customHeight="1">
      <c r="A24" s="171"/>
      <c r="B24" s="171"/>
      <c r="C24" s="357"/>
      <c r="D24" s="360" t="str">
        <f ca="1">IF(A23="","",IF(AND(ISNUMBER(A23),A23&gt;=TODAY(),A23&lt;=TODAY()+15),"In Progress",IF(A23&lt;TODAY(),"Completed",IF(A23&gt;TODAY()+5,"Not Started",""))))</f>
        <v/>
      </c>
      <c r="E24" s="361"/>
      <c r="F24" s="171"/>
      <c r="G24" s="171"/>
      <c r="H24" s="171"/>
      <c r="I24" s="360" t="str">
        <f ca="1">IF(F23="","",IF(AND(ISNUMBER(F23),F23&gt;=TODAY(),F23&lt;=TODAY()+15),"In Progress",IF(F23&lt;TODAY(),"Completed",IF(F23&gt;TODAY()+5,"Not Started",""))))</f>
        <v/>
      </c>
      <c r="J24" s="361"/>
      <c r="K24" s="356"/>
      <c r="L24" s="171"/>
      <c r="M24" s="357"/>
      <c r="N24" s="360" t="str">
        <f ca="1">IF(K23="","",IF(AND(ISNUMBER(K23),K23&gt;=TODAY(),K23&lt;=TODAY()+15),"In Progress",IF(K23&lt;TODAY(),"Completed",IF(K23&gt;TODAY()+5,"Not Started",""))))</f>
        <v/>
      </c>
      <c r="O24" s="361"/>
      <c r="P24" s="356"/>
      <c r="Q24" s="171"/>
      <c r="R24" s="357"/>
      <c r="S24" s="360" t="str">
        <f ca="1">IF(P23="","",IF(AND(ISNUMBER(P23),P23&gt;=TODAY(),P23&lt;=TODAY()+15),"In Progress",IF(P23&lt;TODAY(),"Completed",IF(P23&gt;TODAY()+5,"Not Started",""))))</f>
        <v/>
      </c>
      <c r="T24" s="361"/>
      <c r="U24" s="171"/>
      <c r="V24" s="171"/>
      <c r="W24" s="171"/>
      <c r="X24" s="360" t="str">
        <f ca="1">IF(U23="","",IF(AND(ISNUMBER(U23),U23&gt;=TODAY(),U23&lt;=TODAY()+15),"In Progress",IF(U23&lt;TODAY(),"Completed",IF(U23&gt;TODAY()+5,"Not Started",""))))</f>
        <v/>
      </c>
      <c r="Y24" s="361"/>
      <c r="Z24" s="171"/>
      <c r="AA24" s="171"/>
      <c r="AB24" s="171"/>
      <c r="AC24" s="360" t="str">
        <f ca="1">IF(Z23="","",IF(AND(ISNUMBER(Z23),Z23&gt;=TODAY(),Z23&lt;=TODAY()+15),"In Progress",IF(Z23&lt;TODAY(),"Completed",IF(Z23&gt;TODAY()+5,"Not Started",""))))</f>
        <v/>
      </c>
      <c r="AD24" s="361"/>
    </row>
    <row r="25" spans="1:30" ht="14.55" customHeight="1">
      <c r="A25" s="164"/>
      <c r="B25" s="164"/>
      <c r="C25" s="359"/>
      <c r="D25" s="362"/>
      <c r="E25" s="363"/>
      <c r="F25" s="164"/>
      <c r="G25" s="164"/>
      <c r="H25" s="164"/>
      <c r="I25" s="362"/>
      <c r="J25" s="363"/>
      <c r="K25" s="358"/>
      <c r="L25" s="164"/>
      <c r="M25" s="359"/>
      <c r="N25" s="362"/>
      <c r="O25" s="363"/>
      <c r="P25" s="358"/>
      <c r="Q25" s="164"/>
      <c r="R25" s="359"/>
      <c r="S25" s="362"/>
      <c r="T25" s="363"/>
      <c r="U25" s="164"/>
      <c r="V25" s="164"/>
      <c r="W25" s="164"/>
      <c r="X25" s="362"/>
      <c r="Y25" s="363"/>
      <c r="Z25" s="164"/>
      <c r="AA25" s="164"/>
      <c r="AB25" s="164"/>
      <c r="AC25" s="362"/>
      <c r="AD25" s="363"/>
    </row>
    <row r="26" spans="1:30" ht="14.55" customHeight="1" thickBot="1">
      <c r="A26" s="164"/>
      <c r="B26" s="164"/>
      <c r="C26" s="359"/>
      <c r="D26" s="364"/>
      <c r="E26" s="365"/>
      <c r="F26" s="164"/>
      <c r="G26" s="164"/>
      <c r="H26" s="164"/>
      <c r="I26" s="364"/>
      <c r="J26" s="365"/>
      <c r="K26" s="358"/>
      <c r="L26" s="164"/>
      <c r="M26" s="359"/>
      <c r="N26" s="364"/>
      <c r="O26" s="365"/>
      <c r="P26" s="358"/>
      <c r="Q26" s="164"/>
      <c r="R26" s="359"/>
      <c r="S26" s="364"/>
      <c r="T26" s="365"/>
      <c r="U26" s="164"/>
      <c r="V26" s="164"/>
      <c r="W26" s="164"/>
      <c r="X26" s="364"/>
      <c r="Y26" s="365"/>
      <c r="Z26" s="164"/>
      <c r="AA26" s="164"/>
      <c r="AB26" s="164"/>
      <c r="AC26" s="364"/>
      <c r="AD26" s="365"/>
    </row>
    <row r="27" spans="1:30" ht="18" thickBot="1">
      <c r="A27" s="368"/>
      <c r="B27" s="369"/>
      <c r="C27" s="369"/>
      <c r="D27" s="385" t="s">
        <v>192</v>
      </c>
      <c r="E27" s="385"/>
      <c r="F27" s="368"/>
      <c r="G27" s="369"/>
      <c r="H27" s="369"/>
      <c r="I27" s="385" t="s">
        <v>192</v>
      </c>
      <c r="J27" s="385"/>
      <c r="K27" s="368"/>
      <c r="L27" s="369"/>
      <c r="M27" s="369"/>
      <c r="N27" s="370" t="s">
        <v>192</v>
      </c>
      <c r="O27" s="371"/>
      <c r="P27" s="368"/>
      <c r="Q27" s="369"/>
      <c r="R27" s="369"/>
      <c r="S27" s="370" t="s">
        <v>192</v>
      </c>
      <c r="T27" s="371"/>
      <c r="U27" s="368"/>
      <c r="V27" s="369"/>
      <c r="W27" s="369"/>
      <c r="X27" s="385" t="s">
        <v>192</v>
      </c>
      <c r="Y27" s="385"/>
      <c r="Z27" s="368"/>
      <c r="AA27" s="369"/>
      <c r="AB27" s="369"/>
      <c r="AC27" s="385" t="s">
        <v>192</v>
      </c>
      <c r="AD27" s="385"/>
    </row>
    <row r="28" spans="1:30" ht="14.55" customHeight="1">
      <c r="A28" s="171"/>
      <c r="B28" s="171"/>
      <c r="C28" s="357"/>
      <c r="D28" s="360" t="str">
        <f ca="1">IF(A27="","",IF(AND(ISNUMBER(A27),A27&gt;=TODAY(),A27&lt;=TODAY()+15),"In Progress",IF(A27&lt;TODAY(),"Completed",IF(A27&gt;TODAY()+5,"Not Started",""))))</f>
        <v/>
      </c>
      <c r="E28" s="361"/>
      <c r="F28" s="171"/>
      <c r="G28" s="171"/>
      <c r="H28" s="171"/>
      <c r="I28" s="360" t="str">
        <f ca="1">IF(F27="","",IF(AND(ISNUMBER(F27),F27&gt;=TODAY(),F27&lt;=TODAY()+15),"In Progress",IF(F27&lt;TODAY(),"Completed",IF(F27&gt;TODAY()+5,"Not Started",""))))</f>
        <v/>
      </c>
      <c r="J28" s="361"/>
      <c r="K28" s="356"/>
      <c r="L28" s="171"/>
      <c r="M28" s="357"/>
      <c r="N28" s="360" t="str">
        <f ca="1">IF(K27="","",IF(AND(ISNUMBER(K27),K27&gt;=TODAY(),K27&lt;=TODAY()+15),"In Progress",IF(K27&lt;TODAY(),"Completed",IF(K27&gt;TODAY()+5,"Not Started",""))))</f>
        <v/>
      </c>
      <c r="O28" s="361"/>
      <c r="P28" s="356"/>
      <c r="Q28" s="171"/>
      <c r="R28" s="357"/>
      <c r="S28" s="360" t="str">
        <f ca="1">IF(P27="","",IF(AND(ISNUMBER(P27),P27&gt;=TODAY(),P27&lt;=TODAY()+15),"In Progress",IF(P27&lt;TODAY(),"Completed",IF(P27&gt;TODAY()+5,"Not Started",""))))</f>
        <v/>
      </c>
      <c r="T28" s="361"/>
      <c r="U28" s="171"/>
      <c r="V28" s="171"/>
      <c r="W28" s="171"/>
      <c r="X28" s="360" t="str">
        <f ca="1">IF(U27="","",IF(AND(ISNUMBER(U27),U27&gt;=TODAY(),U27&lt;=TODAY()+15),"In Progress",IF(U27&lt;TODAY(),"Completed",IF(U27&gt;TODAY()+5,"Not Started",""))))</f>
        <v/>
      </c>
      <c r="Y28" s="361"/>
      <c r="Z28" s="356"/>
      <c r="AA28" s="171"/>
      <c r="AB28" s="357"/>
      <c r="AC28" s="360" t="str">
        <f ca="1">IF(Z27="","",IF(AND(ISNUMBER(Z27),Z27&gt;=TODAY(),Z27&lt;=TODAY()+15),"In Progress",IF(Z27&lt;TODAY(),"Completed",IF(Z27&gt;TODAY()+5,"Not Started",""))))</f>
        <v/>
      </c>
      <c r="AD28" s="361"/>
    </row>
    <row r="29" spans="1:30" ht="14.55" customHeight="1">
      <c r="A29" s="164"/>
      <c r="B29" s="164"/>
      <c r="C29" s="359"/>
      <c r="D29" s="362"/>
      <c r="E29" s="363"/>
      <c r="F29" s="164"/>
      <c r="G29" s="164"/>
      <c r="H29" s="164"/>
      <c r="I29" s="362"/>
      <c r="J29" s="363"/>
      <c r="K29" s="358"/>
      <c r="L29" s="164"/>
      <c r="M29" s="359"/>
      <c r="N29" s="362"/>
      <c r="O29" s="363"/>
      <c r="P29" s="358"/>
      <c r="Q29" s="164"/>
      <c r="R29" s="359"/>
      <c r="S29" s="362"/>
      <c r="T29" s="363"/>
      <c r="U29" s="164"/>
      <c r="V29" s="164"/>
      <c r="W29" s="164"/>
      <c r="X29" s="362"/>
      <c r="Y29" s="363"/>
      <c r="Z29" s="358"/>
      <c r="AA29" s="164"/>
      <c r="AB29" s="359"/>
      <c r="AC29" s="362"/>
      <c r="AD29" s="363"/>
    </row>
    <row r="30" spans="1:30" ht="14.55" customHeight="1" thickBot="1">
      <c r="A30" s="164"/>
      <c r="B30" s="164"/>
      <c r="C30" s="359"/>
      <c r="D30" s="364"/>
      <c r="E30" s="365"/>
      <c r="F30" s="164"/>
      <c r="G30" s="164"/>
      <c r="H30" s="164"/>
      <c r="I30" s="364"/>
      <c r="J30" s="365"/>
      <c r="K30" s="358"/>
      <c r="L30" s="164"/>
      <c r="M30" s="359"/>
      <c r="N30" s="364"/>
      <c r="O30" s="365"/>
      <c r="P30" s="358"/>
      <c r="Q30" s="164"/>
      <c r="R30" s="359"/>
      <c r="S30" s="364"/>
      <c r="T30" s="365"/>
      <c r="U30" s="164"/>
      <c r="V30" s="164"/>
      <c r="W30" s="164"/>
      <c r="X30" s="364"/>
      <c r="Y30" s="365"/>
      <c r="Z30" s="358"/>
      <c r="AA30" s="164"/>
      <c r="AB30" s="359"/>
      <c r="AC30" s="364"/>
      <c r="AD30" s="365"/>
    </row>
    <row r="31" spans="1:30" ht="18" thickBot="1">
      <c r="A31" s="368"/>
      <c r="B31" s="369"/>
      <c r="C31" s="369"/>
      <c r="D31" s="385" t="s">
        <v>192</v>
      </c>
      <c r="E31" s="385"/>
      <c r="F31" s="368"/>
      <c r="G31" s="369"/>
      <c r="H31" s="369"/>
      <c r="I31" s="385" t="s">
        <v>192</v>
      </c>
      <c r="J31" s="385"/>
      <c r="K31" s="368"/>
      <c r="L31" s="369"/>
      <c r="M31" s="369"/>
      <c r="N31" s="370" t="s">
        <v>192</v>
      </c>
      <c r="O31" s="371"/>
      <c r="P31" s="368"/>
      <c r="Q31" s="369"/>
      <c r="R31" s="369"/>
      <c r="S31" s="370" t="s">
        <v>192</v>
      </c>
      <c r="T31" s="371"/>
      <c r="U31" s="368"/>
      <c r="V31" s="369"/>
      <c r="W31" s="369"/>
      <c r="X31" s="385" t="s">
        <v>192</v>
      </c>
      <c r="Y31" s="385"/>
      <c r="Z31" s="368"/>
      <c r="AA31" s="369"/>
      <c r="AB31" s="369"/>
      <c r="AC31" s="385" t="s">
        <v>192</v>
      </c>
      <c r="AD31" s="385"/>
    </row>
    <row r="32" spans="1:30" ht="14.55" customHeight="1">
      <c r="A32" s="171"/>
      <c r="B32" s="171"/>
      <c r="C32" s="357"/>
      <c r="D32" s="360" t="str">
        <f ca="1">IF(A31="","",IF(AND(ISNUMBER(A31),A31&gt;=TODAY(),A31&lt;=TODAY()+15),"In Progress",IF(A31&lt;TODAY(),"Completed",IF(A31&gt;TODAY()+5,"Not Started",""))))</f>
        <v/>
      </c>
      <c r="E32" s="361"/>
      <c r="F32" s="171"/>
      <c r="G32" s="171"/>
      <c r="H32" s="171"/>
      <c r="I32" s="360" t="str">
        <f ca="1">IF(F31="","",IF(AND(ISNUMBER(F31),F31&gt;=TODAY(),F31&lt;=TODAY()+15),"In Progress",IF(F31&lt;TODAY(),"Completed",IF(F31&gt;TODAY()+5,"Not Started",""))))</f>
        <v/>
      </c>
      <c r="J32" s="361"/>
      <c r="K32" s="356"/>
      <c r="L32" s="171"/>
      <c r="M32" s="357"/>
      <c r="N32" s="360" t="str">
        <f ca="1">IF(K31="","",IF(AND(ISNUMBER(K31),K31&gt;=TODAY(),K31&lt;=TODAY()+15),"In Progress",IF(K31&lt;TODAY(),"Completed",IF(K31&gt;TODAY()+5,"Not Started",""))))</f>
        <v/>
      </c>
      <c r="O32" s="361"/>
      <c r="P32" s="356"/>
      <c r="Q32" s="171"/>
      <c r="R32" s="357"/>
      <c r="S32" s="360" t="str">
        <f ca="1">IF(P31="","",IF(AND(ISNUMBER(P31),P31&gt;=TODAY(),P31&lt;=TODAY()+15),"In Progress",IF(P31&lt;TODAY(),"Completed",IF(P31&gt;TODAY()+5,"Not Started",""))))</f>
        <v/>
      </c>
      <c r="T32" s="361"/>
      <c r="U32" s="171"/>
      <c r="V32" s="171"/>
      <c r="W32" s="171"/>
      <c r="X32" s="360" t="str">
        <f ca="1">IF(U31="","",IF(AND(ISNUMBER(U31),U31&gt;=TODAY(),U31&lt;=TODAY()+15),"In Progress",IF(U31&lt;TODAY(),"Completed",IF(U31&gt;TODAY()+5,"Not Started",""))))</f>
        <v/>
      </c>
      <c r="Y32" s="361"/>
      <c r="Z32" s="171"/>
      <c r="AA32" s="171"/>
      <c r="AB32" s="171"/>
      <c r="AC32" s="360" t="str">
        <f ca="1">IF(Z31="","",IF(AND(ISNUMBER(Z31),Z31&gt;=TODAY(),Z31&lt;=TODAY()+15),"In Progress",IF(Z31&lt;TODAY(),"Completed",IF(Z31&gt;TODAY()+5,"Not Started",""))))</f>
        <v/>
      </c>
      <c r="AD32" s="361"/>
    </row>
    <row r="33" spans="1:30" ht="14.55" customHeight="1">
      <c r="A33" s="164"/>
      <c r="B33" s="164"/>
      <c r="C33" s="359"/>
      <c r="D33" s="362"/>
      <c r="E33" s="363"/>
      <c r="F33" s="164"/>
      <c r="G33" s="164"/>
      <c r="H33" s="164"/>
      <c r="I33" s="362"/>
      <c r="J33" s="363"/>
      <c r="K33" s="358"/>
      <c r="L33" s="164"/>
      <c r="M33" s="359"/>
      <c r="N33" s="362"/>
      <c r="O33" s="363"/>
      <c r="P33" s="358"/>
      <c r="Q33" s="164"/>
      <c r="R33" s="359"/>
      <c r="S33" s="362"/>
      <c r="T33" s="363"/>
      <c r="U33" s="164"/>
      <c r="V33" s="164"/>
      <c r="W33" s="164"/>
      <c r="X33" s="362"/>
      <c r="Y33" s="363"/>
      <c r="Z33" s="164"/>
      <c r="AA33" s="164"/>
      <c r="AB33" s="164"/>
      <c r="AC33" s="362"/>
      <c r="AD33" s="363"/>
    </row>
    <row r="34" spans="1:30" ht="14.55" customHeight="1" thickBot="1">
      <c r="A34" s="164"/>
      <c r="B34" s="164"/>
      <c r="C34" s="359"/>
      <c r="D34" s="364"/>
      <c r="E34" s="365"/>
      <c r="F34" s="164"/>
      <c r="G34" s="164"/>
      <c r="H34" s="164"/>
      <c r="I34" s="364"/>
      <c r="J34" s="365"/>
      <c r="K34" s="358"/>
      <c r="L34" s="164"/>
      <c r="M34" s="359"/>
      <c r="N34" s="364"/>
      <c r="O34" s="365"/>
      <c r="P34" s="358"/>
      <c r="Q34" s="164"/>
      <c r="R34" s="359"/>
      <c r="S34" s="364"/>
      <c r="T34" s="365"/>
      <c r="U34" s="164"/>
      <c r="V34" s="164"/>
      <c r="W34" s="164"/>
      <c r="X34" s="364"/>
      <c r="Y34" s="365"/>
      <c r="Z34" s="164"/>
      <c r="AA34" s="164"/>
      <c r="AB34" s="164"/>
      <c r="AC34" s="364"/>
      <c r="AD34" s="365"/>
    </row>
    <row r="35" spans="1:30" ht="18.600000000000001" customHeight="1" thickBot="1">
      <c r="A35" s="368"/>
      <c r="B35" s="369"/>
      <c r="C35" s="369"/>
      <c r="D35" s="385" t="s">
        <v>192</v>
      </c>
      <c r="E35" s="385"/>
      <c r="F35" s="368"/>
      <c r="G35" s="369"/>
      <c r="H35" s="369"/>
      <c r="I35" s="385" t="s">
        <v>192</v>
      </c>
      <c r="J35" s="385"/>
      <c r="K35" s="368"/>
      <c r="L35" s="369"/>
      <c r="M35" s="369"/>
      <c r="N35" s="370" t="s">
        <v>192</v>
      </c>
      <c r="O35" s="371"/>
      <c r="P35" s="368"/>
      <c r="Q35" s="369"/>
      <c r="R35" s="369"/>
      <c r="S35" s="370" t="s">
        <v>192</v>
      </c>
      <c r="T35" s="371"/>
      <c r="U35" s="368"/>
      <c r="V35" s="369"/>
      <c r="W35" s="369"/>
      <c r="X35" s="385" t="s">
        <v>192</v>
      </c>
      <c r="Y35" s="385"/>
      <c r="Z35" s="368"/>
      <c r="AA35" s="369"/>
      <c r="AB35" s="369"/>
      <c r="AC35" s="385" t="s">
        <v>192</v>
      </c>
      <c r="AD35" s="385"/>
    </row>
    <row r="36" spans="1:30" ht="14.55" customHeight="1">
      <c r="A36" s="171"/>
      <c r="B36" s="171"/>
      <c r="C36" s="357"/>
      <c r="D36" s="360" t="str">
        <f ca="1">IF(A35="","",IF(AND(ISNUMBER(A35),A35&gt;=TODAY(),A35&lt;=TODAY()+15),"In Progress",IF(A35&lt;TODAY(),"Completed",IF(A35&gt;TODAY()+5,"Not Started",""))))</f>
        <v/>
      </c>
      <c r="E36" s="361"/>
      <c r="F36" s="171"/>
      <c r="G36" s="171"/>
      <c r="H36" s="171"/>
      <c r="I36" s="360" t="str">
        <f ca="1">IF(F35="","",IF(AND(ISNUMBER(F35),F35&gt;=TODAY(),F35&lt;=TODAY()+15),"In Progress",IF(F35&lt;TODAY(),"Completed",IF(F35&gt;TODAY()+5,"Not Started",""))))</f>
        <v/>
      </c>
      <c r="J36" s="361"/>
      <c r="K36" s="356"/>
      <c r="L36" s="171"/>
      <c r="M36" s="357"/>
      <c r="N36" s="360" t="str">
        <f ca="1">IF(K35="","",IF(AND(ISNUMBER(K35),K35&gt;=TODAY(),K35&lt;=TODAY()+15),"In Progress",IF(K35&lt;TODAY(),"Completed",IF(K35&gt;TODAY()+5,"Not Started",""))))</f>
        <v/>
      </c>
      <c r="O36" s="361"/>
      <c r="P36" s="356"/>
      <c r="Q36" s="171"/>
      <c r="R36" s="357"/>
      <c r="S36" s="360" t="str">
        <f ca="1">IF(P35="","",IF(AND(ISNUMBER(P35),P35&gt;=TODAY(),P35&lt;=TODAY()+15),"In Progress",IF(P35&lt;TODAY(),"Completed",IF(P35&gt;TODAY()+5,"Not Started",""))))</f>
        <v/>
      </c>
      <c r="T36" s="361"/>
      <c r="U36" s="171"/>
      <c r="V36" s="171"/>
      <c r="W36" s="171"/>
      <c r="X36" s="360" t="str">
        <f ca="1">IF(U35="","",IF(AND(ISNUMBER(U35),U35&gt;=TODAY(),U35&lt;=TODAY()+15),"In Progress",IF(U35&lt;TODAY(),"Completed",IF(U35&gt;TODAY()+5,"Not Started",""))))</f>
        <v/>
      </c>
      <c r="Y36" s="361"/>
      <c r="Z36" s="171"/>
      <c r="AA36" s="171"/>
      <c r="AB36" s="171"/>
      <c r="AC36" s="360" t="str">
        <f ca="1">IF(Z35="","",IF(AND(ISNUMBER(Z35),Z35&gt;=TODAY(),Z35&lt;=TODAY()+15),"In Progress",IF(Z35&lt;TODAY(),"Completed",IF(Z35&gt;TODAY()+5,"Not Started",""))))</f>
        <v/>
      </c>
      <c r="AD36" s="361"/>
    </row>
    <row r="37" spans="1:30" ht="14.55" customHeight="1">
      <c r="A37" s="164"/>
      <c r="B37" s="164"/>
      <c r="C37" s="359"/>
      <c r="D37" s="362"/>
      <c r="E37" s="363"/>
      <c r="F37" s="164"/>
      <c r="G37" s="164"/>
      <c r="H37" s="164"/>
      <c r="I37" s="362"/>
      <c r="J37" s="363"/>
      <c r="K37" s="358"/>
      <c r="L37" s="164"/>
      <c r="M37" s="359"/>
      <c r="N37" s="362"/>
      <c r="O37" s="363"/>
      <c r="P37" s="358"/>
      <c r="Q37" s="164"/>
      <c r="R37" s="359"/>
      <c r="S37" s="362"/>
      <c r="T37" s="363"/>
      <c r="U37" s="164"/>
      <c r="V37" s="164"/>
      <c r="W37" s="164"/>
      <c r="X37" s="362"/>
      <c r="Y37" s="363"/>
      <c r="Z37" s="164"/>
      <c r="AA37" s="164"/>
      <c r="AB37" s="164"/>
      <c r="AC37" s="362"/>
      <c r="AD37" s="363"/>
    </row>
    <row r="38" spans="1:30" ht="15" customHeight="1" thickBot="1">
      <c r="A38" s="164"/>
      <c r="B38" s="164"/>
      <c r="C38" s="359"/>
      <c r="D38" s="364"/>
      <c r="E38" s="365"/>
      <c r="F38" s="164"/>
      <c r="G38" s="164"/>
      <c r="H38" s="164"/>
      <c r="I38" s="364"/>
      <c r="J38" s="365"/>
      <c r="K38" s="358"/>
      <c r="L38" s="164"/>
      <c r="M38" s="359"/>
      <c r="N38" s="364"/>
      <c r="O38" s="365"/>
      <c r="P38" s="358"/>
      <c r="Q38" s="164"/>
      <c r="R38" s="359"/>
      <c r="S38" s="364"/>
      <c r="T38" s="365"/>
      <c r="U38" s="164"/>
      <c r="V38" s="164"/>
      <c r="W38" s="164"/>
      <c r="X38" s="364"/>
      <c r="Y38" s="365"/>
      <c r="Z38" s="164"/>
      <c r="AA38" s="164"/>
      <c r="AB38" s="164"/>
      <c r="AC38" s="364"/>
      <c r="AD38" s="365"/>
    </row>
    <row r="39" spans="1:30" ht="19.05" customHeight="1" thickBot="1">
      <c r="A39" s="368"/>
      <c r="B39" s="369"/>
      <c r="C39" s="369"/>
      <c r="D39" s="385" t="s">
        <v>192</v>
      </c>
      <c r="E39" s="385"/>
      <c r="F39" s="368"/>
      <c r="G39" s="369"/>
      <c r="H39" s="369"/>
      <c r="I39" s="385" t="s">
        <v>192</v>
      </c>
      <c r="J39" s="385"/>
      <c r="K39" s="368"/>
      <c r="L39" s="369"/>
      <c r="M39" s="369"/>
      <c r="N39" s="370" t="s">
        <v>192</v>
      </c>
      <c r="O39" s="371"/>
      <c r="P39" s="368"/>
      <c r="Q39" s="369"/>
      <c r="R39" s="369"/>
      <c r="S39" s="370" t="s">
        <v>192</v>
      </c>
      <c r="T39" s="371"/>
      <c r="U39" s="368"/>
      <c r="V39" s="369"/>
      <c r="W39" s="369"/>
      <c r="X39" s="385" t="s">
        <v>192</v>
      </c>
      <c r="Y39" s="385"/>
      <c r="Z39" s="368"/>
      <c r="AA39" s="369"/>
      <c r="AB39" s="369"/>
      <c r="AC39" s="385" t="s">
        <v>192</v>
      </c>
      <c r="AD39" s="385"/>
    </row>
    <row r="40" spans="1:30" ht="14.55" customHeight="1">
      <c r="A40" s="171"/>
      <c r="B40" s="171"/>
      <c r="C40" s="357"/>
      <c r="D40" s="360" t="str">
        <f ca="1">IF(A39="","",IF(AND(ISNUMBER(A39),A39&gt;=TODAY(),A39&lt;=TODAY()+15),"In Progress",IF(A39&lt;TODAY(),"Completed",IF(A39&gt;TODAY()+5,"Not Started",""))))</f>
        <v/>
      </c>
      <c r="E40" s="361"/>
      <c r="F40" s="171"/>
      <c r="G40" s="171"/>
      <c r="H40" s="171"/>
      <c r="I40" s="360" t="str">
        <f ca="1">IF(F39="","",IF(AND(ISNUMBER(F39),F39&gt;=TODAY(),F39&lt;=TODAY()+15),"In Progress",IF(F39&lt;TODAY(),"Completed",IF(F39&gt;TODAY()+5,"Not Started",""))))</f>
        <v/>
      </c>
      <c r="J40" s="361"/>
      <c r="K40" s="356"/>
      <c r="L40" s="171"/>
      <c r="M40" s="357"/>
      <c r="N40" s="360" t="str">
        <f ca="1">IF(K39="","",IF(AND(ISNUMBER(K39),K39&gt;=TODAY(),K39&lt;=TODAY()+15),"In Progress",IF(K39&lt;TODAY(),"Completed",IF(K39&gt;TODAY()+5,"Not Started",""))))</f>
        <v/>
      </c>
      <c r="O40" s="361"/>
      <c r="P40" s="356"/>
      <c r="Q40" s="171"/>
      <c r="R40" s="357"/>
      <c r="S40" s="360" t="str">
        <f ca="1">IF(P39="","",IF(AND(ISNUMBER(P39),P39&gt;=TODAY(),P39&lt;=TODAY()+15),"In Progress",IF(P39&lt;TODAY(),"Completed",IF(P39&gt;TODAY()+5,"Not Started",""))))</f>
        <v/>
      </c>
      <c r="T40" s="361"/>
      <c r="U40" s="171"/>
      <c r="V40" s="171"/>
      <c r="W40" s="171"/>
      <c r="X40" s="360" t="str">
        <f ca="1">IF(U39="","",IF(AND(ISNUMBER(U39),U39&gt;=TODAY(),U39&lt;=TODAY()+15),"In Progress",IF(U39&lt;TODAY(),"Completed",IF(U39&gt;TODAY()+5,"Not Started",""))))</f>
        <v/>
      </c>
      <c r="Y40" s="361"/>
      <c r="Z40" s="171"/>
      <c r="AA40" s="171"/>
      <c r="AB40" s="171"/>
      <c r="AC40" s="360" t="str">
        <f ca="1">IF(Z39="","",IF(AND(ISNUMBER(Z39),Z39&gt;=TODAY(),Z39&lt;=TODAY()+15),"In Progress",IF(Z39&lt;TODAY(),"Completed",IF(Z39&gt;TODAY()+5,"Not Started",""))))</f>
        <v/>
      </c>
      <c r="AD40" s="361"/>
    </row>
    <row r="41" spans="1:30" ht="14.55" customHeight="1">
      <c r="A41" s="164"/>
      <c r="B41" s="164"/>
      <c r="C41" s="359"/>
      <c r="D41" s="362"/>
      <c r="E41" s="363"/>
      <c r="F41" s="164"/>
      <c r="G41" s="164"/>
      <c r="H41" s="164"/>
      <c r="I41" s="362"/>
      <c r="J41" s="363"/>
      <c r="K41" s="358"/>
      <c r="L41" s="164"/>
      <c r="M41" s="359"/>
      <c r="N41" s="362"/>
      <c r="O41" s="363"/>
      <c r="P41" s="358"/>
      <c r="Q41" s="164"/>
      <c r="R41" s="359"/>
      <c r="S41" s="362"/>
      <c r="T41" s="363"/>
      <c r="U41" s="164"/>
      <c r="V41" s="164"/>
      <c r="W41" s="164"/>
      <c r="X41" s="362"/>
      <c r="Y41" s="363"/>
      <c r="Z41" s="164"/>
      <c r="AA41" s="164"/>
      <c r="AB41" s="164"/>
      <c r="AC41" s="362"/>
      <c r="AD41" s="363"/>
    </row>
    <row r="42" spans="1:30" ht="15" customHeight="1" thickBot="1">
      <c r="A42" s="164"/>
      <c r="B42" s="164"/>
      <c r="C42" s="359"/>
      <c r="D42" s="364"/>
      <c r="E42" s="365"/>
      <c r="F42" s="164"/>
      <c r="G42" s="164"/>
      <c r="H42" s="164"/>
      <c r="I42" s="364"/>
      <c r="J42" s="365"/>
      <c r="K42" s="358"/>
      <c r="L42" s="164"/>
      <c r="M42" s="359"/>
      <c r="N42" s="364"/>
      <c r="O42" s="365"/>
      <c r="P42" s="358"/>
      <c r="Q42" s="164"/>
      <c r="R42" s="359"/>
      <c r="S42" s="364"/>
      <c r="T42" s="365"/>
      <c r="U42" s="164"/>
      <c r="V42" s="164"/>
      <c r="W42" s="164"/>
      <c r="X42" s="364"/>
      <c r="Y42" s="365"/>
      <c r="Z42" s="164"/>
      <c r="AA42" s="164"/>
      <c r="AB42" s="164"/>
      <c r="AC42" s="364"/>
      <c r="AD42" s="365"/>
    </row>
    <row r="43" spans="1:30" ht="19.05" customHeight="1" thickBot="1">
      <c r="A43" s="368"/>
      <c r="B43" s="369"/>
      <c r="C43" s="369"/>
      <c r="D43" s="385" t="s">
        <v>192</v>
      </c>
      <c r="E43" s="385"/>
      <c r="F43" s="368"/>
      <c r="G43" s="369"/>
      <c r="H43" s="369"/>
      <c r="I43" s="385" t="s">
        <v>192</v>
      </c>
      <c r="J43" s="385"/>
      <c r="K43" s="368"/>
      <c r="L43" s="369"/>
      <c r="M43" s="369"/>
      <c r="N43" s="370" t="s">
        <v>192</v>
      </c>
      <c r="O43" s="371"/>
      <c r="P43" s="368"/>
      <c r="Q43" s="369"/>
      <c r="R43" s="369"/>
      <c r="S43" s="370" t="s">
        <v>192</v>
      </c>
      <c r="T43" s="371"/>
      <c r="U43" s="368"/>
      <c r="V43" s="369"/>
      <c r="W43" s="369"/>
      <c r="X43" s="385" t="s">
        <v>192</v>
      </c>
      <c r="Y43" s="385"/>
      <c r="Z43" s="368"/>
      <c r="AA43" s="369"/>
      <c r="AB43" s="369"/>
      <c r="AC43" s="385" t="s">
        <v>192</v>
      </c>
      <c r="AD43" s="385"/>
    </row>
    <row r="44" spans="1:30" ht="14.55" customHeight="1">
      <c r="A44" s="171"/>
      <c r="B44" s="171"/>
      <c r="C44" s="357"/>
      <c r="D44" s="360" t="str">
        <f ca="1">IF(A43="","",IF(AND(ISNUMBER(A43),A43&gt;=TODAY(),A43&lt;=TODAY()+15),"In Progress",IF(A43&lt;TODAY(),"Completed",IF(A43&gt;TODAY()+5,"Not Started",""))))</f>
        <v/>
      </c>
      <c r="E44" s="361"/>
      <c r="F44" s="171"/>
      <c r="G44" s="171"/>
      <c r="H44" s="171"/>
      <c r="I44" s="360" t="str">
        <f ca="1">IF(F43="","",IF(AND(ISNUMBER(F43),F43&gt;=TODAY(),F43&lt;=TODAY()+15),"In Progress",IF(F43&lt;TODAY(),"Completed",IF(F43&gt;TODAY()+5,"Not Started",""))))</f>
        <v/>
      </c>
      <c r="J44" s="361"/>
      <c r="K44" s="356"/>
      <c r="L44" s="171"/>
      <c r="M44" s="357"/>
      <c r="N44" s="360" t="str">
        <f ca="1">IF(K43="","",IF(AND(ISNUMBER(K43),K43&gt;=TODAY(),K43&lt;=TODAY()+15),"In Progress",IF(K43&lt;TODAY(),"Completed",IF(K43&gt;TODAY()+5,"Not Started",""))))</f>
        <v/>
      </c>
      <c r="O44" s="361"/>
      <c r="P44" s="356"/>
      <c r="Q44" s="171"/>
      <c r="R44" s="357"/>
      <c r="S44" s="360" t="str">
        <f ca="1">IF(P43="","",IF(AND(ISNUMBER(P43),P43&gt;=TODAY(),P43&lt;=TODAY()+15),"In Progress",IF(P43&lt;TODAY(),"Completed",IF(P43&gt;TODAY()+5,"Not Started",""))))</f>
        <v/>
      </c>
      <c r="T44" s="361"/>
      <c r="U44" s="171"/>
      <c r="V44" s="171"/>
      <c r="W44" s="171"/>
      <c r="X44" s="360" t="str">
        <f ca="1">IF(U43="","",IF(AND(ISNUMBER(U43),U43&gt;=TODAY(),U43&lt;=TODAY()+15),"In Progress",IF(U43&lt;TODAY(),"Completed",IF(U43&gt;TODAY()+5,"Not Started",""))))</f>
        <v/>
      </c>
      <c r="Y44" s="361"/>
      <c r="Z44" s="171"/>
      <c r="AA44" s="171"/>
      <c r="AB44" s="171"/>
      <c r="AC44" s="360" t="str">
        <f ca="1">IF(Z43="","",IF(AND(ISNUMBER(Z43),Z43&gt;=TODAY(),Z43&lt;=TODAY()+15),"In Progress",IF(Z43&lt;TODAY(),"Completed",IF(Z43&gt;TODAY()+5,"Not Started",""))))</f>
        <v/>
      </c>
      <c r="AD44" s="361"/>
    </row>
    <row r="45" spans="1:30" ht="14.55" customHeight="1">
      <c r="A45" s="164"/>
      <c r="B45" s="164"/>
      <c r="C45" s="359"/>
      <c r="D45" s="362"/>
      <c r="E45" s="363"/>
      <c r="F45" s="164"/>
      <c r="G45" s="164"/>
      <c r="H45" s="164"/>
      <c r="I45" s="362"/>
      <c r="J45" s="363"/>
      <c r="K45" s="358"/>
      <c r="L45" s="164"/>
      <c r="M45" s="359"/>
      <c r="N45" s="362"/>
      <c r="O45" s="363"/>
      <c r="P45" s="358"/>
      <c r="Q45" s="164"/>
      <c r="R45" s="359"/>
      <c r="S45" s="362"/>
      <c r="T45" s="363"/>
      <c r="U45" s="164"/>
      <c r="V45" s="164"/>
      <c r="W45" s="164"/>
      <c r="X45" s="362"/>
      <c r="Y45" s="363"/>
      <c r="Z45" s="164"/>
      <c r="AA45" s="164"/>
      <c r="AB45" s="164"/>
      <c r="AC45" s="362"/>
      <c r="AD45" s="363"/>
    </row>
    <row r="46" spans="1:30" ht="15" customHeight="1" thickBot="1">
      <c r="A46" s="164"/>
      <c r="B46" s="164"/>
      <c r="C46" s="359"/>
      <c r="D46" s="364"/>
      <c r="E46" s="365"/>
      <c r="F46" s="164"/>
      <c r="G46" s="164"/>
      <c r="H46" s="164"/>
      <c r="I46" s="364"/>
      <c r="J46" s="365"/>
      <c r="K46" s="358"/>
      <c r="L46" s="164"/>
      <c r="M46" s="359"/>
      <c r="N46" s="364"/>
      <c r="O46" s="365"/>
      <c r="P46" s="358"/>
      <c r="Q46" s="164"/>
      <c r="R46" s="359"/>
      <c r="S46" s="364"/>
      <c r="T46" s="365"/>
      <c r="U46" s="164"/>
      <c r="V46" s="164"/>
      <c r="W46" s="164"/>
      <c r="X46" s="364"/>
      <c r="Y46" s="365"/>
      <c r="Z46" s="164"/>
      <c r="AA46" s="164"/>
      <c r="AB46" s="164"/>
      <c r="AC46" s="364"/>
      <c r="AD46" s="365"/>
    </row>
    <row r="47" spans="1:30" ht="19.05" customHeight="1" thickBot="1">
      <c r="A47" s="368"/>
      <c r="B47" s="369"/>
      <c r="C47" s="369"/>
      <c r="D47" s="385" t="s">
        <v>192</v>
      </c>
      <c r="E47" s="385"/>
      <c r="F47" s="368"/>
      <c r="G47" s="369"/>
      <c r="H47" s="369"/>
      <c r="I47" s="370" t="s">
        <v>192</v>
      </c>
      <c r="J47" s="371"/>
      <c r="K47" s="368"/>
      <c r="L47" s="369"/>
      <c r="M47" s="369"/>
      <c r="N47" s="370" t="s">
        <v>192</v>
      </c>
      <c r="O47" s="371"/>
      <c r="P47" s="368"/>
      <c r="Q47" s="369"/>
      <c r="R47" s="369"/>
      <c r="S47" s="370" t="s">
        <v>192</v>
      </c>
      <c r="T47" s="371"/>
      <c r="U47" s="368"/>
      <c r="V47" s="369"/>
      <c r="W47" s="369"/>
      <c r="X47" s="385" t="s">
        <v>192</v>
      </c>
      <c r="Y47" s="385"/>
      <c r="Z47" s="368"/>
      <c r="AA47" s="369"/>
      <c r="AB47" s="369"/>
      <c r="AC47" s="385" t="s">
        <v>192</v>
      </c>
      <c r="AD47" s="385"/>
    </row>
    <row r="48" spans="1:30" ht="14.55" customHeight="1">
      <c r="A48" s="171"/>
      <c r="B48" s="171"/>
      <c r="C48" s="357"/>
      <c r="D48" s="360" t="str">
        <f ca="1">IF(A47="","",IF(AND(ISNUMBER(A47),A47&gt;=TODAY(),A47&lt;=TODAY()+15),"In Progress",IF(A47&lt;TODAY(),"Completed",IF(A47&gt;TODAY()+5,"Not Started",""))))</f>
        <v/>
      </c>
      <c r="E48" s="361"/>
      <c r="F48" s="171"/>
      <c r="G48" s="171"/>
      <c r="H48" s="171"/>
      <c r="I48" s="360" t="str">
        <f ca="1">IF(F47="","",IF(AND(ISNUMBER(F47),F47&gt;=TODAY(),F47&lt;=TODAY()+15),"In Progress",IF(F47&lt;TODAY(),"Completed",IF(F47&gt;TODAY()+5,"Not Started",""))))</f>
        <v/>
      </c>
      <c r="J48" s="361"/>
      <c r="K48" s="356"/>
      <c r="L48" s="171"/>
      <c r="M48" s="357"/>
      <c r="N48" s="360" t="str">
        <f ca="1">IF(K47="","",IF(AND(ISNUMBER(K47),K47&gt;=TODAY(),K47&lt;=TODAY()+15),"In Progress",IF(K47&lt;TODAY(),"Completed",IF(K47&gt;TODAY()+5,"Not Started",""))))</f>
        <v/>
      </c>
      <c r="O48" s="361"/>
      <c r="P48" s="356"/>
      <c r="Q48" s="171"/>
      <c r="R48" s="357"/>
      <c r="S48" s="360" t="str">
        <f ca="1">IF(P47="","",IF(AND(ISNUMBER(P47),P47&gt;=TODAY(),P47&lt;=TODAY()+15),"In Progress",IF(P47&lt;TODAY(),"Completed",IF(P47&gt;TODAY()+5,"Not Started",""))))</f>
        <v/>
      </c>
      <c r="T48" s="361"/>
      <c r="U48" s="171"/>
      <c r="V48" s="171"/>
      <c r="W48" s="171"/>
      <c r="X48" s="360" t="str">
        <f ca="1">IF(U47="","",IF(AND(ISNUMBER(U47),U47&gt;=TODAY(),U47&lt;=TODAY()+15),"In Progress",IF(U47&lt;TODAY(),"Completed",IF(U47&gt;TODAY()+5,"Not Started",""))))</f>
        <v/>
      </c>
      <c r="Y48" s="361"/>
      <c r="Z48" s="171"/>
      <c r="AA48" s="171"/>
      <c r="AB48" s="171"/>
      <c r="AC48" s="360" t="str">
        <f ca="1">IF(Z47="","",IF(AND(ISNUMBER(Z47),Z47&gt;=TODAY(),Z47&lt;=TODAY()+15),"In Progress",IF(Z47&lt;TODAY(),"Completed",IF(Z47&gt;TODAY()+5,"Not Started",""))))</f>
        <v/>
      </c>
      <c r="AD48" s="361"/>
    </row>
    <row r="49" spans="1:30" ht="14.55" customHeight="1">
      <c r="A49" s="164"/>
      <c r="B49" s="164"/>
      <c r="C49" s="359"/>
      <c r="D49" s="362"/>
      <c r="E49" s="363"/>
      <c r="F49" s="164"/>
      <c r="G49" s="164"/>
      <c r="H49" s="164"/>
      <c r="I49" s="362"/>
      <c r="J49" s="363"/>
      <c r="K49" s="358"/>
      <c r="L49" s="164"/>
      <c r="M49" s="359"/>
      <c r="N49" s="362"/>
      <c r="O49" s="363"/>
      <c r="P49" s="358"/>
      <c r="Q49" s="164"/>
      <c r="R49" s="359"/>
      <c r="S49" s="362"/>
      <c r="T49" s="363"/>
      <c r="U49" s="164"/>
      <c r="V49" s="164"/>
      <c r="W49" s="164"/>
      <c r="X49" s="362"/>
      <c r="Y49" s="363"/>
      <c r="Z49" s="164"/>
      <c r="AA49" s="164"/>
      <c r="AB49" s="164"/>
      <c r="AC49" s="362"/>
      <c r="AD49" s="363"/>
    </row>
    <row r="50" spans="1:30" ht="15" customHeight="1" thickBot="1">
      <c r="A50" s="164"/>
      <c r="B50" s="164"/>
      <c r="C50" s="359"/>
      <c r="D50" s="364"/>
      <c r="E50" s="365"/>
      <c r="F50" s="164"/>
      <c r="G50" s="164"/>
      <c r="H50" s="164"/>
      <c r="I50" s="364"/>
      <c r="J50" s="365"/>
      <c r="K50" s="358"/>
      <c r="L50" s="164"/>
      <c r="M50" s="359"/>
      <c r="N50" s="364"/>
      <c r="O50" s="365"/>
      <c r="P50" s="358"/>
      <c r="Q50" s="164"/>
      <c r="R50" s="359"/>
      <c r="S50" s="364"/>
      <c r="T50" s="365"/>
      <c r="U50" s="164"/>
      <c r="V50" s="164"/>
      <c r="W50" s="164"/>
      <c r="X50" s="364"/>
      <c r="Y50" s="365"/>
      <c r="Z50" s="164"/>
      <c r="AA50" s="164"/>
      <c r="AB50" s="164"/>
      <c r="AC50" s="364"/>
      <c r="AD50" s="365"/>
    </row>
    <row r="51" spans="1:30" ht="18" thickBot="1">
      <c r="A51" s="368"/>
      <c r="B51" s="369"/>
      <c r="C51" s="369"/>
      <c r="D51" s="385" t="s">
        <v>192</v>
      </c>
      <c r="E51" s="385"/>
      <c r="F51" s="368"/>
      <c r="G51" s="369"/>
      <c r="H51" s="369"/>
      <c r="I51" s="385" t="s">
        <v>192</v>
      </c>
      <c r="J51" s="385"/>
      <c r="K51" s="368"/>
      <c r="L51" s="369"/>
      <c r="M51" s="369"/>
      <c r="N51" s="370" t="s">
        <v>192</v>
      </c>
      <c r="O51" s="371"/>
      <c r="P51" s="368"/>
      <c r="Q51" s="369"/>
      <c r="R51" s="369"/>
      <c r="S51" s="370" t="s">
        <v>192</v>
      </c>
      <c r="T51" s="371"/>
      <c r="U51" s="368"/>
      <c r="V51" s="369"/>
      <c r="W51" s="369"/>
      <c r="X51" s="385" t="s">
        <v>192</v>
      </c>
      <c r="Y51" s="385"/>
      <c r="Z51" s="368"/>
      <c r="AA51" s="369"/>
      <c r="AB51" s="369"/>
      <c r="AC51" s="385" t="s">
        <v>192</v>
      </c>
      <c r="AD51" s="385"/>
    </row>
    <row r="52" spans="1:30" ht="14.55" customHeight="1">
      <c r="A52" s="171"/>
      <c r="B52" s="171"/>
      <c r="C52" s="357"/>
      <c r="D52" s="360" t="str">
        <f ca="1">IF(A51="","",IF(AND(ISNUMBER(A51),A51&gt;=TODAY(),A51&lt;=TODAY()+15),"In Progress",IF(A51&lt;TODAY(),"Completed",IF(A51&gt;TODAY()+5,"Not Started",""))))</f>
        <v/>
      </c>
      <c r="E52" s="361"/>
      <c r="F52" s="171"/>
      <c r="G52" s="171"/>
      <c r="H52" s="171"/>
      <c r="I52" s="360" t="str">
        <f ca="1">IF(F51="","",IF(AND(ISNUMBER(F51),F51&gt;=TODAY(),F51&lt;=TODAY()+15),"In Progress",IF(F51&lt;TODAY(),"Completed",IF(F51&gt;TODAY()+5,"Not Started",""))))</f>
        <v/>
      </c>
      <c r="J52" s="361"/>
      <c r="K52" s="356"/>
      <c r="L52" s="171"/>
      <c r="M52" s="357"/>
      <c r="N52" s="360" t="str">
        <f ca="1">IF(K51="","",IF(AND(ISNUMBER(K51),K51&gt;=TODAY(),K51&lt;=TODAY()+15),"In Progress",IF(K51&lt;TODAY(),"Completed",IF(K51&gt;TODAY()+5,"Not Started",""))))</f>
        <v/>
      </c>
      <c r="O52" s="361"/>
      <c r="P52" s="356"/>
      <c r="Q52" s="171"/>
      <c r="R52" s="357"/>
      <c r="S52" s="360" t="str">
        <f ca="1">IF(P51="","",IF(AND(ISNUMBER(P51),P51&gt;=TODAY(),P51&lt;=TODAY()+15),"In Progress",IF(P51&lt;TODAY(),"Completed",IF(P51&gt;TODAY()+5,"Not Started",""))))</f>
        <v/>
      </c>
      <c r="T52" s="361"/>
      <c r="U52" s="171"/>
      <c r="V52" s="171"/>
      <c r="W52" s="171"/>
      <c r="X52" s="360" t="str">
        <f ca="1">IF(U51="","",IF(AND(ISNUMBER(U51),U51&gt;=TODAY(),U51&lt;=TODAY()+15),"In Progress",IF(U51&lt;TODAY(),"Completed",IF(U51&gt;TODAY()+5,"Not Started",""))))</f>
        <v/>
      </c>
      <c r="Y52" s="361"/>
      <c r="Z52" s="171"/>
      <c r="AA52" s="171"/>
      <c r="AB52" s="171"/>
      <c r="AC52" s="360" t="str">
        <f ca="1">IF(Z51="","",IF(AND(ISNUMBER(Z51),Z51&gt;=TODAY(),Z51&lt;=TODAY()+15),"In Progress",IF(Z51&lt;TODAY(),"Completed",IF(Z51&gt;TODAY()+5,"Not Started",""))))</f>
        <v/>
      </c>
      <c r="AD52" s="361"/>
    </row>
    <row r="53" spans="1:30" ht="14.55" customHeight="1">
      <c r="A53" s="164"/>
      <c r="B53" s="164"/>
      <c r="C53" s="359"/>
      <c r="D53" s="362"/>
      <c r="E53" s="363"/>
      <c r="F53" s="164"/>
      <c r="G53" s="164"/>
      <c r="H53" s="164"/>
      <c r="I53" s="362"/>
      <c r="J53" s="363"/>
      <c r="K53" s="358"/>
      <c r="L53" s="164"/>
      <c r="M53" s="359"/>
      <c r="N53" s="362"/>
      <c r="O53" s="363"/>
      <c r="P53" s="358"/>
      <c r="Q53" s="164"/>
      <c r="R53" s="359"/>
      <c r="S53" s="362"/>
      <c r="T53" s="363"/>
      <c r="U53" s="164"/>
      <c r="V53" s="164"/>
      <c r="W53" s="164"/>
      <c r="X53" s="362"/>
      <c r="Y53" s="363"/>
      <c r="Z53" s="164"/>
      <c r="AA53" s="164"/>
      <c r="AB53" s="164"/>
      <c r="AC53" s="362"/>
      <c r="AD53" s="363"/>
    </row>
    <row r="54" spans="1:30" ht="15" customHeight="1" thickBot="1">
      <c r="A54" s="164"/>
      <c r="B54" s="164"/>
      <c r="C54" s="359"/>
      <c r="D54" s="364"/>
      <c r="E54" s="365"/>
      <c r="F54" s="164"/>
      <c r="G54" s="164"/>
      <c r="H54" s="164"/>
      <c r="I54" s="364"/>
      <c r="J54" s="365"/>
      <c r="K54" s="358"/>
      <c r="L54" s="164"/>
      <c r="M54" s="359"/>
      <c r="N54" s="364"/>
      <c r="O54" s="365"/>
      <c r="P54" s="358"/>
      <c r="Q54" s="164"/>
      <c r="R54" s="359"/>
      <c r="S54" s="364"/>
      <c r="T54" s="365"/>
      <c r="U54" s="164"/>
      <c r="V54" s="164"/>
      <c r="W54" s="164"/>
      <c r="X54" s="364"/>
      <c r="Y54" s="365"/>
      <c r="Z54" s="164"/>
      <c r="AA54" s="164"/>
      <c r="AB54" s="164"/>
      <c r="AC54" s="364"/>
      <c r="AD54" s="365"/>
    </row>
    <row r="55" spans="1:30" ht="14.55" customHeight="1">
      <c r="A55" s="390" t="s">
        <v>59</v>
      </c>
      <c r="B55" s="390"/>
      <c r="C55" s="390"/>
      <c r="D55" s="390"/>
      <c r="E55" s="390"/>
      <c r="F55" s="390"/>
      <c r="G55" s="390"/>
      <c r="H55" s="390"/>
      <c r="I55" s="390"/>
      <c r="J55" s="390"/>
      <c r="K55" s="390"/>
      <c r="L55" s="390"/>
      <c r="M55" s="390"/>
      <c r="N55" s="390"/>
      <c r="O55" s="390"/>
      <c r="P55" s="390"/>
      <c r="Q55" s="390"/>
      <c r="R55" s="390"/>
      <c r="S55" s="390"/>
      <c r="T55" s="390"/>
      <c r="U55" s="390"/>
      <c r="V55" s="390"/>
      <c r="W55" s="390"/>
      <c r="X55" s="390"/>
      <c r="Y55" s="390"/>
      <c r="Z55" s="390"/>
      <c r="AA55" s="390"/>
      <c r="AB55" s="390"/>
      <c r="AC55" s="390"/>
      <c r="AD55" s="390"/>
    </row>
    <row r="56" spans="1:30" ht="14.55" customHeight="1">
      <c r="A56" s="390"/>
      <c r="B56" s="390"/>
      <c r="C56" s="390"/>
      <c r="D56" s="390"/>
      <c r="E56" s="390"/>
      <c r="F56" s="390"/>
      <c r="G56" s="390"/>
      <c r="H56" s="390"/>
      <c r="I56" s="390"/>
      <c r="J56" s="390"/>
      <c r="K56" s="390"/>
      <c r="L56" s="390"/>
      <c r="M56" s="390"/>
      <c r="N56" s="390"/>
      <c r="O56" s="390"/>
      <c r="P56" s="390"/>
      <c r="Q56" s="390"/>
      <c r="R56" s="390"/>
      <c r="S56" s="390"/>
      <c r="T56" s="390"/>
      <c r="U56" s="390"/>
      <c r="V56" s="390"/>
      <c r="W56" s="390"/>
      <c r="X56" s="390"/>
      <c r="Y56" s="390"/>
      <c r="Z56" s="390"/>
      <c r="AA56" s="390"/>
      <c r="AB56" s="390"/>
      <c r="AC56" s="390"/>
      <c r="AD56" s="390"/>
    </row>
    <row r="57" spans="1:30" ht="15" customHeight="1">
      <c r="A57" s="390"/>
      <c r="B57" s="390"/>
      <c r="C57" s="390"/>
      <c r="D57" s="390"/>
      <c r="E57" s="390"/>
      <c r="F57" s="390"/>
      <c r="G57" s="390"/>
      <c r="H57" s="390"/>
      <c r="I57" s="390"/>
      <c r="J57" s="390"/>
      <c r="K57" s="390"/>
      <c r="L57" s="390"/>
      <c r="M57" s="390"/>
      <c r="N57" s="390"/>
      <c r="O57" s="390"/>
      <c r="P57" s="390"/>
      <c r="Q57" s="390"/>
      <c r="R57" s="390"/>
      <c r="S57" s="390"/>
      <c r="T57" s="390"/>
      <c r="U57" s="390"/>
      <c r="V57" s="390"/>
      <c r="W57" s="390"/>
      <c r="X57" s="390"/>
      <c r="Y57" s="390"/>
      <c r="Z57" s="390"/>
      <c r="AA57" s="390"/>
      <c r="AB57" s="390"/>
      <c r="AC57" s="390"/>
      <c r="AD57" s="390"/>
    </row>
    <row r="58" spans="1:30" ht="15" customHeight="1">
      <c r="A58" s="374" t="s">
        <v>123</v>
      </c>
      <c r="B58" s="375"/>
      <c r="C58" s="375"/>
      <c r="D58" s="375"/>
      <c r="E58" s="375"/>
      <c r="F58" s="375"/>
      <c r="G58" s="375"/>
      <c r="H58" s="375"/>
      <c r="I58" s="375"/>
      <c r="J58" s="375"/>
      <c r="K58" s="375"/>
      <c r="L58" s="375"/>
      <c r="M58" s="375"/>
      <c r="N58" s="375"/>
      <c r="O58" s="375"/>
      <c r="P58" s="366" t="s">
        <v>191</v>
      </c>
      <c r="Q58" s="367"/>
      <c r="R58" s="367"/>
      <c r="S58" s="367"/>
      <c r="T58" s="367"/>
      <c r="U58" s="367"/>
      <c r="V58" s="367"/>
      <c r="W58" s="367"/>
      <c r="X58" s="367"/>
      <c r="Y58" s="367"/>
      <c r="Z58" s="367"/>
      <c r="AA58" s="367"/>
      <c r="AB58" s="367"/>
      <c r="AC58" s="367"/>
      <c r="AD58" s="367"/>
    </row>
    <row r="59" spans="1:30" ht="15" customHeight="1">
      <c r="A59" s="374"/>
      <c r="B59" s="375"/>
      <c r="C59" s="375"/>
      <c r="D59" s="375"/>
      <c r="E59" s="375"/>
      <c r="F59" s="375"/>
      <c r="G59" s="375"/>
      <c r="H59" s="375"/>
      <c r="I59" s="375"/>
      <c r="J59" s="375"/>
      <c r="K59" s="375"/>
      <c r="L59" s="375"/>
      <c r="M59" s="375"/>
      <c r="N59" s="375"/>
      <c r="O59" s="375"/>
      <c r="P59" s="366"/>
      <c r="Q59" s="367"/>
      <c r="R59" s="367"/>
      <c r="S59" s="367"/>
      <c r="T59" s="367"/>
      <c r="U59" s="367"/>
      <c r="V59" s="367"/>
      <c r="W59" s="367"/>
      <c r="X59" s="367"/>
      <c r="Y59" s="367"/>
      <c r="Z59" s="367"/>
      <c r="AA59" s="367"/>
      <c r="AB59" s="367"/>
      <c r="AC59" s="367"/>
      <c r="AD59" s="367"/>
    </row>
    <row r="60" spans="1:30" ht="14.55" customHeight="1">
      <c r="A60" s="388" t="s">
        <v>25</v>
      </c>
      <c r="B60" s="388"/>
      <c r="C60" s="388" t="s">
        <v>58</v>
      </c>
      <c r="D60" s="388"/>
      <c r="E60" s="388" t="s">
        <v>61</v>
      </c>
      <c r="F60" s="388"/>
      <c r="G60" s="388"/>
      <c r="H60" s="388" t="s">
        <v>62</v>
      </c>
      <c r="I60" s="388"/>
      <c r="J60" s="388"/>
      <c r="K60" s="388" t="s">
        <v>63</v>
      </c>
      <c r="L60" s="388"/>
      <c r="M60" s="388"/>
      <c r="N60" s="388" t="inlineStr">
        <is>
          <t>Status</t>
        </is>
      </c>
      <c r="O60" s="388"/>
      <c r="P60" s="388" t="s">
        <v>25</v>
      </c>
      <c r="Q60" s="388"/>
      <c r="R60" s="388" t="s">
        <v>58</v>
      </c>
      <c r="S60" s="388"/>
      <c r="T60" s="388" t="s">
        <v>61</v>
      </c>
      <c r="U60" s="388"/>
      <c r="V60" s="388"/>
      <c r="W60" s="388" t="s">
        <v>62</v>
      </c>
      <c r="X60" s="388"/>
      <c r="Y60" s="388"/>
      <c r="Z60" s="388" t="s">
        <v>63</v>
      </c>
      <c r="AA60" s="388"/>
      <c r="AB60" s="388"/>
      <c r="AC60" s="388" t="inlineStr">
        <is>
          <t>Status</t>
        </is>
      </c>
      <c r="AD60" s="388"/>
    </row>
    <row r="61" spans="1:30" ht="14.55" customHeight="1">
      <c r="A61" s="388"/>
      <c r="B61" s="388"/>
      <c r="C61" s="389"/>
      <c r="D61" s="389"/>
      <c r="E61" s="389"/>
      <c r="F61" s="389"/>
      <c r="G61" s="389"/>
      <c r="H61" s="389"/>
      <c r="I61" s="389"/>
      <c r="J61" s="389"/>
      <c r="K61" s="389"/>
      <c r="L61" s="389"/>
      <c r="M61" s="389"/>
      <c r="N61" s="389"/>
      <c r="O61" s="389"/>
      <c r="P61" s="388"/>
      <c r="Q61" s="388"/>
      <c r="R61" s="389"/>
      <c r="S61" s="389"/>
      <c r="T61" s="389"/>
      <c r="U61" s="389"/>
      <c r="V61" s="389"/>
      <c r="W61" s="389"/>
      <c r="X61" s="389"/>
      <c r="Y61" s="389"/>
      <c r="Z61" s="389"/>
      <c r="AA61" s="389"/>
      <c r="AB61" s="389"/>
      <c r="AC61" s="389"/>
      <c r="AD61" s="389"/>
    </row>
    <row r="62" spans="1:30" ht="14.55" customHeight="1">
      <c r="A62" s="351"/>
      <c r="B62" s="352"/>
      <c r="C62" s="338"/>
      <c r="D62" s="338"/>
      <c r="E62" s="340"/>
      <c r="F62" s="340"/>
      <c r="G62" s="340"/>
      <c r="H62" s="340"/>
      <c r="I62" s="340"/>
      <c r="J62" s="340"/>
      <c r="K62" s="340"/>
      <c r="L62" s="340"/>
      <c r="M62" s="342"/>
      <c r="N62" s="345"/>
      <c r="O62" s="346"/>
      <c r="P62" s="351"/>
      <c r="Q62" s="352"/>
      <c r="R62" s="338"/>
      <c r="S62" s="338"/>
      <c r="T62" s="340"/>
      <c r="U62" s="340"/>
      <c r="V62" s="340"/>
      <c r="W62" s="340"/>
      <c r="X62" s="340"/>
      <c r="Y62" s="340"/>
      <c r="Z62" s="340"/>
      <c r="AA62" s="340"/>
      <c r="AB62" s="342"/>
      <c r="AC62" s="345" t="str">
        <f ca="1">IF(P62="", "",
 IF(AND(ISNUMBER(P62), P62 &gt;= TODAY(), P62 &lt;= TODAY() + 5), "In Progress",
 IF(AND(ISNUMBER(P62), P62 &lt; TODAY()), "Completed",
 IF(OR(P62="TBD", AND(ISNUMBER(P62), P62 &gt; TODAY() + 5)), "Not Started", ""))))</f>
        <v/>
      </c>
      <c r="AD62" s="346"/>
    </row>
    <row r="63" spans="1:30" ht="15" customHeight="1">
      <c r="A63" s="353"/>
      <c r="B63" s="492"/>
      <c r="C63" s="493"/>
      <c r="D63" s="493"/>
      <c r="E63" s="494"/>
      <c r="F63" s="494"/>
      <c r="G63" s="494"/>
      <c r="H63" s="494"/>
      <c r="I63" s="494"/>
      <c r="J63" s="494"/>
      <c r="K63" s="494"/>
      <c r="L63" s="494"/>
      <c r="M63" s="343"/>
      <c r="N63" s="347"/>
      <c r="O63" s="348"/>
      <c r="P63" s="353"/>
      <c r="Q63" s="492"/>
      <c r="R63" s="493"/>
      <c r="S63" s="493"/>
      <c r="T63" s="494"/>
      <c r="U63" s="494"/>
      <c r="V63" s="494"/>
      <c r="W63" s="494"/>
      <c r="X63" s="494"/>
      <c r="Y63" s="494"/>
      <c r="Z63" s="494"/>
      <c r="AA63" s="494"/>
      <c r="AB63" s="343"/>
      <c r="AC63" s="347"/>
      <c r="AD63" s="348"/>
    </row>
    <row r="64" spans="1:30" ht="14.55" customHeight="1">
      <c r="A64" s="354"/>
      <c r="B64" s="355"/>
      <c r="C64" s="339"/>
      <c r="D64" s="339"/>
      <c r="E64" s="341"/>
      <c r="F64" s="341"/>
      <c r="G64" s="341"/>
      <c r="H64" s="341"/>
      <c r="I64" s="341"/>
      <c r="J64" s="341"/>
      <c r="K64" s="341"/>
      <c r="L64" s="341"/>
      <c r="M64" s="344"/>
      <c r="N64" s="349"/>
      <c r="O64" s="350"/>
      <c r="P64" s="354"/>
      <c r="Q64" s="355"/>
      <c r="R64" s="339"/>
      <c r="S64" s="339"/>
      <c r="T64" s="341"/>
      <c r="U64" s="341"/>
      <c r="V64" s="341"/>
      <c r="W64" s="341"/>
      <c r="X64" s="341"/>
      <c r="Y64" s="341"/>
      <c r="Z64" s="341"/>
      <c r="AA64" s="341"/>
      <c r="AB64" s="344"/>
      <c r="AC64" s="349"/>
      <c r="AD64" s="350"/>
    </row>
    <row r="65" spans="1:30" ht="14.55" customHeight="1">
      <c r="A65" s="351"/>
      <c r="B65" s="352"/>
      <c r="C65" s="338"/>
      <c r="D65" s="338"/>
      <c r="E65" s="340"/>
      <c r="F65" s="340"/>
      <c r="G65" s="340"/>
      <c r="H65" s="340"/>
      <c r="I65" s="340"/>
      <c r="J65" s="340"/>
      <c r="K65" s="340"/>
      <c r="L65" s="340"/>
      <c r="M65" s="342"/>
      <c r="N65" s="345" t="str">
        <f ca="1">IF(A65="", "",
 IF(AND(ISNUMBER(A65), A65 &gt;= TODAY(), A65 &lt;= TODAY() + 5), "In Progress",
 IF(AND(ISNUMBER(A65), A65 &lt; TODAY()), "Completed",
 IF(OR(A65="TBD", AND(ISNUMBER(A65), A65 &gt; TODAY() + 5)), "Not Started", ""))))</f>
        <v/>
      </c>
      <c r="O65" s="346"/>
      <c r="P65" s="351"/>
      <c r="Q65" s="352"/>
      <c r="R65" s="338"/>
      <c r="S65" s="338"/>
      <c r="T65" s="340"/>
      <c r="U65" s="340"/>
      <c r="V65" s="340"/>
      <c r="W65" s="340"/>
      <c r="X65" s="340"/>
      <c r="Y65" s="340"/>
      <c r="Z65" s="340"/>
      <c r="AA65" s="340"/>
      <c r="AB65" s="342"/>
      <c r="AC65" s="345" t="str">
        <f ca="1">IF(P65="", "",
 IF(AND(ISNUMBER(P65), P65 &gt;= TODAY(), P65 &lt;= TODAY() + 5), "In Progress",
 IF(AND(ISNUMBER(P65), P65 &lt; TODAY()), "Completed",
 IF(OR(P65="TBD", AND(ISNUMBER(P65), P65 &gt; TODAY() + 5)), "Not Started", ""))))</f>
        <v/>
      </c>
      <c r="AD65" s="346"/>
    </row>
    <row r="66" spans="1:30" ht="14.55" customHeight="1">
      <c r="A66" s="353"/>
      <c r="B66" s="492"/>
      <c r="C66" s="493"/>
      <c r="D66" s="493"/>
      <c r="E66" s="494"/>
      <c r="F66" s="494"/>
      <c r="G66" s="494"/>
      <c r="H66" s="494"/>
      <c r="I66" s="494"/>
      <c r="J66" s="494"/>
      <c r="K66" s="494"/>
      <c r="L66" s="494"/>
      <c r="M66" s="343"/>
      <c r="N66" s="347"/>
      <c r="O66" s="348"/>
      <c r="P66" s="353"/>
      <c r="Q66" s="492"/>
      <c r="R66" s="493"/>
      <c r="S66" s="493"/>
      <c r="T66" s="494"/>
      <c r="U66" s="494"/>
      <c r="V66" s="494"/>
      <c r="W66" s="494"/>
      <c r="X66" s="494"/>
      <c r="Y66" s="494"/>
      <c r="Z66" s="494"/>
      <c r="AA66" s="494"/>
      <c r="AB66" s="343"/>
      <c r="AC66" s="347"/>
      <c r="AD66" s="348"/>
    </row>
    <row r="67" spans="1:30" ht="15" customHeight="1">
      <c r="A67" s="354"/>
      <c r="B67" s="355"/>
      <c r="C67" s="339"/>
      <c r="D67" s="339"/>
      <c r="E67" s="341"/>
      <c r="F67" s="341"/>
      <c r="G67" s="341"/>
      <c r="H67" s="341"/>
      <c r="I67" s="341"/>
      <c r="J67" s="341"/>
      <c r="K67" s="341"/>
      <c r="L67" s="341"/>
      <c r="M67" s="344"/>
      <c r="N67" s="349"/>
      <c r="O67" s="350"/>
      <c r="P67" s="354"/>
      <c r="Q67" s="355"/>
      <c r="R67" s="339"/>
      <c r="S67" s="339"/>
      <c r="T67" s="341"/>
      <c r="U67" s="341"/>
      <c r="V67" s="341"/>
      <c r="W67" s="341"/>
      <c r="X67" s="341"/>
      <c r="Y67" s="341"/>
      <c r="Z67" s="341"/>
      <c r="AA67" s="341"/>
      <c r="AB67" s="344"/>
      <c r="AC67" s="349"/>
      <c r="AD67" s="350"/>
    </row>
    <row r="68" spans="1:30" ht="14.55" customHeight="1">
      <c r="A68" s="351"/>
      <c r="B68" s="352"/>
      <c r="C68" s="338"/>
      <c r="D68" s="338"/>
      <c r="E68" s="340"/>
      <c r="F68" s="340"/>
      <c r="G68" s="340"/>
      <c r="H68" s="340"/>
      <c r="I68" s="340"/>
      <c r="J68" s="340"/>
      <c r="K68" s="340"/>
      <c r="L68" s="340"/>
      <c r="M68" s="342"/>
      <c r="N68" s="345" t="str">
        <f ca="1">IF(A68="", "",
 IF(AND(ISNUMBER(A68), A68 &gt;= TODAY(), A68 &lt;= TODAY() + 5), "In Progress",
 IF(AND(ISNUMBER(A68), A68 &lt; TODAY()), "Completed",
 IF(OR(A68="TBD", AND(ISNUMBER(A68), A68 &gt; TODAY() + 5)), "Not Started", ""))))</f>
        <v/>
      </c>
      <c r="O68" s="346"/>
      <c r="P68" s="351"/>
      <c r="Q68" s="352"/>
      <c r="R68" s="372"/>
      <c r="S68" s="372"/>
      <c r="T68" s="340"/>
      <c r="U68" s="340"/>
      <c r="V68" s="340"/>
      <c r="W68" s="340"/>
      <c r="X68" s="340"/>
      <c r="Y68" s="340"/>
      <c r="Z68" s="340"/>
      <c r="AA68" s="340"/>
      <c r="AB68" s="342"/>
      <c r="AC68" s="345" t="str">
        <f ca="1">IF(P68="", "",
 IF(AND(ISNUMBER(P68), P68 &gt;= TODAY(), P68 &lt;= TODAY() + 5), "In Progress",
 IF(AND(ISNUMBER(P68), P68 &lt; TODAY()), "Completed",
 IF(OR(P68="TBD", AND(ISNUMBER(P68), P68 &gt; TODAY() + 5)), "Not Started", ""))))</f>
        <v/>
      </c>
      <c r="AD68" s="346"/>
    </row>
    <row r="69" spans="1:30" ht="14.55" customHeight="1">
      <c r="A69" s="353"/>
      <c r="B69" s="492"/>
      <c r="C69" s="493"/>
      <c r="D69" s="493"/>
      <c r="E69" s="494"/>
      <c r="F69" s="494"/>
      <c r="G69" s="494"/>
      <c r="H69" s="494"/>
      <c r="I69" s="494"/>
      <c r="J69" s="494"/>
      <c r="K69" s="494"/>
      <c r="L69" s="494"/>
      <c r="M69" s="343"/>
      <c r="N69" s="347"/>
      <c r="O69" s="348"/>
      <c r="P69" s="353"/>
      <c r="Q69" s="492"/>
      <c r="R69" s="496"/>
      <c r="S69" s="496"/>
      <c r="T69" s="494"/>
      <c r="U69" s="494"/>
      <c r="V69" s="494"/>
      <c r="W69" s="494"/>
      <c r="X69" s="494"/>
      <c r="Y69" s="494"/>
      <c r="Z69" s="494"/>
      <c r="AA69" s="494"/>
      <c r="AB69" s="343"/>
      <c r="AC69" s="347"/>
      <c r="AD69" s="348"/>
    </row>
    <row r="70" spans="1:30" ht="14.55" customHeight="1">
      <c r="A70" s="354"/>
      <c r="B70" s="355"/>
      <c r="C70" s="339"/>
      <c r="D70" s="339"/>
      <c r="E70" s="341"/>
      <c r="F70" s="341"/>
      <c r="G70" s="341"/>
      <c r="H70" s="341"/>
      <c r="I70" s="341"/>
      <c r="J70" s="341"/>
      <c r="K70" s="341"/>
      <c r="L70" s="341"/>
      <c r="M70" s="344"/>
      <c r="N70" s="349"/>
      <c r="O70" s="350"/>
      <c r="P70" s="354"/>
      <c r="Q70" s="355"/>
      <c r="R70" s="373"/>
      <c r="S70" s="373"/>
      <c r="T70" s="341"/>
      <c r="U70" s="341"/>
      <c r="V70" s="341"/>
      <c r="W70" s="341"/>
      <c r="X70" s="341"/>
      <c r="Y70" s="341"/>
      <c r="Z70" s="341"/>
      <c r="AA70" s="341"/>
      <c r="AB70" s="344"/>
      <c r="AC70" s="349"/>
      <c r="AD70" s="350"/>
    </row>
    <row r="71" spans="1:30" ht="15" customHeight="1">
      <c r="A71" s="351"/>
      <c r="B71" s="352"/>
      <c r="C71" s="338"/>
      <c r="D71" s="338"/>
      <c r="E71" s="340"/>
      <c r="F71" s="340"/>
      <c r="G71" s="340"/>
      <c r="H71" s="340"/>
      <c r="I71" s="340"/>
      <c r="J71" s="340"/>
      <c r="K71" s="340"/>
      <c r="L71" s="340"/>
      <c r="M71" s="342"/>
      <c r="N71" s="345" t="str">
        <f ca="1">IF(A71="", "",
 IF(AND(ISNUMBER(A71), A71 &gt;= TODAY(), A71 &lt;= TODAY() + 5), "In Progress",
 IF(AND(ISNUMBER(A71), A71 &lt; TODAY()), "Completed",
 IF(OR(A71="TBD", AND(ISNUMBER(A71), A71 &gt; TODAY() + 5)), "Not Started", ""))))</f>
        <v/>
      </c>
      <c r="O71" s="346"/>
      <c r="P71" s="351"/>
      <c r="Q71" s="352"/>
      <c r="R71" s="338"/>
      <c r="S71" s="338"/>
      <c r="T71" s="340"/>
      <c r="U71" s="340"/>
      <c r="V71" s="340"/>
      <c r="W71" s="340"/>
      <c r="X71" s="340"/>
      <c r="Y71" s="340"/>
      <c r="Z71" s="340"/>
      <c r="AA71" s="340"/>
      <c r="AB71" s="342"/>
      <c r="AC71" s="345" t="str">
        <f ca="1">IF(P71="", "",
 IF(AND(ISNUMBER(P71), P71 &gt;= TODAY(), P71 &lt;= TODAY() + 5), "In Progress",
 IF(AND(ISNUMBER(P71), P71 &lt; TODAY()), "Completed",
 IF(OR(P71="TBD", AND(ISNUMBER(P71), P71 &gt; TODAY() + 5)), "Not Started", ""))))</f>
        <v/>
      </c>
      <c r="AD71" s="346"/>
    </row>
    <row r="72" spans="1:30" ht="19.05" customHeight="1">
      <c r="A72" s="353"/>
      <c r="B72" s="492"/>
      <c r="C72" s="493"/>
      <c r="D72" s="493"/>
      <c r="E72" s="494"/>
      <c r="F72" s="494"/>
      <c r="G72" s="494"/>
      <c r="H72" s="494"/>
      <c r="I72" s="494"/>
      <c r="J72" s="494"/>
      <c r="K72" s="494"/>
      <c r="L72" s="494"/>
      <c r="M72" s="343"/>
      <c r="N72" s="347"/>
      <c r="O72" s="348"/>
      <c r="P72" s="353"/>
      <c r="Q72" s="492"/>
      <c r="R72" s="493"/>
      <c r="S72" s="493"/>
      <c r="T72" s="494"/>
      <c r="U72" s="494"/>
      <c r="V72" s="494"/>
      <c r="W72" s="494"/>
      <c r="X72" s="494"/>
      <c r="Y72" s="494"/>
      <c r="Z72" s="494"/>
      <c r="AA72" s="494"/>
      <c r="AB72" s="343"/>
      <c r="AC72" s="347"/>
      <c r="AD72" s="348"/>
    </row>
    <row r="73" spans="1:30" ht="14.55" customHeight="1">
      <c r="A73" s="354"/>
      <c r="B73" s="355"/>
      <c r="C73" s="339"/>
      <c r="D73" s="339"/>
      <c r="E73" s="341"/>
      <c r="F73" s="341"/>
      <c r="G73" s="341"/>
      <c r="H73" s="341"/>
      <c r="I73" s="341"/>
      <c r="J73" s="341"/>
      <c r="K73" s="341"/>
      <c r="L73" s="341"/>
      <c r="M73" s="344"/>
      <c r="N73" s="349"/>
      <c r="O73" s="350"/>
      <c r="P73" s="354"/>
      <c r="Q73" s="355"/>
      <c r="R73" s="339"/>
      <c r="S73" s="339"/>
      <c r="T73" s="341"/>
      <c r="U73" s="341"/>
      <c r="V73" s="341"/>
      <c r="W73" s="341"/>
      <c r="X73" s="341"/>
      <c r="Y73" s="341"/>
      <c r="Z73" s="341"/>
      <c r="AA73" s="341"/>
      <c r="AB73" s="344"/>
      <c r="AC73" s="349"/>
      <c r="AD73" s="350"/>
    </row>
    <row r="74" spans="1:30" ht="14.55" customHeight="1">
      <c r="A74" s="351"/>
      <c r="B74" s="352"/>
      <c r="C74" s="338"/>
      <c r="D74" s="338"/>
      <c r="E74" s="340"/>
      <c r="F74" s="340"/>
      <c r="G74" s="340"/>
      <c r="H74" s="340"/>
      <c r="I74" s="340"/>
      <c r="J74" s="340"/>
      <c r="K74" s="340"/>
      <c r="L74" s="340"/>
      <c r="M74" s="342"/>
      <c r="N74" s="345" t="str">
        <f ca="1">IF(A74="", "",
 IF(AND(ISNUMBER(A74), A74 &gt;= TODAY(), A74 &lt;= TODAY() + 5), "In Progress",
 IF(AND(ISNUMBER(A74), A74 &lt; TODAY()), "Completed",
 IF(OR(A74="TBD", AND(ISNUMBER(A74), A74 &gt; TODAY() + 5)), "Not Started", ""))))</f>
        <v/>
      </c>
      <c r="O74" s="346"/>
      <c r="P74" s="351"/>
      <c r="Q74" s="352"/>
      <c r="R74" s="338"/>
      <c r="S74" s="338"/>
      <c r="T74" s="340"/>
      <c r="U74" s="340"/>
      <c r="V74" s="340"/>
      <c r="W74" s="340"/>
      <c r="X74" s="340"/>
      <c r="Y74" s="340"/>
      <c r="Z74" s="340"/>
      <c r="AA74" s="340"/>
      <c r="AB74" s="342"/>
      <c r="AC74" s="345" t="str">
        <f ca="1">IF(P74="", "",
 IF(AND(ISNUMBER(P74), P74 &gt;= TODAY(), P74 &lt;= TODAY() + 5), "In Progress",
 IF(AND(ISNUMBER(P74), P74 &lt; TODAY()), "Completed",
 IF(OR(P74="TBD", AND(ISNUMBER(P74), P74 &gt; TODAY() + 5)), "Not Started", ""))))</f>
        <v/>
      </c>
      <c r="AD74" s="346"/>
    </row>
    <row r="75" spans="1:30" ht="15" customHeight="1">
      <c r="A75" s="353"/>
      <c r="B75" s="492"/>
      <c r="C75" s="493"/>
      <c r="D75" s="493"/>
      <c r="E75" s="494"/>
      <c r="F75" s="494"/>
      <c r="G75" s="494"/>
      <c r="H75" s="494"/>
      <c r="I75" s="494"/>
      <c r="J75" s="494"/>
      <c r="K75" s="494"/>
      <c r="L75" s="494"/>
      <c r="M75" s="343"/>
      <c r="N75" s="347"/>
      <c r="O75" s="348"/>
      <c r="P75" s="353"/>
      <c r="Q75" s="492"/>
      <c r="R75" s="493"/>
      <c r="S75" s="493"/>
      <c r="T75" s="494"/>
      <c r="U75" s="494"/>
      <c r="V75" s="494"/>
      <c r="W75" s="494"/>
      <c r="X75" s="494"/>
      <c r="Y75" s="494"/>
      <c r="Z75" s="494"/>
      <c r="AA75" s="494"/>
      <c r="AB75" s="343"/>
      <c r="AC75" s="347"/>
      <c r="AD75" s="348"/>
    </row>
    <row r="76" spans="1:30" ht="19.05" customHeight="1">
      <c r="A76" s="354"/>
      <c r="B76" s="355"/>
      <c r="C76" s="339"/>
      <c r="D76" s="339"/>
      <c r="E76" s="341"/>
      <c r="F76" s="341"/>
      <c r="G76" s="341"/>
      <c r="H76" s="341"/>
      <c r="I76" s="341"/>
      <c r="J76" s="341"/>
      <c r="K76" s="341"/>
      <c r="L76" s="341"/>
      <c r="M76" s="344"/>
      <c r="N76" s="349"/>
      <c r="O76" s="350"/>
      <c r="P76" s="354"/>
      <c r="Q76" s="355"/>
      <c r="R76" s="339"/>
      <c r="S76" s="339"/>
      <c r="T76" s="341"/>
      <c r="U76" s="341"/>
      <c r="V76" s="341"/>
      <c r="W76" s="341"/>
      <c r="X76" s="341"/>
      <c r="Y76" s="341"/>
      <c r="Z76" s="341"/>
      <c r="AA76" s="341"/>
      <c r="AB76" s="344"/>
      <c r="AC76" s="349"/>
      <c r="AD76" s="350"/>
    </row>
    <row r="77" spans="1:30" ht="14.55" customHeight="1">
      <c r="A77" s="351"/>
      <c r="B77" s="352"/>
      <c r="C77" s="338"/>
      <c r="D77" s="338"/>
      <c r="E77" s="340"/>
      <c r="F77" s="340"/>
      <c r="G77" s="340"/>
      <c r="H77" s="340"/>
      <c r="I77" s="340"/>
      <c r="J77" s="340"/>
      <c r="K77" s="340"/>
      <c r="L77" s="340"/>
      <c r="M77" s="342"/>
      <c r="N77" s="345" t="str">
        <f ca="1">IF(A77="", "",
 IF(AND(ISNUMBER(A77), A77 &gt;= TODAY(), A77 &lt;= TODAY() + 5), "In Progress",
 IF(AND(ISNUMBER(A77), A77 &lt; TODAY()), "Completed",
 IF(OR(A77="TBD", AND(ISNUMBER(A77), A77 &gt; TODAY() + 5)), "Not Started", ""))))</f>
        <v/>
      </c>
      <c r="O77" s="346"/>
      <c r="P77" s="351"/>
      <c r="Q77" s="352"/>
      <c r="R77" s="338"/>
      <c r="S77" s="338"/>
      <c r="T77" s="340"/>
      <c r="U77" s="340"/>
      <c r="V77" s="340"/>
      <c r="W77" s="340"/>
      <c r="X77" s="340"/>
      <c r="Y77" s="340"/>
      <c r="Z77" s="340"/>
      <c r="AA77" s="340"/>
      <c r="AB77" s="342"/>
      <c r="AC77" s="345" t="str">
        <f ca="1">IF(P77="", "",
 IF(AND(ISNUMBER(P77), P77 &gt;= TODAY(), P77 &lt;= TODAY() + 5), "In Progress",
 IF(AND(ISNUMBER(P77), P77 &lt; TODAY()), "Completed",
 IF(OR(P77="TBD", AND(ISNUMBER(P77), P77 &gt; TODAY() + 5)), "Not Started", ""))))</f>
        <v/>
      </c>
      <c r="AD77" s="346"/>
    </row>
    <row r="78" spans="1:30" ht="14.55" customHeight="1">
      <c r="A78" s="353"/>
      <c r="B78" s="492"/>
      <c r="C78" s="493"/>
      <c r="D78" s="493"/>
      <c r="E78" s="494"/>
      <c r="F78" s="494"/>
      <c r="G78" s="494"/>
      <c r="H78" s="494"/>
      <c r="I78" s="494"/>
      <c r="J78" s="494"/>
      <c r="K78" s="494"/>
      <c r="L78" s="494"/>
      <c r="M78" s="343"/>
      <c r="N78" s="347"/>
      <c r="O78" s="348"/>
      <c r="P78" s="353"/>
      <c r="Q78" s="492"/>
      <c r="R78" s="493"/>
      <c r="S78" s="493"/>
      <c r="T78" s="494"/>
      <c r="U78" s="494"/>
      <c r="V78" s="494"/>
      <c r="W78" s="494"/>
      <c r="X78" s="494"/>
      <c r="Y78" s="494"/>
      <c r="Z78" s="494"/>
      <c r="AA78" s="494"/>
      <c r="AB78" s="343"/>
      <c r="AC78" s="347"/>
      <c r="AD78" s="348"/>
    </row>
    <row r="79" spans="1:30" ht="15" customHeight="1">
      <c r="A79" s="354"/>
      <c r="B79" s="355"/>
      <c r="C79" s="339"/>
      <c r="D79" s="339"/>
      <c r="E79" s="341"/>
      <c r="F79" s="341"/>
      <c r="G79" s="341"/>
      <c r="H79" s="341"/>
      <c r="I79" s="341"/>
      <c r="J79" s="341"/>
      <c r="K79" s="341"/>
      <c r="L79" s="341"/>
      <c r="M79" s="344"/>
      <c r="N79" s="349"/>
      <c r="O79" s="350"/>
      <c r="P79" s="354"/>
      <c r="Q79" s="355"/>
      <c r="R79" s="339"/>
      <c r="S79" s="339"/>
      <c r="T79" s="341"/>
      <c r="U79" s="341"/>
      <c r="V79" s="341"/>
      <c r="W79" s="341"/>
      <c r="X79" s="341"/>
      <c r="Y79" s="341"/>
      <c r="Z79" s="341"/>
      <c r="AA79" s="341"/>
      <c r="AB79" s="344"/>
      <c r="AC79" s="349"/>
      <c r="AD79" s="350"/>
    </row>
    <row r="80" spans="1:30" ht="19.05" customHeight="1">
      <c r="A80" s="351"/>
      <c r="B80" s="352"/>
      <c r="C80" s="338"/>
      <c r="D80" s="338"/>
      <c r="E80" s="340"/>
      <c r="F80" s="340"/>
      <c r="G80" s="340"/>
      <c r="H80" s="340"/>
      <c r="I80" s="340"/>
      <c r="J80" s="340"/>
      <c r="K80" s="340"/>
      <c r="L80" s="340"/>
      <c r="M80" s="342"/>
      <c r="N80" s="345" t="str">
        <f ca="1">IF(A80="", "",
 IF(AND(ISNUMBER(A80), A80 &gt;= TODAY(), A80 &lt;= TODAY() + 5), "In Progress",
 IF(AND(ISNUMBER(A80), A80 &lt; TODAY()), "Completed",
 IF(OR(A80="TBD", AND(ISNUMBER(A80), A80 &gt; TODAY() + 5)), "Not Started", ""))))</f>
        <v/>
      </c>
      <c r="O80" s="346"/>
      <c r="P80" s="351"/>
      <c r="Q80" s="352"/>
      <c r="R80" s="338"/>
      <c r="S80" s="338"/>
      <c r="T80" s="340"/>
      <c r="U80" s="340"/>
      <c r="V80" s="340"/>
      <c r="W80" s="340"/>
      <c r="X80" s="340"/>
      <c r="Y80" s="340"/>
      <c r="Z80" s="340"/>
      <c r="AA80" s="340"/>
      <c r="AB80" s="342"/>
      <c r="AC80" s="345" t="str">
        <f ca="1">IF(P80="", "",
 IF(AND(ISNUMBER(P80), P80 &gt;= TODAY(), P80 &lt;= TODAY() + 5), "In Progress",
 IF(AND(ISNUMBER(P80), P80 &lt; TODAY()), "Completed",
 IF(OR(P80="TBD", AND(ISNUMBER(P80), P80 &gt; TODAY() + 5)), "Not Started", ""))))</f>
        <v/>
      </c>
      <c r="AD80" s="346"/>
    </row>
    <row r="81" spans="1:30" ht="14.55" customHeight="1">
      <c r="A81" s="353"/>
      <c r="B81" s="492"/>
      <c r="C81" s="493"/>
      <c r="D81" s="493"/>
      <c r="E81" s="494"/>
      <c r="F81" s="494"/>
      <c r="G81" s="494"/>
      <c r="H81" s="494"/>
      <c r="I81" s="494"/>
      <c r="J81" s="494"/>
      <c r="K81" s="494"/>
      <c r="L81" s="494"/>
      <c r="M81" s="343"/>
      <c r="N81" s="347"/>
      <c r="O81" s="348"/>
      <c r="P81" s="353"/>
      <c r="Q81" s="492"/>
      <c r="R81" s="493"/>
      <c r="S81" s="493"/>
      <c r="T81" s="494"/>
      <c r="U81" s="494"/>
      <c r="V81" s="494"/>
      <c r="W81" s="494"/>
      <c r="X81" s="494"/>
      <c r="Y81" s="494"/>
      <c r="Z81" s="494"/>
      <c r="AA81" s="494"/>
      <c r="AB81" s="343"/>
      <c r="AC81" s="347"/>
      <c r="AD81" s="348"/>
    </row>
    <row r="82" spans="1:30" ht="14.55" customHeight="1">
      <c r="A82" s="354"/>
      <c r="B82" s="355"/>
      <c r="C82" s="339"/>
      <c r="D82" s="339"/>
      <c r="E82" s="341"/>
      <c r="F82" s="341"/>
      <c r="G82" s="341"/>
      <c r="H82" s="341"/>
      <c r="I82" s="341"/>
      <c r="J82" s="341"/>
      <c r="K82" s="341"/>
      <c r="L82" s="341"/>
      <c r="M82" s="344"/>
      <c r="N82" s="349"/>
      <c r="O82" s="350"/>
      <c r="P82" s="354"/>
      <c r="Q82" s="355"/>
      <c r="R82" s="339"/>
      <c r="S82" s="339"/>
      <c r="T82" s="341"/>
      <c r="U82" s="341"/>
      <c r="V82" s="341"/>
      <c r="W82" s="341"/>
      <c r="X82" s="341"/>
      <c r="Y82" s="341"/>
      <c r="Z82" s="341"/>
      <c r="AA82" s="341"/>
      <c r="AB82" s="344"/>
      <c r="AC82" s="349"/>
      <c r="AD82" s="350"/>
    </row>
    <row r="83" spans="1:30" ht="15" customHeight="1">
      <c r="A83" s="351"/>
      <c r="B83" s="352"/>
      <c r="C83" s="338"/>
      <c r="D83" s="338"/>
      <c r="E83" s="340"/>
      <c r="F83" s="340"/>
      <c r="G83" s="340"/>
      <c r="H83" s="340"/>
      <c r="I83" s="340"/>
      <c r="J83" s="340"/>
      <c r="K83" s="340"/>
      <c r="L83" s="340"/>
      <c r="M83" s="342"/>
      <c r="N83" s="345" t="str">
        <f ca="1">IF(A83="", "",
 IF(AND(ISNUMBER(A83), A83 &gt;= TODAY(), A83 &lt;= TODAY() + 5), "In Progress",
 IF(AND(ISNUMBER(A83), A83 &lt; TODAY()), "Completed",
 IF(OR(A83="TBD", AND(ISNUMBER(A83), A83 &gt; TODAY() + 5)), "Not Started", ""))))</f>
        <v/>
      </c>
      <c r="O83" s="346"/>
      <c r="P83" s="351"/>
      <c r="Q83" s="352"/>
      <c r="R83" s="338"/>
      <c r="S83" s="338"/>
      <c r="T83" s="340"/>
      <c r="U83" s="340"/>
      <c r="V83" s="340"/>
      <c r="W83" s="340"/>
      <c r="X83" s="340"/>
      <c r="Y83" s="340"/>
      <c r="Z83" s="340"/>
      <c r="AA83" s="340"/>
      <c r="AB83" s="342"/>
      <c r="AC83" s="345" t="str">
        <f ca="1">IF(P83="", "",
 IF(AND(ISNUMBER(P83), P83 &gt;= TODAY(), P83 &lt;= TODAY() + 5), "In Progress",
 IF(AND(ISNUMBER(P83), P83 &lt; TODAY()), "Completed",
 IF(OR(P83="TBD", AND(ISNUMBER(P83), P83 &gt; TODAY() + 5)), "Not Started", ""))))</f>
        <v/>
      </c>
      <c r="AD83" s="346"/>
    </row>
    <row r="84" spans="1:30" ht="14.55" customHeight="1">
      <c r="A84" s="353"/>
      <c r="B84" s="492"/>
      <c r="C84" s="493"/>
      <c r="D84" s="493"/>
      <c r="E84" s="494"/>
      <c r="F84" s="494"/>
      <c r="G84" s="494"/>
      <c r="H84" s="494"/>
      <c r="I84" s="494"/>
      <c r="J84" s="494"/>
      <c r="K84" s="494"/>
      <c r="L84" s="494"/>
      <c r="M84" s="343"/>
      <c r="N84" s="347"/>
      <c r="O84" s="348"/>
      <c r="P84" s="353"/>
      <c r="Q84" s="492"/>
      <c r="R84" s="493"/>
      <c r="S84" s="493"/>
      <c r="T84" s="494"/>
      <c r="U84" s="494"/>
      <c r="V84" s="494"/>
      <c r="W84" s="494"/>
      <c r="X84" s="494"/>
      <c r="Y84" s="494"/>
      <c r="Z84" s="494"/>
      <c r="AA84" s="494"/>
      <c r="AB84" s="343"/>
      <c r="AC84" s="347"/>
      <c r="AD84" s="348"/>
    </row>
    <row r="85" spans="1:30" ht="14.55" customHeight="1">
      <c r="A85" s="354"/>
      <c r="B85" s="355"/>
      <c r="C85" s="339"/>
      <c r="D85" s="339"/>
      <c r="E85" s="341"/>
      <c r="F85" s="341"/>
      <c r="G85" s="341"/>
      <c r="H85" s="341"/>
      <c r="I85" s="341"/>
      <c r="J85" s="341"/>
      <c r="K85" s="341"/>
      <c r="L85" s="341"/>
      <c r="M85" s="344"/>
      <c r="N85" s="349"/>
      <c r="O85" s="350"/>
      <c r="P85" s="354"/>
      <c r="Q85" s="355"/>
      <c r="R85" s="339"/>
      <c r="S85" s="339"/>
      <c r="T85" s="341"/>
      <c r="U85" s="341"/>
      <c r="V85" s="341"/>
      <c r="W85" s="341"/>
      <c r="X85" s="341"/>
      <c r="Y85" s="341"/>
      <c r="Z85" s="341"/>
      <c r="AA85" s="341"/>
      <c r="AB85" s="344"/>
      <c r="AC85" s="349"/>
      <c r="AD85" s="350"/>
    </row>
    <row r="86" spans="1:30" ht="14.55" customHeight="1">
      <c r="A86" s="351"/>
      <c r="B86" s="352"/>
      <c r="C86" s="338"/>
      <c r="D86" s="338"/>
      <c r="E86" s="340"/>
      <c r="F86" s="340"/>
      <c r="G86" s="340"/>
      <c r="H86" s="340"/>
      <c r="I86" s="340"/>
      <c r="J86" s="340"/>
      <c r="K86" s="340"/>
      <c r="L86" s="340"/>
      <c r="M86" s="342"/>
      <c r="N86" s="345" t="str">
        <f ca="1">IF(A86="", "",
 IF(AND(ISNUMBER(A86), A86 &gt;= TODAY(), A86 &lt;= TODAY() + 5), "In Progress",
 IF(AND(ISNUMBER(A86), A86 &lt; TODAY()), "Completed",
 IF(OR(A86="TBD", AND(ISNUMBER(A86), A86 &gt; TODAY() + 5)), "Not Started", ""))))</f>
        <v/>
      </c>
      <c r="O86" s="346"/>
      <c r="P86" s="351"/>
      <c r="Q86" s="352"/>
      <c r="R86" s="338"/>
      <c r="S86" s="338"/>
      <c r="T86" s="340"/>
      <c r="U86" s="340"/>
      <c r="V86" s="340"/>
      <c r="W86" s="340"/>
      <c r="X86" s="340"/>
      <c r="Y86" s="340"/>
      <c r="Z86" s="340"/>
      <c r="AA86" s="340"/>
      <c r="AB86" s="342"/>
      <c r="AC86" s="345" t="str">
        <f ca="1">IF(P86="", "",
 IF(AND(ISNUMBER(P86), P86 &gt;= TODAY(), P86 &lt;= TODAY() + 5), "In Progress",
 IF(AND(ISNUMBER(P86), P86 &lt; TODAY()), "Completed",
 IF(OR(P86="TBD", AND(ISNUMBER(P86), P86 &gt; TODAY() + 5)), "Not Started", ""))))</f>
        <v/>
      </c>
      <c r="AD86" s="346"/>
    </row>
    <row r="87" spans="1:30" ht="15" customHeight="1">
      <c r="A87" s="353"/>
      <c r="B87" s="492"/>
      <c r="C87" s="493"/>
      <c r="D87" s="493"/>
      <c r="E87" s="494"/>
      <c r="F87" s="494"/>
      <c r="G87" s="494"/>
      <c r="H87" s="494"/>
      <c r="I87" s="494"/>
      <c r="J87" s="494"/>
      <c r="K87" s="494"/>
      <c r="L87" s="494"/>
      <c r="M87" s="343"/>
      <c r="N87" s="347"/>
      <c r="O87" s="348"/>
      <c r="P87" s="353"/>
      <c r="Q87" s="492"/>
      <c r="R87" s="493"/>
      <c r="S87" s="493"/>
      <c r="T87" s="494"/>
      <c r="U87" s="494"/>
      <c r="V87" s="494"/>
      <c r="W87" s="494"/>
      <c r="X87" s="494"/>
      <c r="Y87" s="494"/>
      <c r="Z87" s="494"/>
      <c r="AA87" s="494"/>
      <c r="AB87" s="343"/>
      <c r="AC87" s="347"/>
      <c r="AD87" s="348"/>
    </row>
    <row r="88" spans="1:30" ht="14.55" customHeight="1">
      <c r="A88" s="354"/>
      <c r="B88" s="355"/>
      <c r="C88" s="339"/>
      <c r="D88" s="339"/>
      <c r="E88" s="341"/>
      <c r="F88" s="341"/>
      <c r="G88" s="341"/>
      <c r="H88" s="341"/>
      <c r="I88" s="341"/>
      <c r="J88" s="341"/>
      <c r="K88" s="341"/>
      <c r="L88" s="341"/>
      <c r="M88" s="344"/>
      <c r="N88" s="349"/>
      <c r="O88" s="350"/>
      <c r="P88" s="354"/>
      <c r="Q88" s="355"/>
      <c r="R88" s="339"/>
      <c r="S88" s="339"/>
      <c r="T88" s="341"/>
      <c r="U88" s="341"/>
      <c r="V88" s="341"/>
      <c r="W88" s="341"/>
      <c r="X88" s="341"/>
      <c r="Y88" s="341"/>
      <c r="Z88" s="341"/>
      <c r="AA88" s="341"/>
      <c r="AB88" s="344"/>
      <c r="AC88" s="349"/>
      <c r="AD88" s="350"/>
    </row>
    <row r="89" spans="1:30" ht="14.55" customHeight="1">
      <c r="A89" s="351"/>
      <c r="B89" s="352"/>
      <c r="C89" s="338"/>
      <c r="D89" s="338"/>
      <c r="E89" s="340"/>
      <c r="F89" s="340"/>
      <c r="G89" s="340"/>
      <c r="H89" s="340"/>
      <c r="I89" s="340"/>
      <c r="J89" s="340"/>
      <c r="K89" s="340"/>
      <c r="L89" s="340"/>
      <c r="M89" s="342"/>
      <c r="N89" s="345" t="str">
        <f ca="1">IF(A89="", "",
 IF(AND(ISNUMBER(A89), A89 &gt;= TODAY(), A89 &lt;= TODAY() + 5), "In Progress",
 IF(AND(ISNUMBER(A89), A89 &lt; TODAY()), "Completed",
 IF(OR(A89="TBD", AND(ISNUMBER(A89), A89 &gt; TODAY() + 5)), "Not Started", ""))))</f>
        <v/>
      </c>
      <c r="O89" s="346"/>
      <c r="P89" s="351"/>
      <c r="Q89" s="352"/>
      <c r="R89" s="338"/>
      <c r="S89" s="338"/>
      <c r="T89" s="340"/>
      <c r="U89" s="340"/>
      <c r="V89" s="340"/>
      <c r="W89" s="340"/>
      <c r="X89" s="340"/>
      <c r="Y89" s="340"/>
      <c r="Z89" s="340"/>
      <c r="AA89" s="340"/>
      <c r="AB89" s="342"/>
      <c r="AC89" s="345" t="str">
        <f ca="1">IF(P89="", "",
 IF(AND(ISNUMBER(P89), P89 &gt;= TODAY(), P89 &lt;= TODAY() + 5), "In Progress",
 IF(AND(ISNUMBER(P89), P89 &lt; TODAY()), "Completed",
 IF(OR(P89="TBD", AND(ISNUMBER(P89), P89 &gt; TODAY() + 5)), "Not Started", ""))))</f>
        <v/>
      </c>
      <c r="AD89" s="346"/>
    </row>
    <row r="90" spans="1:30" ht="14.55" customHeight="1">
      <c r="A90" s="353"/>
      <c r="B90" s="492"/>
      <c r="C90" s="493"/>
      <c r="D90" s="493"/>
      <c r="E90" s="494"/>
      <c r="F90" s="494"/>
      <c r="G90" s="494"/>
      <c r="H90" s="494"/>
      <c r="I90" s="494"/>
      <c r="J90" s="494"/>
      <c r="K90" s="494"/>
      <c r="L90" s="494"/>
      <c r="M90" s="343"/>
      <c r="N90" s="347"/>
      <c r="O90" s="348"/>
      <c r="P90" s="353"/>
      <c r="Q90" s="492"/>
      <c r="R90" s="493"/>
      <c r="S90" s="493"/>
      <c r="T90" s="494"/>
      <c r="U90" s="494"/>
      <c r="V90" s="494"/>
      <c r="W90" s="494"/>
      <c r="X90" s="494"/>
      <c r="Y90" s="494"/>
      <c r="Z90" s="494"/>
      <c r="AA90" s="494"/>
      <c r="AB90" s="343"/>
      <c r="AC90" s="347"/>
      <c r="AD90" s="348"/>
    </row>
    <row r="91" spans="1:30" ht="15" customHeight="1">
      <c r="A91" s="354"/>
      <c r="B91" s="355"/>
      <c r="C91" s="339"/>
      <c r="D91" s="339"/>
      <c r="E91" s="341"/>
      <c r="F91" s="341"/>
      <c r="G91" s="341"/>
      <c r="H91" s="341"/>
      <c r="I91" s="341"/>
      <c r="J91" s="341"/>
      <c r="K91" s="341"/>
      <c r="L91" s="341"/>
      <c r="M91" s="344"/>
      <c r="N91" s="349"/>
      <c r="O91" s="350"/>
      <c r="P91" s="354"/>
      <c r="Q91" s="355"/>
      <c r="R91" s="339"/>
      <c r="S91" s="339"/>
      <c r="T91" s="341"/>
      <c r="U91" s="341"/>
      <c r="V91" s="341"/>
      <c r="W91" s="341"/>
      <c r="X91" s="341"/>
      <c r="Y91" s="341"/>
      <c r="Z91" s="341"/>
      <c r="AA91" s="341"/>
      <c r="AB91" s="344"/>
      <c r="AC91" s="349"/>
      <c r="AD91" s="350"/>
    </row>
    <row r="92" spans="1:30" ht="14.55" customHeight="1">
      <c r="A92" s="351"/>
      <c r="B92" s="352"/>
      <c r="C92" s="338"/>
      <c r="D92" s="338"/>
      <c r="E92" s="340"/>
      <c r="F92" s="340"/>
      <c r="G92" s="340"/>
      <c r="H92" s="340"/>
      <c r="I92" s="340"/>
      <c r="J92" s="340"/>
      <c r="K92" s="340"/>
      <c r="L92" s="340"/>
      <c r="M92" s="342"/>
      <c r="N92" s="345" t="str">
        <f ca="1">IF(A92="", "",
 IF(AND(ISNUMBER(A92), A92 &gt;= TODAY(), A92 &lt;= TODAY() + 5), "In Progress",
 IF(AND(ISNUMBER(A92), A92 &lt; TODAY()), "Completed",
 IF(OR(A92="TBD", AND(ISNUMBER(A92), A92 &gt; TODAY() + 5)), "Not Started", ""))))</f>
        <v/>
      </c>
      <c r="O92" s="346"/>
      <c r="P92" s="351"/>
      <c r="Q92" s="352"/>
      <c r="R92" s="338"/>
      <c r="S92" s="338"/>
      <c r="T92" s="340"/>
      <c r="U92" s="340"/>
      <c r="V92" s="340"/>
      <c r="W92" s="340"/>
      <c r="X92" s="340"/>
      <c r="Y92" s="340"/>
      <c r="Z92" s="340"/>
      <c r="AA92" s="340"/>
      <c r="AB92" s="342"/>
      <c r="AC92" s="345" t="str">
        <f ca="1">IF(P92="", "",
 IF(AND(ISNUMBER(P92), P92 &gt;= TODAY(), P92 &lt;= TODAY() + 5), "In Progress",
 IF(AND(ISNUMBER(P92), P92 &lt; TODAY()), "Completed",
 IF(OR(P92="TBD", AND(ISNUMBER(P92), P92 &gt; TODAY() + 5)), "Not Started", ""))))</f>
        <v/>
      </c>
      <c r="AD92" s="346"/>
    </row>
    <row r="93" spans="1:30" ht="14.55" customHeight="1">
      <c r="A93" s="353"/>
      <c r="B93" s="492"/>
      <c r="C93" s="493"/>
      <c r="D93" s="493"/>
      <c r="E93" s="494"/>
      <c r="F93" s="494"/>
      <c r="G93" s="494"/>
      <c r="H93" s="494"/>
      <c r="I93" s="494"/>
      <c r="J93" s="494"/>
      <c r="K93" s="494"/>
      <c r="L93" s="494"/>
      <c r="M93" s="343"/>
      <c r="N93" s="347"/>
      <c r="O93" s="348"/>
      <c r="P93" s="353"/>
      <c r="Q93" s="492"/>
      <c r="R93" s="493"/>
      <c r="S93" s="493"/>
      <c r="T93" s="494"/>
      <c r="U93" s="494"/>
      <c r="V93" s="494"/>
      <c r="W93" s="494"/>
      <c r="X93" s="494"/>
      <c r="Y93" s="494"/>
      <c r="Z93" s="494"/>
      <c r="AA93" s="494"/>
      <c r="AB93" s="343"/>
      <c r="AC93" s="347"/>
      <c r="AD93" s="348"/>
    </row>
    <row r="94" spans="1:30" ht="14.55" customHeight="1">
      <c r="A94" s="354"/>
      <c r="B94" s="355"/>
      <c r="C94" s="339"/>
      <c r="D94" s="339"/>
      <c r="E94" s="341"/>
      <c r="F94" s="341"/>
      <c r="G94" s="341"/>
      <c r="H94" s="341"/>
      <c r="I94" s="341"/>
      <c r="J94" s="341"/>
      <c r="K94" s="341"/>
      <c r="L94" s="341"/>
      <c r="M94" s="344"/>
      <c r="N94" s="349"/>
      <c r="O94" s="350"/>
      <c r="P94" s="354"/>
      <c r="Q94" s="355"/>
      <c r="R94" s="339"/>
      <c r="S94" s="339"/>
      <c r="T94" s="341"/>
      <c r="U94" s="341"/>
      <c r="V94" s="341"/>
      <c r="W94" s="341"/>
      <c r="X94" s="341"/>
      <c r="Y94" s="341"/>
      <c r="Z94" s="341"/>
      <c r="AA94" s="341"/>
      <c r="AB94" s="344"/>
      <c r="AC94" s="349"/>
      <c r="AD94" s="350"/>
    </row>
    <row r="95" spans="1:30" ht="15" customHeight="1">
      <c r="A95" s="351"/>
      <c r="B95" s="352"/>
      <c r="C95" s="338"/>
      <c r="D95" s="338"/>
      <c r="E95" s="340"/>
      <c r="F95" s="340"/>
      <c r="G95" s="340"/>
      <c r="H95" s="340"/>
      <c r="I95" s="340"/>
      <c r="J95" s="340"/>
      <c r="K95" s="340"/>
      <c r="L95" s="340"/>
      <c r="M95" s="342"/>
      <c r="N95" s="345" t="str">
        <f ca="1">IF(A95="", "",
 IF(AND(ISNUMBER(A95), A95 &gt;= TODAY(), A95 &lt;= TODAY() + 5), "In Progress",
 IF(AND(ISNUMBER(A95), A95 &lt; TODAY()), "Completed",
 IF(OR(A95="TBD", AND(ISNUMBER(A95), A95 &gt; TODAY() + 5)), "Not Started", ""))))</f>
        <v/>
      </c>
      <c r="O95" s="346"/>
      <c r="P95" s="351"/>
      <c r="Q95" s="352"/>
      <c r="R95" s="338"/>
      <c r="S95" s="338"/>
      <c r="T95" s="340"/>
      <c r="U95" s="340"/>
      <c r="V95" s="340"/>
      <c r="W95" s="340"/>
      <c r="X95" s="340"/>
      <c r="Y95" s="340"/>
      <c r="Z95" s="340"/>
      <c r="AA95" s="340"/>
      <c r="AB95" s="342"/>
      <c r="AC95" s="345" t="str">
        <f ca="1">IF(P95="", "",
 IF(AND(ISNUMBER(P95), P95 &gt;= TODAY(), P95 &lt;= TODAY() + 5), "In Progress",
 IF(AND(ISNUMBER(P95), P95 &lt; TODAY()), "Completed",
 IF(OR(P95="TBD", AND(ISNUMBER(P95), P95 &gt; TODAY() + 5)), "Not Started", ""))))</f>
        <v/>
      </c>
      <c r="AD95" s="346"/>
    </row>
    <row r="96" spans="1:30" ht="14.55" customHeight="1">
      <c r="A96" s="353"/>
      <c r="B96" s="492"/>
      <c r="C96" s="493"/>
      <c r="D96" s="493"/>
      <c r="E96" s="494"/>
      <c r="F96" s="494"/>
      <c r="G96" s="494"/>
      <c r="H96" s="494"/>
      <c r="I96" s="494"/>
      <c r="J96" s="494"/>
      <c r="K96" s="494"/>
      <c r="L96" s="494"/>
      <c r="M96" s="343"/>
      <c r="N96" s="347"/>
      <c r="O96" s="348"/>
      <c r="P96" s="353"/>
      <c r="Q96" s="492"/>
      <c r="R96" s="493"/>
      <c r="S96" s="493"/>
      <c r="T96" s="494"/>
      <c r="U96" s="494"/>
      <c r="V96" s="494"/>
      <c r="W96" s="494"/>
      <c r="X96" s="494"/>
      <c r="Y96" s="494"/>
      <c r="Z96" s="494"/>
      <c r="AA96" s="494"/>
      <c r="AB96" s="343"/>
      <c r="AC96" s="347"/>
      <c r="AD96" s="348"/>
    </row>
    <row r="97" spans="1:30" ht="14.55" customHeight="1">
      <c r="A97" s="354"/>
      <c r="B97" s="355"/>
      <c r="C97" s="339"/>
      <c r="D97" s="339"/>
      <c r="E97" s="341"/>
      <c r="F97" s="341"/>
      <c r="G97" s="341"/>
      <c r="H97" s="341"/>
      <c r="I97" s="341"/>
      <c r="J97" s="341"/>
      <c r="K97" s="341"/>
      <c r="L97" s="341"/>
      <c r="M97" s="344"/>
      <c r="N97" s="349"/>
      <c r="O97" s="350"/>
      <c r="P97" s="354"/>
      <c r="Q97" s="355"/>
      <c r="R97" s="339"/>
      <c r="S97" s="339"/>
      <c r="T97" s="341"/>
      <c r="U97" s="341"/>
      <c r="V97" s="341"/>
      <c r="W97" s="341"/>
      <c r="X97" s="341"/>
      <c r="Y97" s="341"/>
      <c r="Z97" s="341"/>
      <c r="AA97" s="341"/>
      <c r="AB97" s="344"/>
      <c r="AC97" s="349"/>
      <c r="AD97" s="350"/>
    </row>
    <row r="98" spans="1:30" ht="14.55" customHeight="1">
      <c r="A98" s="351"/>
      <c r="B98" s="352"/>
      <c r="C98" s="338"/>
      <c r="D98" s="338"/>
      <c r="E98" s="340"/>
      <c r="F98" s="340"/>
      <c r="G98" s="340"/>
      <c r="H98" s="340"/>
      <c r="I98" s="340"/>
      <c r="J98" s="340"/>
      <c r="K98" s="340"/>
      <c r="L98" s="340"/>
      <c r="M98" s="342"/>
      <c r="N98" s="345" t="str">
        <f ca="1">IF(A98="", "",
 IF(AND(ISNUMBER(A98), A98 &gt;= TODAY(), A98 &lt;= TODAY() + 5), "In Progress",
 IF(AND(ISNUMBER(A98), A98 &lt; TODAY()), "Completed",
 IF(OR(A98="TBD", AND(ISNUMBER(A98), A98 &gt; TODAY() + 5)), "Not Started", ""))))</f>
        <v/>
      </c>
      <c r="O98" s="346"/>
      <c r="P98" s="351"/>
      <c r="Q98" s="352"/>
      <c r="R98" s="338"/>
      <c r="S98" s="338"/>
      <c r="T98" s="340"/>
      <c r="U98" s="340"/>
      <c r="V98" s="340"/>
      <c r="W98" s="340"/>
      <c r="X98" s="340"/>
      <c r="Y98" s="340"/>
      <c r="Z98" s="340"/>
      <c r="AA98" s="340"/>
      <c r="AB98" s="342"/>
      <c r="AC98" s="345" t="str">
        <f ca="1">IF(P98="", "",
 IF(AND(ISNUMBER(P98), P98 &gt;= TODAY(), P98 &lt;= TODAY() + 5), "In Progress",
 IF(AND(ISNUMBER(P98), P98 &lt; TODAY()), "Completed",
 IF(OR(P98="TBD", AND(ISNUMBER(P98), P98 &gt; TODAY() + 5)), "Not Started", ""))))</f>
        <v/>
      </c>
      <c r="AD98" s="346"/>
    </row>
    <row r="99" spans="1:30" ht="15" customHeight="1">
      <c r="A99" s="353"/>
      <c r="B99" s="492"/>
      <c r="C99" s="493"/>
      <c r="D99" s="493"/>
      <c r="E99" s="494"/>
      <c r="F99" s="494"/>
      <c r="G99" s="494"/>
      <c r="H99" s="494"/>
      <c r="I99" s="494"/>
      <c r="J99" s="494"/>
      <c r="K99" s="494"/>
      <c r="L99" s="494"/>
      <c r="M99" s="343"/>
      <c r="N99" s="347"/>
      <c r="O99" s="348"/>
      <c r="P99" s="353"/>
      <c r="Q99" s="492"/>
      <c r="R99" s="493"/>
      <c r="S99" s="493"/>
      <c r="T99" s="494"/>
      <c r="U99" s="494"/>
      <c r="V99" s="494"/>
      <c r="W99" s="494"/>
      <c r="X99" s="494"/>
      <c r="Y99" s="494"/>
      <c r="Z99" s="494"/>
      <c r="AA99" s="494"/>
      <c r="AB99" s="343"/>
      <c r="AC99" s="347"/>
      <c r="AD99" s="348"/>
    </row>
    <row r="100" spans="1:30" ht="14.55" customHeight="1">
      <c r="A100" s="354"/>
      <c r="B100" s="355"/>
      <c r="C100" s="339"/>
      <c r="D100" s="339"/>
      <c r="E100" s="341"/>
      <c r="F100" s="341"/>
      <c r="G100" s="341"/>
      <c r="H100" s="341"/>
      <c r="I100" s="341"/>
      <c r="J100" s="341"/>
      <c r="K100" s="341"/>
      <c r="L100" s="341"/>
      <c r="M100" s="344"/>
      <c r="N100" s="349"/>
      <c r="O100" s="350"/>
      <c r="P100" s="354"/>
      <c r="Q100" s="355"/>
      <c r="R100" s="339"/>
      <c r="S100" s="339"/>
      <c r="T100" s="341"/>
      <c r="U100" s="341"/>
      <c r="V100" s="341"/>
      <c r="W100" s="341"/>
      <c r="X100" s="341"/>
      <c r="Y100" s="341"/>
      <c r="Z100" s="341"/>
      <c r="AA100" s="341"/>
      <c r="AB100" s="344"/>
      <c r="AC100" s="349"/>
      <c r="AD100" s="350"/>
    </row>
    <row r="101" spans="1:30" ht="14.55" customHeight="1">
      <c r="A101" s="351"/>
      <c r="B101" s="352"/>
      <c r="C101" s="338"/>
      <c r="D101" s="338"/>
      <c r="E101" s="340"/>
      <c r="F101" s="340"/>
      <c r="G101" s="340"/>
      <c r="H101" s="340"/>
      <c r="I101" s="340"/>
      <c r="J101" s="340"/>
      <c r="K101" s="340"/>
      <c r="L101" s="340"/>
      <c r="M101" s="342"/>
      <c r="N101" s="345" t="str">
        <f ca="1">IF(A101="", "",
 IF(AND(ISNUMBER(A101), A101 &gt;= TODAY(), A101 &lt;= TODAY() + 5), "In Progress",
 IF(AND(ISNUMBER(A101), A101 &lt; TODAY()), "Completed",
 IF(OR(A101="TBD", AND(ISNUMBER(A101), A101 &gt; TODAY() + 5)), "Not Started", ""))))</f>
        <v/>
      </c>
      <c r="O101" s="346"/>
      <c r="P101" s="351"/>
      <c r="Q101" s="352"/>
      <c r="R101" s="338"/>
      <c r="S101" s="338"/>
      <c r="T101" s="340"/>
      <c r="U101" s="340"/>
      <c r="V101" s="340"/>
      <c r="W101" s="340"/>
      <c r="X101" s="340"/>
      <c r="Y101" s="340"/>
      <c r="Z101" s="340"/>
      <c r="AA101" s="340"/>
      <c r="AB101" s="342"/>
      <c r="AC101" s="345" t="str">
        <f ca="1">IF(P101="", "",
 IF(AND(ISNUMBER(P101), P101 &gt;= TODAY(), P101 &lt;= TODAY() + 5), "In Progress",
 IF(AND(ISNUMBER(P101), P101 &lt; TODAY()), "Completed",
 IF(OR(P101="TBD", AND(ISNUMBER(P101), P101 &gt; TODAY() + 5)), "Not Started", ""))))</f>
        <v/>
      </c>
      <c r="AD101" s="346"/>
    </row>
    <row r="102" spans="1:30" ht="14.55" customHeight="1">
      <c r="A102" s="353"/>
      <c r="B102" s="492"/>
      <c r="C102" s="493"/>
      <c r="D102" s="493"/>
      <c r="E102" s="494"/>
      <c r="F102" s="494"/>
      <c r="G102" s="494"/>
      <c r="H102" s="494"/>
      <c r="I102" s="494"/>
      <c r="J102" s="494"/>
      <c r="K102" s="494"/>
      <c r="L102" s="494"/>
      <c r="M102" s="343"/>
      <c r="N102" s="347"/>
      <c r="O102" s="348"/>
      <c r="P102" s="353"/>
      <c r="Q102" s="492"/>
      <c r="R102" s="493"/>
      <c r="S102" s="493"/>
      <c r="T102" s="494"/>
      <c r="U102" s="494"/>
      <c r="V102" s="494"/>
      <c r="W102" s="494"/>
      <c r="X102" s="494"/>
      <c r="Y102" s="494"/>
      <c r="Z102" s="494"/>
      <c r="AA102" s="494"/>
      <c r="AB102" s="343"/>
      <c r="AC102" s="347"/>
      <c r="AD102" s="348"/>
    </row>
    <row r="103" spans="1:30" ht="15" customHeight="1">
      <c r="A103" s="354"/>
      <c r="B103" s="355"/>
      <c r="C103" s="339"/>
      <c r="D103" s="339"/>
      <c r="E103" s="341"/>
      <c r="F103" s="341"/>
      <c r="G103" s="341"/>
      <c r="H103" s="341"/>
      <c r="I103" s="341"/>
      <c r="J103" s="341"/>
      <c r="K103" s="341"/>
      <c r="L103" s="341"/>
      <c r="M103" s="344"/>
      <c r="N103" s="349"/>
      <c r="O103" s="350"/>
      <c r="P103" s="354"/>
      <c r="Q103" s="355"/>
      <c r="R103" s="339"/>
      <c r="S103" s="339"/>
      <c r="T103" s="341"/>
      <c r="U103" s="341"/>
      <c r="V103" s="341"/>
      <c r="W103" s="341"/>
      <c r="X103" s="341"/>
      <c r="Y103" s="341"/>
      <c r="Z103" s="341"/>
      <c r="AA103" s="341"/>
      <c r="AB103" s="344"/>
      <c r="AC103" s="349"/>
      <c r="AD103" s="350"/>
    </row>
    <row r="104" spans="1:30" ht="14.55" customHeight="1">
      <c r="A104" s="351"/>
      <c r="B104" s="352"/>
      <c r="C104" s="338"/>
      <c r="D104" s="338"/>
      <c r="E104" s="340"/>
      <c r="F104" s="340"/>
      <c r="G104" s="340"/>
      <c r="H104" s="340"/>
      <c r="I104" s="340"/>
      <c r="J104" s="340"/>
      <c r="K104" s="340"/>
      <c r="L104" s="340"/>
      <c r="M104" s="342"/>
      <c r="N104" s="345" t="str">
        <f ca="1">IF(A104="", "",
 IF(AND(ISNUMBER(A104), A104 &gt;= TODAY(), A104 &lt;= TODAY() + 5), "In Progress",
 IF(AND(ISNUMBER(A104), A104 &lt; TODAY()), "Completed",
 IF(OR(A104="TBD", AND(ISNUMBER(A104), A104 &gt; TODAY() + 5)), "Not Started", ""))))</f>
        <v/>
      </c>
      <c r="O104" s="346"/>
      <c r="P104" s="351"/>
      <c r="Q104" s="352"/>
      <c r="R104" s="338"/>
      <c r="S104" s="338"/>
      <c r="T104" s="340"/>
      <c r="U104" s="340"/>
      <c r="V104" s="340"/>
      <c r="W104" s="340"/>
      <c r="X104" s="340"/>
      <c r="Y104" s="340"/>
      <c r="Z104" s="340"/>
      <c r="AA104" s="340"/>
      <c r="AB104" s="342"/>
      <c r="AC104" s="345" t="str">
        <f ca="1">IF(P104="", "",
 IF(AND(ISNUMBER(P104), P104 &gt;= TODAY(), P104 &lt;= TODAY() + 5), "In Progress",
 IF(AND(ISNUMBER(P104), P104 &lt; TODAY()), "Completed",
 IF(OR(P104="TBD", AND(ISNUMBER(P104), P104 &gt; TODAY() + 5)), "Not Started", ""))))</f>
        <v/>
      </c>
      <c r="AD104" s="346"/>
    </row>
    <row r="105" spans="1:30" ht="14.55" customHeight="1">
      <c r="A105" s="353"/>
      <c r="B105" s="492"/>
      <c r="C105" s="493"/>
      <c r="D105" s="493"/>
      <c r="E105" s="494"/>
      <c r="F105" s="494"/>
      <c r="G105" s="494"/>
      <c r="H105" s="494"/>
      <c r="I105" s="494"/>
      <c r="J105" s="494"/>
      <c r="K105" s="494"/>
      <c r="L105" s="494"/>
      <c r="M105" s="343"/>
      <c r="N105" s="347"/>
      <c r="O105" s="348"/>
      <c r="P105" s="353"/>
      <c r="Q105" s="492"/>
      <c r="R105" s="493"/>
      <c r="S105" s="493"/>
      <c r="T105" s="494"/>
      <c r="U105" s="494"/>
      <c r="V105" s="494"/>
      <c r="W105" s="494"/>
      <c r="X105" s="494"/>
      <c r="Y105" s="494"/>
      <c r="Z105" s="494"/>
      <c r="AA105" s="494"/>
      <c r="AB105" s="343"/>
      <c r="AC105" s="347"/>
      <c r="AD105" s="348"/>
    </row>
    <row r="106" spans="1:30" ht="14.55" customHeight="1">
      <c r="A106" s="354"/>
      <c r="B106" s="355"/>
      <c r="C106" s="339"/>
      <c r="D106" s="339"/>
      <c r="E106" s="341"/>
      <c r="F106" s="341"/>
      <c r="G106" s="341"/>
      <c r="H106" s="341"/>
      <c r="I106" s="341"/>
      <c r="J106" s="341"/>
      <c r="K106" s="341"/>
      <c r="L106" s="341"/>
      <c r="M106" s="344"/>
      <c r="N106" s="349"/>
      <c r="O106" s="350"/>
      <c r="P106" s="354"/>
      <c r="Q106" s="355"/>
      <c r="R106" s="339"/>
      <c r="S106" s="339"/>
      <c r="T106" s="341"/>
      <c r="U106" s="341"/>
      <c r="V106" s="341"/>
      <c r="W106" s="341"/>
      <c r="X106" s="341"/>
      <c r="Y106" s="341"/>
      <c r="Z106" s="341"/>
      <c r="AA106" s="341"/>
      <c r="AB106" s="344"/>
      <c r="AC106" s="349"/>
      <c r="AD106" s="350"/>
    </row>
    <row r="107" spans="1:30" ht="14.55" customHeight="1">
      <c r="A107" s="351"/>
      <c r="B107" s="352"/>
      <c r="C107" s="338"/>
      <c r="D107" s="338"/>
      <c r="E107" s="340"/>
      <c r="F107" s="340"/>
      <c r="G107" s="340"/>
      <c r="H107" s="340"/>
      <c r="I107" s="340"/>
      <c r="J107" s="340"/>
      <c r="K107" s="340"/>
      <c r="L107" s="340"/>
      <c r="M107" s="342"/>
      <c r="N107" s="345" t="str">
        <f ca="1">IF(A107="", "",
 IF(AND(ISNUMBER(A107), A107 &gt;= TODAY(), A107 &lt;= TODAY() + 5), "In Progress",
 IF(AND(ISNUMBER(A107), A107 &lt; TODAY()), "Completed",
 IF(OR(A107="TBD", AND(ISNUMBER(A107), A107 &gt; TODAY() + 5)), "Not Started", ""))))</f>
        <v/>
      </c>
      <c r="O107" s="346"/>
      <c r="P107" s="351"/>
      <c r="Q107" s="352"/>
      <c r="R107" s="338"/>
      <c r="S107" s="338"/>
      <c r="T107" s="340"/>
      <c r="U107" s="340"/>
      <c r="V107" s="340"/>
      <c r="W107" s="340"/>
      <c r="X107" s="340"/>
      <c r="Y107" s="340"/>
      <c r="Z107" s="340"/>
      <c r="AA107" s="340"/>
      <c r="AB107" s="342"/>
      <c r="AC107" s="345" t="str">
        <f ca="1">IF(P107="", "",
 IF(AND(ISNUMBER(P107), P107 &gt;= TODAY(), P107 &lt;= TODAY() + 5), "In Progress",
 IF(AND(ISNUMBER(P107), P107 &lt; TODAY()), "Completed",
 IF(OR(P107="TBD", AND(ISNUMBER(P107), P107 &gt; TODAY() + 5)), "Not Started", ""))))</f>
        <v/>
      </c>
      <c r="AD107" s="346"/>
    </row>
    <row r="108" spans="1:30" ht="14.55" customHeight="1">
      <c r="A108" s="353"/>
      <c r="B108" s="492"/>
      <c r="C108" s="493"/>
      <c r="D108" s="493"/>
      <c r="E108" s="494"/>
      <c r="F108" s="494"/>
      <c r="G108" s="494"/>
      <c r="H108" s="494"/>
      <c r="I108" s="494"/>
      <c r="J108" s="494"/>
      <c r="K108" s="494"/>
      <c r="L108" s="494"/>
      <c r="M108" s="343"/>
      <c r="N108" s="347"/>
      <c r="O108" s="348"/>
      <c r="P108" s="353"/>
      <c r="Q108" s="492"/>
      <c r="R108" s="493"/>
      <c r="S108" s="493"/>
      <c r="T108" s="494"/>
      <c r="U108" s="494"/>
      <c r="V108" s="494"/>
      <c r="W108" s="494"/>
      <c r="X108" s="494"/>
      <c r="Y108" s="494"/>
      <c r="Z108" s="494"/>
      <c r="AA108" s="494"/>
      <c r="AB108" s="343"/>
      <c r="AC108" s="347"/>
      <c r="AD108" s="348"/>
    </row>
    <row r="109" spans="1:30" ht="14.55" customHeight="1">
      <c r="A109" s="354"/>
      <c r="B109" s="355"/>
      <c r="C109" s="339"/>
      <c r="D109" s="339"/>
      <c r="E109" s="341"/>
      <c r="F109" s="341"/>
      <c r="G109" s="341"/>
      <c r="H109" s="341"/>
      <c r="I109" s="341"/>
      <c r="J109" s="341"/>
      <c r="K109" s="341"/>
      <c r="L109" s="341"/>
      <c r="M109" s="344"/>
      <c r="N109" s="349"/>
      <c r="O109" s="350"/>
      <c r="P109" s="354"/>
      <c r="Q109" s="355"/>
      <c r="R109" s="339"/>
      <c r="S109" s="339"/>
      <c r="T109" s="341"/>
      <c r="U109" s="341"/>
      <c r="V109" s="341"/>
      <c r="W109" s="341"/>
      <c r="X109" s="341"/>
      <c r="Y109" s="341"/>
      <c r="Z109" s="341"/>
      <c r="AA109" s="341"/>
      <c r="AB109" s="344"/>
      <c r="AC109" s="349"/>
      <c r="AD109" s="350"/>
    </row>
    <row r="110" spans="1:30" ht="14.55" customHeight="1">
      <c r="A110" s="351"/>
      <c r="B110" s="352"/>
      <c r="C110" s="338"/>
      <c r="D110" s="338"/>
      <c r="E110" s="340"/>
      <c r="F110" s="340"/>
      <c r="G110" s="340"/>
      <c r="H110" s="340"/>
      <c r="I110" s="340"/>
      <c r="J110" s="340"/>
      <c r="K110" s="340"/>
      <c r="L110" s="340"/>
      <c r="M110" s="342"/>
      <c r="N110" s="345" t="str">
        <f ca="1">IF(A110="", "",
 IF(AND(ISNUMBER(A110), A110 &gt;= TODAY(), A110 &lt;= TODAY() + 5), "In Progress",
 IF(AND(ISNUMBER(A110), A110 &lt; TODAY()), "Completed",
 IF(OR(A110="TBD", AND(ISNUMBER(A110), A110 &gt; TODAY() + 5)), "Not Started", ""))))</f>
        <v/>
      </c>
      <c r="O110" s="346"/>
      <c r="P110" s="351"/>
      <c r="Q110" s="352"/>
      <c r="R110" s="338"/>
      <c r="S110" s="338"/>
      <c r="T110" s="340"/>
      <c r="U110" s="340"/>
      <c r="V110" s="340"/>
      <c r="W110" s="340"/>
      <c r="X110" s="340"/>
      <c r="Y110" s="340"/>
      <c r="Z110" s="340"/>
      <c r="AA110" s="340"/>
      <c r="AB110" s="342"/>
      <c r="AC110" s="345" t="str">
        <f ca="1">IF(P110="", "",
 IF(AND(ISNUMBER(P110), P110 &gt;= TODAY(), P110 &lt;= TODAY() + 5), "In Progress",
 IF(AND(ISNUMBER(P110), P110 &lt; TODAY()), "Completed",
 IF(OR(P110="TBD", AND(ISNUMBER(P110), P110 &gt; TODAY() + 5)), "Not Started", ""))))</f>
        <v/>
      </c>
      <c r="AD110" s="346"/>
    </row>
    <row r="111" spans="1:30" ht="14.55" customHeight="1">
      <c r="A111" s="353"/>
      <c r="B111" s="492"/>
      <c r="C111" s="493"/>
      <c r="D111" s="493"/>
      <c r="E111" s="494"/>
      <c r="F111" s="494"/>
      <c r="G111" s="494"/>
      <c r="H111" s="494"/>
      <c r="I111" s="494"/>
      <c r="J111" s="494"/>
      <c r="K111" s="494"/>
      <c r="L111" s="494"/>
      <c r="M111" s="343"/>
      <c r="N111" s="347"/>
      <c r="O111" s="348"/>
      <c r="P111" s="353"/>
      <c r="Q111" s="492"/>
      <c r="R111" s="493"/>
      <c r="S111" s="493"/>
      <c r="T111" s="494"/>
      <c r="U111" s="494"/>
      <c r="V111" s="494"/>
      <c r="W111" s="494"/>
      <c r="X111" s="494"/>
      <c r="Y111" s="494"/>
      <c r="Z111" s="494"/>
      <c r="AA111" s="494"/>
      <c r="AB111" s="343"/>
      <c r="AC111" s="347"/>
      <c r="AD111" s="348"/>
    </row>
    <row r="112" spans="1:30" ht="14.55" customHeight="1">
      <c r="A112" s="354"/>
      <c r="B112" s="355"/>
      <c r="C112" s="339"/>
      <c r="D112" s="339"/>
      <c r="E112" s="341"/>
      <c r="F112" s="341"/>
      <c r="G112" s="341"/>
      <c r="H112" s="341"/>
      <c r="I112" s="341"/>
      <c r="J112" s="341"/>
      <c r="K112" s="341"/>
      <c r="L112" s="341"/>
      <c r="M112" s="344"/>
      <c r="N112" s="349"/>
      <c r="O112" s="350"/>
      <c r="P112" s="354"/>
      <c r="Q112" s="355"/>
      <c r="R112" s="339"/>
      <c r="S112" s="339"/>
      <c r="T112" s="341"/>
      <c r="U112" s="341"/>
      <c r="V112" s="341"/>
      <c r="W112" s="341"/>
      <c r="X112" s="341"/>
      <c r="Y112" s="341"/>
      <c r="Z112" s="341"/>
      <c r="AA112" s="341"/>
      <c r="AB112" s="344"/>
      <c r="AC112" s="349"/>
      <c r="AD112" s="350"/>
    </row>
    <row r="113" spans="1:30" ht="14.55" customHeight="1">
      <c r="A113" s="351"/>
      <c r="B113" s="352"/>
      <c r="C113" s="338"/>
      <c r="D113" s="338"/>
      <c r="E113" s="340"/>
      <c r="F113" s="340"/>
      <c r="G113" s="340"/>
      <c r="H113" s="340"/>
      <c r="I113" s="340"/>
      <c r="J113" s="340"/>
      <c r="K113" s="340"/>
      <c r="L113" s="340"/>
      <c r="M113" s="342"/>
      <c r="N113" s="345" t="str">
        <f ca="1">IF(A113="", "",
 IF(AND(ISNUMBER(A113), A113 &gt;= TODAY(), A113 &lt;= TODAY() + 5), "In Progress",
 IF(AND(ISNUMBER(A113), A113 &lt; TODAY()), "Completed",
 IF(OR(A113="TBD", AND(ISNUMBER(A113), A113 &gt; TODAY() + 5)), "Not Started", ""))))</f>
        <v/>
      </c>
      <c r="O113" s="346"/>
      <c r="P113" s="351"/>
      <c r="Q113" s="352"/>
      <c r="R113" s="338"/>
      <c r="S113" s="338"/>
      <c r="T113" s="340"/>
      <c r="U113" s="340"/>
      <c r="V113" s="340"/>
      <c r="W113" s="340"/>
      <c r="X113" s="340"/>
      <c r="Y113" s="340"/>
      <c r="Z113" s="340"/>
      <c r="AA113" s="340"/>
      <c r="AB113" s="342"/>
      <c r="AC113" s="345" t="str">
        <f ca="1">IF(P113="", "",
 IF(AND(ISNUMBER(P113), P113 &gt;= TODAY(), P113 &lt;= TODAY() + 5), "In Progress",
 IF(AND(ISNUMBER(P113), P113 &lt; TODAY()), "Completed",
 IF(OR(P113="TBD", AND(ISNUMBER(P113), P113 &gt; TODAY() + 5)), "Not Started", ""))))</f>
        <v/>
      </c>
      <c r="AD113" s="346"/>
    </row>
    <row r="114" spans="1:30" ht="14.55" customHeight="1">
      <c r="A114" s="353"/>
      <c r="B114" s="492"/>
      <c r="C114" s="493"/>
      <c r="D114" s="493"/>
      <c r="E114" s="494"/>
      <c r="F114" s="494"/>
      <c r="G114" s="494"/>
      <c r="H114" s="494"/>
      <c r="I114" s="494"/>
      <c r="J114" s="494"/>
      <c r="K114" s="494"/>
      <c r="L114" s="494"/>
      <c r="M114" s="343"/>
      <c r="N114" s="347"/>
      <c r="O114" s="348"/>
      <c r="P114" s="353"/>
      <c r="Q114" s="492"/>
      <c r="R114" s="493"/>
      <c r="S114" s="493"/>
      <c r="T114" s="494"/>
      <c r="U114" s="494"/>
      <c r="V114" s="494"/>
      <c r="W114" s="494"/>
      <c r="X114" s="494"/>
      <c r="Y114" s="494"/>
      <c r="Z114" s="494"/>
      <c r="AA114" s="494"/>
      <c r="AB114" s="343"/>
      <c r="AC114" s="347"/>
      <c r="AD114" s="348"/>
    </row>
    <row r="115" spans="1:30" ht="14.55" customHeight="1">
      <c r="A115" s="354"/>
      <c r="B115" s="355"/>
      <c r="C115" s="339"/>
      <c r="D115" s="339"/>
      <c r="E115" s="341"/>
      <c r="F115" s="341"/>
      <c r="G115" s="341"/>
      <c r="H115" s="341"/>
      <c r="I115" s="341"/>
      <c r="J115" s="341"/>
      <c r="K115" s="341"/>
      <c r="L115" s="341"/>
      <c r="M115" s="344"/>
      <c r="N115" s="349"/>
      <c r="O115" s="350"/>
      <c r="P115" s="354"/>
      <c r="Q115" s="355"/>
      <c r="R115" s="339"/>
      <c r="S115" s="339"/>
      <c r="T115" s="341"/>
      <c r="U115" s="341"/>
      <c r="V115" s="341"/>
      <c r="W115" s="341"/>
      <c r="X115" s="341"/>
      <c r="Y115" s="341"/>
      <c r="Z115" s="341"/>
      <c r="AA115" s="341"/>
      <c r="AB115" s="344"/>
      <c r="AC115" s="349"/>
      <c r="AD115" s="350"/>
    </row>
    <row r="116" spans="1:30" ht="14.55" customHeight="1">
      <c r="A116" s="351"/>
      <c r="B116" s="352"/>
      <c r="C116" s="338"/>
      <c r="D116" s="338"/>
      <c r="E116" s="340"/>
      <c r="F116" s="340"/>
      <c r="G116" s="340"/>
      <c r="H116" s="340"/>
      <c r="I116" s="340"/>
      <c r="J116" s="340"/>
      <c r="K116" s="340"/>
      <c r="L116" s="340"/>
      <c r="M116" s="342"/>
      <c r="N116" s="345" t="str">
        <f ca="1">IF(A116="", "",
 IF(AND(ISNUMBER(A116), A116 &gt;= TODAY(), A116 &lt;= TODAY() + 5), "In Progress",
 IF(AND(ISNUMBER(A116), A116 &lt; TODAY()), "Completed",
 IF(OR(A116="TBD", AND(ISNUMBER(A116), A116 &gt; TODAY() + 5)), "Not Started", ""))))</f>
        <v/>
      </c>
      <c r="O116" s="346"/>
      <c r="P116" s="351"/>
      <c r="Q116" s="352"/>
      <c r="R116" s="338"/>
      <c r="S116" s="338"/>
      <c r="T116" s="340"/>
      <c r="U116" s="340"/>
      <c r="V116" s="340"/>
      <c r="W116" s="340"/>
      <c r="X116" s="340"/>
      <c r="Y116" s="340"/>
      <c r="Z116" s="340"/>
      <c r="AA116" s="340"/>
      <c r="AB116" s="342"/>
      <c r="AC116" s="345" t="str">
        <f ca="1">IF(P116="", "",
 IF(AND(ISNUMBER(P116), P116 &gt;= TODAY(), P116 &lt;= TODAY() + 5), "In Progress",
 IF(AND(ISNUMBER(P116), P116 &lt; TODAY()), "Completed",
 IF(OR(P116="TBD", AND(ISNUMBER(P116), P116 &gt; TODAY() + 5)), "Not Started", ""))))</f>
        <v/>
      </c>
      <c r="AD116" s="346"/>
    </row>
    <row r="117" spans="1:30" ht="14.55" customHeight="1">
      <c r="A117" s="353"/>
      <c r="B117" s="492"/>
      <c r="C117" s="493"/>
      <c r="D117" s="493"/>
      <c r="E117" s="494"/>
      <c r="F117" s="494"/>
      <c r="G117" s="494"/>
      <c r="H117" s="494"/>
      <c r="I117" s="494"/>
      <c r="J117" s="494"/>
      <c r="K117" s="494"/>
      <c r="L117" s="494"/>
      <c r="M117" s="343"/>
      <c r="N117" s="347"/>
      <c r="O117" s="348"/>
      <c r="P117" s="353"/>
      <c r="Q117" s="492"/>
      <c r="R117" s="493"/>
      <c r="S117" s="493"/>
      <c r="T117" s="494"/>
      <c r="U117" s="494"/>
      <c r="V117" s="494"/>
      <c r="W117" s="494"/>
      <c r="X117" s="494"/>
      <c r="Y117" s="494"/>
      <c r="Z117" s="494"/>
      <c r="AA117" s="494"/>
      <c r="AB117" s="343"/>
      <c r="AC117" s="347"/>
      <c r="AD117" s="348"/>
    </row>
    <row r="118" spans="1:30" ht="14.55" customHeight="1">
      <c r="A118" s="354"/>
      <c r="B118" s="355"/>
      <c r="C118" s="339"/>
      <c r="D118" s="339"/>
      <c r="E118" s="341"/>
      <c r="F118" s="341"/>
      <c r="G118" s="341"/>
      <c r="H118" s="341"/>
      <c r="I118" s="341"/>
      <c r="J118" s="341"/>
      <c r="K118" s="341"/>
      <c r="L118" s="341"/>
      <c r="M118" s="344"/>
      <c r="N118" s="349"/>
      <c r="O118" s="350"/>
      <c r="P118" s="354"/>
      <c r="Q118" s="355"/>
      <c r="R118" s="339"/>
      <c r="S118" s="339"/>
      <c r="T118" s="341"/>
      <c r="U118" s="341"/>
      <c r="V118" s="341"/>
      <c r="W118" s="341"/>
      <c r="X118" s="341"/>
      <c r="Y118" s="341"/>
      <c r="Z118" s="341"/>
      <c r="AA118" s="341"/>
      <c r="AB118" s="344"/>
      <c r="AC118" s="349"/>
      <c r="AD118" s="350"/>
    </row>
    <row r="119" spans="1:30" ht="14.55" customHeight="1">
      <c r="A119" s="351"/>
      <c r="B119" s="352"/>
      <c r="C119" s="338"/>
      <c r="D119" s="338"/>
      <c r="E119" s="340"/>
      <c r="F119" s="340"/>
      <c r="G119" s="340"/>
      <c r="H119" s="340"/>
      <c r="I119" s="340"/>
      <c r="J119" s="340"/>
      <c r="K119" s="340"/>
      <c r="L119" s="340"/>
      <c r="M119" s="342"/>
      <c r="N119" s="345" t="str">
        <f ca="1">IF(A119="", "",
 IF(AND(ISNUMBER(A119), A119 &gt;= TODAY(), A119 &lt;= TODAY() + 5), "In Progress",
 IF(AND(ISNUMBER(A119), A119 &lt; TODAY()), "Completed",
 IF(OR(A119="TBD", AND(ISNUMBER(A119), A119 &gt; TODAY() + 5)), "Not Started", ""))))</f>
        <v/>
      </c>
      <c r="O119" s="346"/>
      <c r="P119" s="351"/>
      <c r="Q119" s="352"/>
      <c r="R119" s="338"/>
      <c r="S119" s="338"/>
      <c r="T119" s="340"/>
      <c r="U119" s="340"/>
      <c r="V119" s="340"/>
      <c r="W119" s="340"/>
      <c r="X119" s="340"/>
      <c r="Y119" s="340"/>
      <c r="Z119" s="340"/>
      <c r="AA119" s="340"/>
      <c r="AB119" s="342"/>
      <c r="AC119" s="345" t="str">
        <f ca="1">IF(P119="", "",
 IF(AND(ISNUMBER(P119), P119 &gt;= TODAY(), P119 &lt;= TODAY() + 5), "In Progress",
 IF(AND(ISNUMBER(P119), P119 &lt; TODAY()), "Completed",
 IF(OR(P119="TBD", AND(ISNUMBER(P119), P119 &gt; TODAY() + 5)), "Not Started", ""))))</f>
        <v/>
      </c>
      <c r="AD119" s="346"/>
    </row>
    <row r="120" spans="1:30" ht="14.55" customHeight="1">
      <c r="A120" s="353"/>
      <c r="B120" s="492"/>
      <c r="C120" s="493"/>
      <c r="D120" s="493"/>
      <c r="E120" s="494"/>
      <c r="F120" s="494"/>
      <c r="G120" s="494"/>
      <c r="H120" s="494"/>
      <c r="I120" s="494"/>
      <c r="J120" s="494"/>
      <c r="K120" s="494"/>
      <c r="L120" s="494"/>
      <c r="M120" s="343"/>
      <c r="N120" s="347"/>
      <c r="O120" s="348"/>
      <c r="P120" s="353"/>
      <c r="Q120" s="492"/>
      <c r="R120" s="493"/>
      <c r="S120" s="493"/>
      <c r="T120" s="494"/>
      <c r="U120" s="494"/>
      <c r="V120" s="494"/>
      <c r="W120" s="494"/>
      <c r="X120" s="494"/>
      <c r="Y120" s="494"/>
      <c r="Z120" s="494"/>
      <c r="AA120" s="494"/>
      <c r="AB120" s="343"/>
      <c r="AC120" s="347"/>
      <c r="AD120" s="348"/>
    </row>
    <row r="121" spans="1:30" ht="14.55" customHeight="1">
      <c r="A121" s="354"/>
      <c r="B121" s="355"/>
      <c r="C121" s="339"/>
      <c r="D121" s="339"/>
      <c r="E121" s="341"/>
      <c r="F121" s="341"/>
      <c r="G121" s="341"/>
      <c r="H121" s="341"/>
      <c r="I121" s="341"/>
      <c r="J121" s="341"/>
      <c r="K121" s="341"/>
      <c r="L121" s="341"/>
      <c r="M121" s="344"/>
      <c r="N121" s="349"/>
      <c r="O121" s="350"/>
      <c r="P121" s="354"/>
      <c r="Q121" s="355"/>
      <c r="R121" s="339"/>
      <c r="S121" s="339"/>
      <c r="T121" s="341"/>
      <c r="U121" s="341"/>
      <c r="V121" s="341"/>
      <c r="W121" s="341"/>
      <c r="X121" s="341"/>
      <c r="Y121" s="341"/>
      <c r="Z121" s="341"/>
      <c r="AA121" s="341"/>
      <c r="AB121" s="344"/>
      <c r="AC121" s="349"/>
      <c r="AD121" s="350"/>
    </row>
    <row r="122" spans="1:30" ht="14.55" customHeight="1">
      <c r="A122" s="351"/>
      <c r="B122" s="352"/>
      <c r="C122" s="338"/>
      <c r="D122" s="338"/>
      <c r="E122" s="340"/>
      <c r="F122" s="340"/>
      <c r="G122" s="340"/>
      <c r="H122" s="340"/>
      <c r="I122" s="340"/>
      <c r="J122" s="340"/>
      <c r="K122" s="340"/>
      <c r="L122" s="340"/>
      <c r="M122" s="342"/>
      <c r="N122" s="345" t="str">
        <f ca="1">IF(A122="", "",
 IF(AND(ISNUMBER(A122), A122 &gt;= TODAY(), A122 &lt;= TODAY() + 5), "In Progress",
 IF(AND(ISNUMBER(A122), A122 &lt; TODAY()), "Completed",
 IF(OR(A122="TBD", AND(ISNUMBER(A122), A122 &gt; TODAY() + 5)), "Not Started", ""))))</f>
        <v/>
      </c>
      <c r="O122" s="346"/>
      <c r="P122" s="351"/>
      <c r="Q122" s="352"/>
      <c r="R122" s="338"/>
      <c r="S122" s="338"/>
      <c r="T122" s="340"/>
      <c r="U122" s="340"/>
      <c r="V122" s="340"/>
      <c r="W122" s="340"/>
      <c r="X122" s="340"/>
      <c r="Y122" s="340"/>
      <c r="Z122" s="340"/>
      <c r="AA122" s="340"/>
      <c r="AB122" s="342"/>
      <c r="AC122" s="345" t="str">
        <f ca="1">IF(P122="", "",
 IF(AND(ISNUMBER(P122), P122 &gt;= TODAY(), P122 &lt;= TODAY() + 5), "In Progress",
 IF(AND(ISNUMBER(P122), P122 &lt; TODAY()), "Completed",
 IF(OR(P122="TBD", AND(ISNUMBER(P122), P122 &gt; TODAY() + 5)), "Not Started", ""))))</f>
        <v/>
      </c>
      <c r="AD122" s="346"/>
    </row>
    <row r="123" spans="1:30" ht="14.55" customHeight="1">
      <c r="A123" s="353"/>
      <c r="B123" s="492"/>
      <c r="C123" s="493"/>
      <c r="D123" s="493"/>
      <c r="E123" s="494"/>
      <c r="F123" s="494"/>
      <c r="G123" s="494"/>
      <c r="H123" s="494"/>
      <c r="I123" s="494"/>
      <c r="J123" s="494"/>
      <c r="K123" s="494"/>
      <c r="L123" s="494"/>
      <c r="M123" s="343"/>
      <c r="N123" s="347"/>
      <c r="O123" s="348"/>
      <c r="P123" s="353"/>
      <c r="Q123" s="492"/>
      <c r="R123" s="493"/>
      <c r="S123" s="493"/>
      <c r="T123" s="494"/>
      <c r="U123" s="494"/>
      <c r="V123" s="494"/>
      <c r="W123" s="494"/>
      <c r="X123" s="494"/>
      <c r="Y123" s="494"/>
      <c r="Z123" s="494"/>
      <c r="AA123" s="494"/>
      <c r="AB123" s="343"/>
      <c r="AC123" s="347"/>
      <c r="AD123" s="348"/>
    </row>
    <row r="124" spans="1:30" ht="14.55" customHeight="1">
      <c r="A124" s="354"/>
      <c r="B124" s="355"/>
      <c r="C124" s="339"/>
      <c r="D124" s="339"/>
      <c r="E124" s="341"/>
      <c r="F124" s="341"/>
      <c r="G124" s="341"/>
      <c r="H124" s="341"/>
      <c r="I124" s="341"/>
      <c r="J124" s="341"/>
      <c r="K124" s="341"/>
      <c r="L124" s="341"/>
      <c r="M124" s="344"/>
      <c r="N124" s="349"/>
      <c r="O124" s="350"/>
      <c r="P124" s="354"/>
      <c r="Q124" s="355"/>
      <c r="R124" s="339"/>
      <c r="S124" s="339"/>
      <c r="T124" s="341"/>
      <c r="U124" s="341"/>
      <c r="V124" s="341"/>
      <c r="W124" s="341"/>
      <c r="X124" s="341"/>
      <c r="Y124" s="341"/>
      <c r="Z124" s="341"/>
      <c r="AA124" s="341"/>
      <c r="AB124" s="344"/>
      <c r="AC124" s="349"/>
      <c r="AD124" s="350"/>
    </row>
    <row r="125" spans="1:30" ht="14.55" customHeight="1">
      <c r="A125" s="351"/>
      <c r="B125" s="352"/>
      <c r="C125" s="338"/>
      <c r="D125" s="338"/>
      <c r="E125" s="340"/>
      <c r="F125" s="340"/>
      <c r="G125" s="340"/>
      <c r="H125" s="340"/>
      <c r="I125" s="340"/>
      <c r="J125" s="340"/>
      <c r="K125" s="340"/>
      <c r="L125" s="340"/>
      <c r="M125" s="342"/>
      <c r="N125" s="345" t="str">
        <f ca="1">IF(A125="", "",
 IF(AND(ISNUMBER(A125), A125 &gt;= TODAY(), A125 &lt;= TODAY() + 5), "In Progress",
 IF(AND(ISNUMBER(A125), A125 &lt; TODAY()), "Completed",
 IF(OR(A125="TBD", AND(ISNUMBER(A125), A125 &gt; TODAY() + 5)), "Not Started", ""))))</f>
        <v/>
      </c>
      <c r="O125" s="346"/>
      <c r="P125" s="351"/>
      <c r="Q125" s="352"/>
      <c r="R125" s="338"/>
      <c r="S125" s="338"/>
      <c r="T125" s="340"/>
      <c r="U125" s="340"/>
      <c r="V125" s="340"/>
      <c r="W125" s="340"/>
      <c r="X125" s="340"/>
      <c r="Y125" s="340"/>
      <c r="Z125" s="340"/>
      <c r="AA125" s="340"/>
      <c r="AB125" s="342"/>
      <c r="AC125" s="345" t="str">
        <f ca="1">IF(P125="", "",
 IF(AND(ISNUMBER(P125), P125 &gt;= TODAY(), P125 &lt;= TODAY() + 5), "In Progress",
 IF(AND(ISNUMBER(P125), P125 &lt; TODAY()), "Completed",
 IF(OR(P125="TBD", AND(ISNUMBER(P125), P125 &gt; TODAY() + 5)), "Not Started", ""))))</f>
        <v/>
      </c>
      <c r="AD125" s="346"/>
    </row>
    <row r="126" spans="1:30" ht="14.55" customHeight="1">
      <c r="A126" s="353"/>
      <c r="B126" s="492"/>
      <c r="C126" s="493"/>
      <c r="D126" s="493"/>
      <c r="E126" s="494"/>
      <c r="F126" s="494"/>
      <c r="G126" s="494"/>
      <c r="H126" s="494"/>
      <c r="I126" s="494"/>
      <c r="J126" s="494"/>
      <c r="K126" s="494"/>
      <c r="L126" s="494"/>
      <c r="M126" s="343"/>
      <c r="N126" s="347"/>
      <c r="O126" s="348"/>
      <c r="P126" s="353"/>
      <c r="Q126" s="492"/>
      <c r="R126" s="493"/>
      <c r="S126" s="493"/>
      <c r="T126" s="494"/>
      <c r="U126" s="494"/>
      <c r="V126" s="494"/>
      <c r="W126" s="494"/>
      <c r="X126" s="494"/>
      <c r="Y126" s="494"/>
      <c r="Z126" s="494"/>
      <c r="AA126" s="494"/>
      <c r="AB126" s="343"/>
      <c r="AC126" s="347"/>
      <c r="AD126" s="348"/>
    </row>
    <row r="127" spans="1:30" ht="14.55" customHeight="1">
      <c r="A127" s="354"/>
      <c r="B127" s="355"/>
      <c r="C127" s="339"/>
      <c r="D127" s="339"/>
      <c r="E127" s="341"/>
      <c r="F127" s="341"/>
      <c r="G127" s="341"/>
      <c r="H127" s="341"/>
      <c r="I127" s="341"/>
      <c r="J127" s="341"/>
      <c r="K127" s="341"/>
      <c r="L127" s="341"/>
      <c r="M127" s="344"/>
      <c r="N127" s="349"/>
      <c r="O127" s="350"/>
      <c r="P127" s="354"/>
      <c r="Q127" s="355"/>
      <c r="R127" s="339"/>
      <c r="S127" s="339"/>
      <c r="T127" s="341"/>
      <c r="U127" s="341"/>
      <c r="V127" s="341"/>
      <c r="W127" s="341"/>
      <c r="X127" s="341"/>
      <c r="Y127" s="341"/>
      <c r="Z127" s="341"/>
      <c r="AA127" s="341"/>
      <c r="AB127" s="344"/>
      <c r="AC127" s="349"/>
      <c r="AD127" s="350"/>
    </row>
    <row r="128" spans="1:30" ht="14.55" customHeight="1">
      <c r="A128" s="351"/>
      <c r="B128" s="352"/>
      <c r="C128" s="338"/>
      <c r="D128" s="338"/>
      <c r="E128" s="340"/>
      <c r="F128" s="340"/>
      <c r="G128" s="340"/>
      <c r="H128" s="340"/>
      <c r="I128" s="340"/>
      <c r="J128" s="340"/>
      <c r="K128" s="340"/>
      <c r="L128" s="340"/>
      <c r="M128" s="342"/>
      <c r="N128" s="345" t="str">
        <f ca="1">IF(A128="", "",
 IF(AND(ISNUMBER(A128), A128 &gt;= TODAY(), A128 &lt;= TODAY() + 5), "In Progress",
 IF(AND(ISNUMBER(A128), A128 &lt; TODAY()), "Completed",
 IF(OR(A128="TBD", AND(ISNUMBER(A128), A128 &gt; TODAY() + 5)), "Not Started", ""))))</f>
        <v/>
      </c>
      <c r="O128" s="346"/>
      <c r="P128" s="351"/>
      <c r="Q128" s="352"/>
      <c r="R128" s="338"/>
      <c r="S128" s="338"/>
      <c r="T128" s="340"/>
      <c r="U128" s="340"/>
      <c r="V128" s="340"/>
      <c r="W128" s="340"/>
      <c r="X128" s="340"/>
      <c r="Y128" s="340"/>
      <c r="Z128" s="340"/>
      <c r="AA128" s="340"/>
      <c r="AB128" s="342"/>
      <c r="AC128" s="345" t="str">
        <f ca="1">IF(P128="", "",
 IF(AND(ISNUMBER(P128), P128 &gt;= TODAY(), P128 &lt;= TODAY() + 5), "In Progress",
 IF(AND(ISNUMBER(P128), P128 &lt; TODAY()), "Completed",
 IF(OR(P128="TBD", AND(ISNUMBER(P128), P128 &gt; TODAY() + 5)), "Not Started", ""))))</f>
        <v/>
      </c>
      <c r="AD128" s="346"/>
    </row>
    <row r="129" spans="1:30" ht="14.55" customHeight="1">
      <c r="A129" s="353"/>
      <c r="B129" s="492"/>
      <c r="C129" s="493"/>
      <c r="D129" s="493"/>
      <c r="E129" s="494"/>
      <c r="F129" s="494"/>
      <c r="G129" s="494"/>
      <c r="H129" s="494"/>
      <c r="I129" s="494"/>
      <c r="J129" s="494"/>
      <c r="K129" s="494"/>
      <c r="L129" s="494"/>
      <c r="M129" s="343"/>
      <c r="N129" s="347"/>
      <c r="O129" s="348"/>
      <c r="P129" s="353"/>
      <c r="Q129" s="492"/>
      <c r="R129" s="493"/>
      <c r="S129" s="493"/>
      <c r="T129" s="494"/>
      <c r="U129" s="494"/>
      <c r="V129" s="494"/>
      <c r="W129" s="494"/>
      <c r="X129" s="494"/>
      <c r="Y129" s="494"/>
      <c r="Z129" s="494"/>
      <c r="AA129" s="494"/>
      <c r="AB129" s="343"/>
      <c r="AC129" s="347"/>
      <c r="AD129" s="348"/>
    </row>
    <row r="130" spans="1:30" ht="14.55" customHeight="1">
      <c r="A130" s="354"/>
      <c r="B130" s="355"/>
      <c r="C130" s="339"/>
      <c r="D130" s="339"/>
      <c r="E130" s="341"/>
      <c r="F130" s="341"/>
      <c r="G130" s="341"/>
      <c r="H130" s="341"/>
      <c r="I130" s="341"/>
      <c r="J130" s="341"/>
      <c r="K130" s="341"/>
      <c r="L130" s="341"/>
      <c r="M130" s="344"/>
      <c r="N130" s="349"/>
      <c r="O130" s="350"/>
      <c r="P130" s="354"/>
      <c r="Q130" s="355"/>
      <c r="R130" s="339"/>
      <c r="S130" s="339"/>
      <c r="T130" s="341"/>
      <c r="U130" s="341"/>
      <c r="V130" s="341"/>
      <c r="W130" s="341"/>
      <c r="X130" s="341"/>
      <c r="Y130" s="341"/>
      <c r="Z130" s="341"/>
      <c r="AA130" s="341"/>
      <c r="AB130" s="344"/>
      <c r="AC130" s="349"/>
      <c r="AD130" s="350"/>
    </row>
    <row r="131" spans="1:30" ht="14.55" customHeight="1">
      <c r="A131" s="351"/>
      <c r="B131" s="352"/>
      <c r="C131" s="338"/>
      <c r="D131" s="338"/>
      <c r="E131" s="340"/>
      <c r="F131" s="340"/>
      <c r="G131" s="340"/>
      <c r="H131" s="340"/>
      <c r="I131" s="340"/>
      <c r="J131" s="340"/>
      <c r="K131" s="340"/>
      <c r="L131" s="340"/>
      <c r="M131" s="342"/>
      <c r="N131" s="345" t="str">
        <f ca="1">IF(A131="", "",
 IF(AND(ISNUMBER(A131), A131 &gt;= TODAY(), A131 &lt;= TODAY() + 5), "In Progress",
 IF(AND(ISNUMBER(A131), A131 &lt; TODAY()), "Completed",
 IF(OR(A131="TBD", AND(ISNUMBER(A131), A131 &gt; TODAY() + 5)), "Not Started", ""))))</f>
        <v/>
      </c>
      <c r="O131" s="346"/>
      <c r="P131" s="351"/>
      <c r="Q131" s="352"/>
      <c r="R131" s="338"/>
      <c r="S131" s="338"/>
      <c r="T131" s="340"/>
      <c r="U131" s="340"/>
      <c r="V131" s="340"/>
      <c r="W131" s="340"/>
      <c r="X131" s="340"/>
      <c r="Y131" s="340"/>
      <c r="Z131" s="340"/>
      <c r="AA131" s="340"/>
      <c r="AB131" s="342"/>
      <c r="AC131" s="345" t="str">
        <f ca="1">IF(P131="", "",
 IF(AND(ISNUMBER(P131), P131 &gt;= TODAY(), P131 &lt;= TODAY() + 5), "In Progress",
 IF(AND(ISNUMBER(P131), P131 &lt; TODAY()), "Completed",
 IF(OR(P131="TBD", AND(ISNUMBER(P131), P131 &gt; TODAY() + 5)), "Not Started", ""))))</f>
        <v/>
      </c>
      <c r="AD131" s="346"/>
    </row>
    <row r="132" spans="1:30" ht="14.55" customHeight="1">
      <c r="A132" s="353"/>
      <c r="B132" s="492"/>
      <c r="C132" s="493"/>
      <c r="D132" s="493"/>
      <c r="E132" s="494"/>
      <c r="F132" s="494"/>
      <c r="G132" s="494"/>
      <c r="H132" s="494"/>
      <c r="I132" s="494"/>
      <c r="J132" s="494"/>
      <c r="K132" s="494"/>
      <c r="L132" s="494"/>
      <c r="M132" s="343"/>
      <c r="N132" s="347"/>
      <c r="O132" s="348"/>
      <c r="P132" s="353"/>
      <c r="Q132" s="492"/>
      <c r="R132" s="493"/>
      <c r="S132" s="493"/>
      <c r="T132" s="494"/>
      <c r="U132" s="494"/>
      <c r="V132" s="494"/>
      <c r="W132" s="494"/>
      <c r="X132" s="494"/>
      <c r="Y132" s="494"/>
      <c r="Z132" s="494"/>
      <c r="AA132" s="494"/>
      <c r="AB132" s="343"/>
      <c r="AC132" s="347"/>
      <c r="AD132" s="348"/>
    </row>
    <row r="133" spans="1:30" ht="14.55" customHeight="1">
      <c r="A133" s="354"/>
      <c r="B133" s="355"/>
      <c r="C133" s="339"/>
      <c r="D133" s="339"/>
      <c r="E133" s="341"/>
      <c r="F133" s="341"/>
      <c r="G133" s="341"/>
      <c r="H133" s="341"/>
      <c r="I133" s="341"/>
      <c r="J133" s="341"/>
      <c r="K133" s="341"/>
      <c r="L133" s="341"/>
      <c r="M133" s="344"/>
      <c r="N133" s="349"/>
      <c r="O133" s="350"/>
      <c r="P133" s="354"/>
      <c r="Q133" s="355"/>
      <c r="R133" s="339"/>
      <c r="S133" s="339"/>
      <c r="T133" s="341"/>
      <c r="U133" s="341"/>
      <c r="V133" s="341"/>
      <c r="W133" s="341"/>
      <c r="X133" s="341"/>
      <c r="Y133" s="341"/>
      <c r="Z133" s="341"/>
      <c r="AA133" s="341"/>
      <c r="AB133" s="344"/>
      <c r="AC133" s="349"/>
      <c r="AD133" s="350"/>
    </row>
    <row r="134" spans="1:30" ht="14.55" customHeight="1">
      <c r="A134" s="351"/>
      <c r="B134" s="352"/>
      <c r="C134" s="338"/>
      <c r="D134" s="338"/>
      <c r="E134" s="340"/>
      <c r="F134" s="340"/>
      <c r="G134" s="340"/>
      <c r="H134" s="340"/>
      <c r="I134" s="340"/>
      <c r="J134" s="340"/>
      <c r="K134" s="340"/>
      <c r="L134" s="340"/>
      <c r="M134" s="342"/>
      <c r="N134" s="345" t="str">
        <f ca="1">IF(A134="", "",
 IF(AND(ISNUMBER(A134), A134 &gt;= TODAY(), A134 &lt;= TODAY() + 5), "In Progress",
 IF(AND(ISNUMBER(A134), A134 &lt; TODAY()), "Completed",
 IF(OR(A134="TBD", AND(ISNUMBER(A134), A134 &gt; TODAY() + 5)), "Not Started", ""))))</f>
        <v/>
      </c>
      <c r="O134" s="346"/>
      <c r="P134" s="351"/>
      <c r="Q134" s="352"/>
      <c r="R134" s="338"/>
      <c r="S134" s="338"/>
      <c r="T134" s="340"/>
      <c r="U134" s="340"/>
      <c r="V134" s="340"/>
      <c r="W134" s="340"/>
      <c r="X134" s="340"/>
      <c r="Y134" s="340"/>
      <c r="Z134" s="340"/>
      <c r="AA134" s="340"/>
      <c r="AB134" s="342"/>
      <c r="AC134" s="345" t="str">
        <f ca="1">IF(P134="", "",
 IF(AND(ISNUMBER(P134), P134 &gt;= TODAY(), P134 &lt;= TODAY() + 5), "In Progress",
 IF(AND(ISNUMBER(P134), P134 &lt; TODAY()), "Completed",
 IF(OR(P134="TBD", AND(ISNUMBER(P134), P134 &gt; TODAY() + 5)), "Not Started", ""))))</f>
        <v/>
      </c>
      <c r="AD134" s="346"/>
    </row>
    <row r="135" spans="1:30" ht="14.55" customHeight="1">
      <c r="A135" s="353"/>
      <c r="B135" s="492"/>
      <c r="C135" s="493"/>
      <c r="D135" s="493"/>
      <c r="E135" s="494"/>
      <c r="F135" s="494"/>
      <c r="G135" s="494"/>
      <c r="H135" s="494"/>
      <c r="I135" s="494"/>
      <c r="J135" s="494"/>
      <c r="K135" s="494"/>
      <c r="L135" s="494"/>
      <c r="M135" s="343"/>
      <c r="N135" s="347"/>
      <c r="O135" s="348"/>
      <c r="P135" s="353"/>
      <c r="Q135" s="492"/>
      <c r="R135" s="493"/>
      <c r="S135" s="493"/>
      <c r="T135" s="494"/>
      <c r="U135" s="494"/>
      <c r="V135" s="494"/>
      <c r="W135" s="494"/>
      <c r="X135" s="494"/>
      <c r="Y135" s="494"/>
      <c r="Z135" s="494"/>
      <c r="AA135" s="494"/>
      <c r="AB135" s="343"/>
      <c r="AC135" s="347"/>
      <c r="AD135" s="348"/>
    </row>
    <row r="136" spans="1:30" ht="14.55" customHeight="1">
      <c r="A136" s="354"/>
      <c r="B136" s="355"/>
      <c r="C136" s="339"/>
      <c r="D136" s="339"/>
      <c r="E136" s="341"/>
      <c r="F136" s="341"/>
      <c r="G136" s="341"/>
      <c r="H136" s="341"/>
      <c r="I136" s="341"/>
      <c r="J136" s="341"/>
      <c r="K136" s="341"/>
      <c r="L136" s="341"/>
      <c r="M136" s="344"/>
      <c r="N136" s="349"/>
      <c r="O136" s="350"/>
      <c r="P136" s="354"/>
      <c r="Q136" s="355"/>
      <c r="R136" s="339"/>
      <c r="S136" s="339"/>
      <c r="T136" s="341"/>
      <c r="U136" s="341"/>
      <c r="V136" s="341"/>
      <c r="W136" s="341"/>
      <c r="X136" s="341"/>
      <c r="Y136" s="341"/>
      <c r="Z136" s="341"/>
      <c r="AA136" s="341"/>
      <c r="AB136" s="344"/>
      <c r="AC136" s="349"/>
      <c r="AD136" s="350"/>
    </row>
    <row r="137" spans="1:30" ht="14.55" customHeight="1">
      <c r="A137" s="351"/>
      <c r="B137" s="352"/>
      <c r="C137" s="338"/>
      <c r="D137" s="338"/>
      <c r="E137" s="340"/>
      <c r="F137" s="340"/>
      <c r="G137" s="340"/>
      <c r="H137" s="340"/>
      <c r="I137" s="340"/>
      <c r="J137" s="340"/>
      <c r="K137" s="340"/>
      <c r="L137" s="340"/>
      <c r="M137" s="342"/>
      <c r="N137" s="345" t="str">
        <f ca="1">IF(A137="", "",
 IF(AND(ISNUMBER(A137), A137 &gt;= TODAY(), A137 &lt;= TODAY() + 5), "In Progress",
 IF(AND(ISNUMBER(A137), A137 &lt; TODAY()), "Completed",
 IF(OR(A137="TBD", AND(ISNUMBER(A137), A137 &gt; TODAY() + 5)), "Not Started", ""))))</f>
        <v/>
      </c>
      <c r="O137" s="346"/>
      <c r="P137" s="351"/>
      <c r="Q137" s="352"/>
      <c r="R137" s="338"/>
      <c r="S137" s="338"/>
      <c r="T137" s="340"/>
      <c r="U137" s="340"/>
      <c r="V137" s="340"/>
      <c r="W137" s="340"/>
      <c r="X137" s="340"/>
      <c r="Y137" s="340"/>
      <c r="Z137" s="340"/>
      <c r="AA137" s="340"/>
      <c r="AB137" s="342"/>
      <c r="AC137" s="345" t="str">
        <f ca="1">IF(P137="", "",
 IF(AND(ISNUMBER(P137), P137 &gt;= TODAY(), P137 &lt;= TODAY() + 5), "In Progress",
 IF(AND(ISNUMBER(P137), P137 &lt; TODAY()), "Completed",
 IF(OR(P137="TBD", AND(ISNUMBER(P137), P137 &gt; TODAY() + 5)), "Not Started", ""))))</f>
        <v/>
      </c>
      <c r="AD137" s="346"/>
    </row>
    <row r="138" spans="1:30" ht="14.55" customHeight="1">
      <c r="A138" s="353"/>
      <c r="B138" s="492"/>
      <c r="C138" s="493"/>
      <c r="D138" s="493"/>
      <c r="E138" s="494"/>
      <c r="F138" s="494"/>
      <c r="G138" s="494"/>
      <c r="H138" s="494"/>
      <c r="I138" s="494"/>
      <c r="J138" s="494"/>
      <c r="K138" s="494"/>
      <c r="L138" s="494"/>
      <c r="M138" s="343"/>
      <c r="N138" s="347"/>
      <c r="O138" s="348"/>
      <c r="P138" s="353"/>
      <c r="Q138" s="492"/>
      <c r="R138" s="493"/>
      <c r="S138" s="493"/>
      <c r="T138" s="494"/>
      <c r="U138" s="494"/>
      <c r="V138" s="494"/>
      <c r="W138" s="494"/>
      <c r="X138" s="494"/>
      <c r="Y138" s="494"/>
      <c r="Z138" s="494"/>
      <c r="AA138" s="494"/>
      <c r="AB138" s="343"/>
      <c r="AC138" s="347"/>
      <c r="AD138" s="348"/>
    </row>
    <row r="139" spans="1:30" ht="14.55" customHeight="1">
      <c r="A139" s="354"/>
      <c r="B139" s="355"/>
      <c r="C139" s="339"/>
      <c r="D139" s="339"/>
      <c r="E139" s="341"/>
      <c r="F139" s="341"/>
      <c r="G139" s="341"/>
      <c r="H139" s="341"/>
      <c r="I139" s="341"/>
      <c r="J139" s="341"/>
      <c r="K139" s="341"/>
      <c r="L139" s="341"/>
      <c r="M139" s="344"/>
      <c r="N139" s="349"/>
      <c r="O139" s="350"/>
      <c r="P139" s="354"/>
      <c r="Q139" s="355"/>
      <c r="R139" s="339"/>
      <c r="S139" s="339"/>
      <c r="T139" s="341"/>
      <c r="U139" s="341"/>
      <c r="V139" s="341"/>
      <c r="W139" s="341"/>
      <c r="X139" s="341"/>
      <c r="Y139" s="341"/>
      <c r="Z139" s="341"/>
      <c r="AA139" s="341"/>
      <c r="AB139" s="344"/>
      <c r="AC139" s="349"/>
      <c r="AD139" s="350"/>
    </row>
    <row r="140" spans="1:30" ht="14.55" customHeight="1">
      <c r="A140" s="351"/>
      <c r="B140" s="352"/>
      <c r="C140" s="338"/>
      <c r="D140" s="338"/>
      <c r="E140" s="340"/>
      <c r="F140" s="340"/>
      <c r="G140" s="340"/>
      <c r="H140" s="340"/>
      <c r="I140" s="340"/>
      <c r="J140" s="340"/>
      <c r="K140" s="340"/>
      <c r="L140" s="340"/>
      <c r="M140" s="342"/>
      <c r="N140" s="345" t="str">
        <f ca="1">IF(A140="", "",
 IF(AND(ISNUMBER(A140), A140 &gt;= TODAY(), A140 &lt;= TODAY() + 5), "In Progress",
 IF(AND(ISNUMBER(A140), A140 &lt; TODAY()), "Completed",
 IF(OR(A140="TBD", AND(ISNUMBER(A140), A140 &gt; TODAY() + 5)), "Not Started", ""))))</f>
        <v/>
      </c>
      <c r="O140" s="346"/>
      <c r="P140" s="351"/>
      <c r="Q140" s="352"/>
      <c r="R140" s="338"/>
      <c r="S140" s="338"/>
      <c r="T140" s="340"/>
      <c r="U140" s="340"/>
      <c r="V140" s="340"/>
      <c r="W140" s="340"/>
      <c r="X140" s="340"/>
      <c r="Y140" s="340"/>
      <c r="Z140" s="340"/>
      <c r="AA140" s="340"/>
      <c r="AB140" s="342"/>
      <c r="AC140" s="345" t="str">
        <f ca="1">IF(P140="", "",
 IF(AND(ISNUMBER(P140), P140 &gt;= TODAY(), P140 &lt;= TODAY() + 5), "In Progress",
 IF(AND(ISNUMBER(P140), P140 &lt; TODAY()), "Completed",
 IF(OR(P140="TBD", AND(ISNUMBER(P140), P140 &gt; TODAY() + 5)), "Not Started", ""))))</f>
        <v/>
      </c>
      <c r="AD140" s="346"/>
    </row>
    <row r="141" spans="1:30" ht="14.55" customHeight="1">
      <c r="A141" s="353"/>
      <c r="B141" s="492"/>
      <c r="C141" s="493"/>
      <c r="D141" s="493"/>
      <c r="E141" s="494"/>
      <c r="F141" s="494"/>
      <c r="G141" s="494"/>
      <c r="H141" s="494"/>
      <c r="I141" s="494"/>
      <c r="J141" s="494"/>
      <c r="K141" s="494"/>
      <c r="L141" s="494"/>
      <c r="M141" s="343"/>
      <c r="N141" s="347"/>
      <c r="O141" s="348"/>
      <c r="P141" s="353"/>
      <c r="Q141" s="492"/>
      <c r="R141" s="493"/>
      <c r="S141" s="493"/>
      <c r="T141" s="494"/>
      <c r="U141" s="494"/>
      <c r="V141" s="494"/>
      <c r="W141" s="494"/>
      <c r="X141" s="494"/>
      <c r="Y141" s="494"/>
      <c r="Z141" s="494"/>
      <c r="AA141" s="494"/>
      <c r="AB141" s="343"/>
      <c r="AC141" s="347"/>
      <c r="AD141" s="348"/>
    </row>
    <row r="142" spans="1:30" ht="14.55" customHeight="1">
      <c r="A142" s="354"/>
      <c r="B142" s="355"/>
      <c r="C142" s="339"/>
      <c r="D142" s="339"/>
      <c r="E142" s="341"/>
      <c r="F142" s="341"/>
      <c r="G142" s="341"/>
      <c r="H142" s="341"/>
      <c r="I142" s="341"/>
      <c r="J142" s="341"/>
      <c r="K142" s="341"/>
      <c r="L142" s="341"/>
      <c r="M142" s="344"/>
      <c r="N142" s="349"/>
      <c r="O142" s="350"/>
      <c r="P142" s="354"/>
      <c r="Q142" s="355"/>
      <c r="R142" s="339"/>
      <c r="S142" s="339"/>
      <c r="T142" s="341"/>
      <c r="U142" s="341"/>
      <c r="V142" s="341"/>
      <c r="W142" s="341"/>
      <c r="X142" s="341"/>
      <c r="Y142" s="341"/>
      <c r="Z142" s="341"/>
      <c r="AA142" s="341"/>
      <c r="AB142" s="344"/>
      <c r="AC142" s="349"/>
      <c r="AD142" s="350"/>
    </row>
    <row r="143" spans="1:30" ht="14.55" customHeight="1">
      <c r="A143" s="351"/>
      <c r="B143" s="352"/>
      <c r="C143" s="338"/>
      <c r="D143" s="338"/>
      <c r="E143" s="340"/>
      <c r="F143" s="340"/>
      <c r="G143" s="340"/>
      <c r="H143" s="340"/>
      <c r="I143" s="340"/>
      <c r="J143" s="340"/>
      <c r="K143" s="340"/>
      <c r="L143" s="340"/>
      <c r="M143" s="342"/>
      <c r="N143" s="345" t="str">
        <f ca="1">IF(A143="", "",
 IF(AND(ISNUMBER(A143), A143 &gt;= TODAY(), A143 &lt;= TODAY() + 5), "In Progress",
 IF(AND(ISNUMBER(A143), A143 &lt; TODAY()), "Completed",
 IF(OR(A143="TBD", AND(ISNUMBER(A143), A143 &gt; TODAY() + 5)), "Not Started", ""))))</f>
        <v/>
      </c>
      <c r="O143" s="346"/>
      <c r="P143" s="351"/>
      <c r="Q143" s="352"/>
      <c r="R143" s="338"/>
      <c r="S143" s="338"/>
      <c r="T143" s="340"/>
      <c r="U143" s="340"/>
      <c r="V143" s="340"/>
      <c r="W143" s="340"/>
      <c r="X143" s="340"/>
      <c r="Y143" s="340"/>
      <c r="Z143" s="340"/>
      <c r="AA143" s="340"/>
      <c r="AB143" s="342"/>
      <c r="AC143" s="345" t="str">
        <f ca="1">IF(P143="", "",
 IF(AND(ISNUMBER(P143), P143 &gt;= TODAY(), P143 &lt;= TODAY() + 5), "In Progress",
 IF(AND(ISNUMBER(P143), P143 &lt; TODAY()), "Completed",
 IF(OR(P143="TBD", AND(ISNUMBER(P143), P143 &gt; TODAY() + 5)), "Not Started", ""))))</f>
        <v/>
      </c>
      <c r="AD143" s="346"/>
    </row>
    <row r="144" spans="1:30" ht="14.55" customHeight="1">
      <c r="A144" s="353"/>
      <c r="B144" s="492"/>
      <c r="C144" s="493"/>
      <c r="D144" s="493"/>
      <c r="E144" s="494"/>
      <c r="F144" s="494"/>
      <c r="G144" s="494"/>
      <c r="H144" s="494"/>
      <c r="I144" s="494"/>
      <c r="J144" s="494"/>
      <c r="K144" s="494"/>
      <c r="L144" s="494"/>
      <c r="M144" s="343"/>
      <c r="N144" s="347"/>
      <c r="O144" s="348"/>
      <c r="P144" s="353"/>
      <c r="Q144" s="492"/>
      <c r="R144" s="493"/>
      <c r="S144" s="493"/>
      <c r="T144" s="494"/>
      <c r="U144" s="494"/>
      <c r="V144" s="494"/>
      <c r="W144" s="494"/>
      <c r="X144" s="494"/>
      <c r="Y144" s="494"/>
      <c r="Z144" s="494"/>
      <c r="AA144" s="494"/>
      <c r="AB144" s="343"/>
      <c r="AC144" s="347"/>
      <c r="AD144" s="348"/>
    </row>
    <row r="145" spans="1:30" ht="14.55" customHeight="1">
      <c r="A145" s="354"/>
      <c r="B145" s="355"/>
      <c r="C145" s="339"/>
      <c r="D145" s="339"/>
      <c r="E145" s="341"/>
      <c r="F145" s="341"/>
      <c r="G145" s="341"/>
      <c r="H145" s="341"/>
      <c r="I145" s="341"/>
      <c r="J145" s="341"/>
      <c r="K145" s="341"/>
      <c r="L145" s="341"/>
      <c r="M145" s="344"/>
      <c r="N145" s="349"/>
      <c r="O145" s="350"/>
      <c r="P145" s="354"/>
      <c r="Q145" s="355"/>
      <c r="R145" s="339"/>
      <c r="S145" s="339"/>
      <c r="T145" s="341"/>
      <c r="U145" s="341"/>
      <c r="V145" s="341"/>
      <c r="W145" s="341"/>
      <c r="X145" s="341"/>
      <c r="Y145" s="341"/>
      <c r="Z145" s="341"/>
      <c r="AA145" s="341"/>
      <c r="AB145" s="344"/>
      <c r="AC145" s="349"/>
      <c r="AD145" s="350"/>
    </row>
    <row r="146" spans="1:30" ht="14.55" customHeight="1">
      <c r="A146" s="351"/>
      <c r="B146" s="352"/>
      <c r="C146" s="338"/>
      <c r="D146" s="338"/>
      <c r="E146" s="340"/>
      <c r="F146" s="340"/>
      <c r="G146" s="340"/>
      <c r="H146" s="340"/>
      <c r="I146" s="340"/>
      <c r="J146" s="340"/>
      <c r="K146" s="340"/>
      <c r="L146" s="340"/>
      <c r="M146" s="342"/>
      <c r="N146" s="345" t="str">
        <f ca="1">IF(A146="", "",
 IF(AND(ISNUMBER(A146), A146 &gt;= TODAY(), A146 &lt;= TODAY() + 5), "In Progress",
 IF(AND(ISNUMBER(A146), A146 &lt; TODAY()), "Completed",
 IF(OR(A146="TBD", AND(ISNUMBER(A146), A146 &gt; TODAY() + 5)), "Not Started", ""))))</f>
        <v/>
      </c>
      <c r="O146" s="346"/>
      <c r="P146" s="351"/>
      <c r="Q146" s="352"/>
      <c r="R146" s="338"/>
      <c r="S146" s="338"/>
      <c r="T146" s="340"/>
      <c r="U146" s="340"/>
      <c r="V146" s="340"/>
      <c r="W146" s="340"/>
      <c r="X146" s="340"/>
      <c r="Y146" s="340"/>
      <c r="Z146" s="340"/>
      <c r="AA146" s="340"/>
      <c r="AB146" s="342"/>
      <c r="AC146" s="345" t="str">
        <f ca="1">IF(P146="", "",
 IF(AND(ISNUMBER(P146), P146 &gt;= TODAY(), P146 &lt;= TODAY() + 5), "In Progress",
 IF(AND(ISNUMBER(P146), P146 &lt; TODAY()), "Completed",
 IF(OR(P146="TBD", AND(ISNUMBER(P146), P146 &gt; TODAY() + 5)), "Not Started", ""))))</f>
        <v/>
      </c>
      <c r="AD146" s="346"/>
    </row>
    <row r="147" spans="1:30" ht="14.55" customHeight="1">
      <c r="A147" s="353"/>
      <c r="B147" s="492"/>
      <c r="C147" s="493"/>
      <c r="D147" s="493"/>
      <c r="E147" s="494"/>
      <c r="F147" s="494"/>
      <c r="G147" s="494"/>
      <c r="H147" s="494"/>
      <c r="I147" s="494"/>
      <c r="J147" s="494"/>
      <c r="K147" s="494"/>
      <c r="L147" s="494"/>
      <c r="M147" s="343"/>
      <c r="N147" s="347"/>
      <c r="O147" s="348"/>
      <c r="P147" s="353"/>
      <c r="Q147" s="492"/>
      <c r="R147" s="493"/>
      <c r="S147" s="493"/>
      <c r="T147" s="494"/>
      <c r="U147" s="494"/>
      <c r="V147" s="494"/>
      <c r="W147" s="494"/>
      <c r="X147" s="494"/>
      <c r="Y147" s="494"/>
      <c r="Z147" s="494"/>
      <c r="AA147" s="494"/>
      <c r="AB147" s="343"/>
      <c r="AC147" s="347"/>
      <c r="AD147" s="348"/>
    </row>
    <row r="148" spans="1:30" ht="14.55" customHeight="1">
      <c r="A148" s="354"/>
      <c r="B148" s="355"/>
      <c r="C148" s="339"/>
      <c r="D148" s="339"/>
      <c r="E148" s="341"/>
      <c r="F148" s="341"/>
      <c r="G148" s="341"/>
      <c r="H148" s="341"/>
      <c r="I148" s="341"/>
      <c r="J148" s="341"/>
      <c r="K148" s="341"/>
      <c r="L148" s="341"/>
      <c r="M148" s="344"/>
      <c r="N148" s="349"/>
      <c r="O148" s="350"/>
      <c r="P148" s="354"/>
      <c r="Q148" s="355"/>
      <c r="R148" s="339"/>
      <c r="S148" s="339"/>
      <c r="T148" s="341"/>
      <c r="U148" s="341"/>
      <c r="V148" s="341"/>
      <c r="W148" s="341"/>
      <c r="X148" s="341"/>
      <c r="Y148" s="341"/>
      <c r="Z148" s="341"/>
      <c r="AA148" s="341"/>
      <c r="AB148" s="344"/>
      <c r="AC148" s="349"/>
      <c r="AD148" s="350"/>
    </row>
    <row r="149" spans="1:30" ht="14.55" customHeight="1">
      <c r="A149" s="351"/>
      <c r="B149" s="352"/>
      <c r="C149" s="338"/>
      <c r="D149" s="338"/>
      <c r="E149" s="340"/>
      <c r="F149" s="340"/>
      <c r="G149" s="340"/>
      <c r="H149" s="340"/>
      <c r="I149" s="340"/>
      <c r="J149" s="340"/>
      <c r="K149" s="340"/>
      <c r="L149" s="340"/>
      <c r="M149" s="342"/>
      <c r="N149" s="345" t="str">
        <f ca="1">IF(A149="", "",
 IF(AND(ISNUMBER(A149), A149 &gt;= TODAY(), A149 &lt;= TODAY() + 5), "In Progress",
 IF(AND(ISNUMBER(A149), A149 &lt; TODAY()), "Completed",
 IF(OR(A149="TBD", AND(ISNUMBER(A149), A149 &gt; TODAY() + 5)), "Not Started", ""))))</f>
        <v/>
      </c>
      <c r="O149" s="346"/>
      <c r="P149" s="351"/>
      <c r="Q149" s="352"/>
      <c r="R149" s="338"/>
      <c r="S149" s="338"/>
      <c r="T149" s="340"/>
      <c r="U149" s="340"/>
      <c r="V149" s="340"/>
      <c r="W149" s="340"/>
      <c r="X149" s="340"/>
      <c r="Y149" s="340"/>
      <c r="Z149" s="340"/>
      <c r="AA149" s="340"/>
      <c r="AB149" s="342"/>
      <c r="AC149" s="345" t="str">
        <f ca="1">IF(P149="", "",
 IF(AND(ISNUMBER(P149), P149 &gt;= TODAY(), P149 &lt;= TODAY() + 5), "In Progress",
 IF(AND(ISNUMBER(P149), P149 &lt; TODAY()), "Completed",
 IF(OR(P149="TBD", AND(ISNUMBER(P149), P149 &gt; TODAY() + 5)), "Not Started", ""))))</f>
        <v/>
      </c>
      <c r="AD149" s="346"/>
    </row>
    <row r="150" spans="1:30" ht="14.55" customHeight="1">
      <c r="A150" s="353"/>
      <c r="B150" s="492"/>
      <c r="C150" s="493"/>
      <c r="D150" s="493"/>
      <c r="E150" s="494"/>
      <c r="F150" s="494"/>
      <c r="G150" s="494"/>
      <c r="H150" s="494"/>
      <c r="I150" s="494"/>
      <c r="J150" s="494"/>
      <c r="K150" s="494"/>
      <c r="L150" s="494"/>
      <c r="M150" s="343"/>
      <c r="N150" s="347"/>
      <c r="O150" s="348"/>
      <c r="P150" s="353"/>
      <c r="Q150" s="492"/>
      <c r="R150" s="493"/>
      <c r="S150" s="493"/>
      <c r="T150" s="494"/>
      <c r="U150" s="494"/>
      <c r="V150" s="494"/>
      <c r="W150" s="494"/>
      <c r="X150" s="494"/>
      <c r="Y150" s="494"/>
      <c r="Z150" s="494"/>
      <c r="AA150" s="494"/>
      <c r="AB150" s="343"/>
      <c r="AC150" s="347"/>
      <c r="AD150" s="348"/>
    </row>
    <row r="151" spans="1:30" ht="14.55" customHeight="1">
      <c r="A151" s="354"/>
      <c r="B151" s="355"/>
      <c r="C151" s="339"/>
      <c r="D151" s="339"/>
      <c r="E151" s="341"/>
      <c r="F151" s="341"/>
      <c r="G151" s="341"/>
      <c r="H151" s="341"/>
      <c r="I151" s="341"/>
      <c r="J151" s="341"/>
      <c r="K151" s="341"/>
      <c r="L151" s="341"/>
      <c r="M151" s="344"/>
      <c r="N151" s="349"/>
      <c r="O151" s="350"/>
      <c r="P151" s="354"/>
      <c r="Q151" s="355"/>
      <c r="R151" s="339"/>
      <c r="S151" s="339"/>
      <c r="T151" s="341"/>
      <c r="U151" s="341"/>
      <c r="V151" s="341"/>
      <c r="W151" s="341"/>
      <c r="X151" s="341"/>
      <c r="Y151" s="341"/>
      <c r="Z151" s="341"/>
      <c r="AA151" s="341"/>
      <c r="AB151" s="344"/>
      <c r="AC151" s="349"/>
      <c r="AD151" s="350"/>
    </row>
    <row r="152" spans="1:30" ht="14.55" customHeight="1">
      <c r="A152" s="351"/>
      <c r="B152" s="352"/>
      <c r="C152" s="338"/>
      <c r="D152" s="338"/>
      <c r="E152" s="340"/>
      <c r="F152" s="340"/>
      <c r="G152" s="340"/>
      <c r="H152" s="340"/>
      <c r="I152" s="340"/>
      <c r="J152" s="340"/>
      <c r="K152" s="340"/>
      <c r="L152" s="340"/>
      <c r="M152" s="342"/>
      <c r="N152" s="345" t="str">
        <f ca="1">IF(A152="", "",
 IF(AND(ISNUMBER(A152), A152 &gt;= TODAY(), A152 &lt;= TODAY() + 5), "In Progress",
 IF(AND(ISNUMBER(A152), A152 &lt; TODAY()), "Completed",
 IF(OR(A152="TBD", AND(ISNUMBER(A152), A152 &gt; TODAY() + 5)), "Not Started", ""))))</f>
        <v/>
      </c>
      <c r="O152" s="346"/>
      <c r="P152" s="351"/>
      <c r="Q152" s="352"/>
      <c r="R152" s="338"/>
      <c r="S152" s="338"/>
      <c r="T152" s="340"/>
      <c r="U152" s="340"/>
      <c r="V152" s="340"/>
      <c r="W152" s="340"/>
      <c r="X152" s="340"/>
      <c r="Y152" s="340"/>
      <c r="Z152" s="340"/>
      <c r="AA152" s="340"/>
      <c r="AB152" s="342"/>
      <c r="AC152" s="345" t="str">
        <f ca="1">IF(P152="", "",
 IF(AND(ISNUMBER(P152), P152 &gt;= TODAY(), P152 &lt;= TODAY() + 5), "In Progress",
 IF(AND(ISNUMBER(P152), P152 &lt; TODAY()), "Completed",
 IF(OR(P152="TBD", AND(ISNUMBER(P152), P152 &gt; TODAY() + 5)), "Not Started", ""))))</f>
        <v/>
      </c>
      <c r="AD152" s="346"/>
    </row>
    <row r="153" spans="1:30" ht="14.55" customHeight="1">
      <c r="A153" s="353"/>
      <c r="B153" s="492"/>
      <c r="C153" s="493"/>
      <c r="D153" s="493"/>
      <c r="E153" s="494"/>
      <c r="F153" s="494"/>
      <c r="G153" s="494"/>
      <c r="H153" s="494"/>
      <c r="I153" s="494"/>
      <c r="J153" s="494"/>
      <c r="K153" s="494"/>
      <c r="L153" s="494"/>
      <c r="M153" s="343"/>
      <c r="N153" s="347"/>
      <c r="O153" s="348"/>
      <c r="P153" s="353"/>
      <c r="Q153" s="492"/>
      <c r="R153" s="493"/>
      <c r="S153" s="493"/>
      <c r="T153" s="494"/>
      <c r="U153" s="494"/>
      <c r="V153" s="494"/>
      <c r="W153" s="494"/>
      <c r="X153" s="494"/>
      <c r="Y153" s="494"/>
      <c r="Z153" s="494"/>
      <c r="AA153" s="494"/>
      <c r="AB153" s="343"/>
      <c r="AC153" s="347"/>
      <c r="AD153" s="348"/>
    </row>
    <row r="154" spans="1:30" ht="14.55" customHeight="1">
      <c r="A154" s="354"/>
      <c r="B154" s="355"/>
      <c r="C154" s="339"/>
      <c r="D154" s="339"/>
      <c r="E154" s="341"/>
      <c r="F154" s="341"/>
      <c r="G154" s="341"/>
      <c r="H154" s="341"/>
      <c r="I154" s="341"/>
      <c r="J154" s="341"/>
      <c r="K154" s="341"/>
      <c r="L154" s="341"/>
      <c r="M154" s="344"/>
      <c r="N154" s="349"/>
      <c r="O154" s="350"/>
      <c r="P154" s="354"/>
      <c r="Q154" s="355"/>
      <c r="R154" s="339"/>
      <c r="S154" s="339"/>
      <c r="T154" s="341"/>
      <c r="U154" s="341"/>
      <c r="V154" s="341"/>
      <c r="W154" s="341"/>
      <c r="X154" s="341"/>
      <c r="Y154" s="341"/>
      <c r="Z154" s="341"/>
      <c r="AA154" s="341"/>
      <c r="AB154" s="344"/>
      <c r="AC154" s="349"/>
      <c r="AD154" s="350"/>
    </row>
    <row r="155" spans="1:30" ht="14.55" customHeight="1">
      <c r="A155" s="351"/>
      <c r="B155" s="352"/>
      <c r="C155" s="338"/>
      <c r="D155" s="338"/>
      <c r="E155" s="340"/>
      <c r="F155" s="340"/>
      <c r="G155" s="340"/>
      <c r="H155" s="340"/>
      <c r="I155" s="340"/>
      <c r="J155" s="340"/>
      <c r="K155" s="340"/>
      <c r="L155" s="340"/>
      <c r="M155" s="342"/>
      <c r="N155" s="345" t="str">
        <f ca="1">IF(A155="", "",
 IF(AND(ISNUMBER(A155), A155 &gt;= TODAY(), A155 &lt;= TODAY() + 5), "In Progress",
 IF(AND(ISNUMBER(A155), A155 &lt; TODAY()), "Completed",
 IF(OR(A155="TBD", AND(ISNUMBER(A155), A155 &gt; TODAY() + 5)), "Not Started", ""))))</f>
        <v/>
      </c>
      <c r="O155" s="346"/>
      <c r="P155" s="351"/>
      <c r="Q155" s="352"/>
      <c r="R155" s="338"/>
      <c r="S155" s="338"/>
      <c r="T155" s="340"/>
      <c r="U155" s="340"/>
      <c r="V155" s="340"/>
      <c r="W155" s="340"/>
      <c r="X155" s="340"/>
      <c r="Y155" s="340"/>
      <c r="Z155" s="340"/>
      <c r="AA155" s="340"/>
      <c r="AB155" s="342"/>
      <c r="AC155" s="345" t="str">
        <f ca="1">IF(P155="", "",
 IF(AND(ISNUMBER(P155), P155 &gt;= TODAY(), P155 &lt;= TODAY() + 5), "In Progress",
 IF(AND(ISNUMBER(P155), P155 &lt; TODAY()), "Completed",
 IF(OR(P155="TBD", AND(ISNUMBER(P155), P155 &gt; TODAY() + 5)), "Not Started", ""))))</f>
        <v/>
      </c>
      <c r="AD155" s="346"/>
    </row>
    <row r="156" spans="1:30" ht="14.55" customHeight="1">
      <c r="A156" s="353"/>
      <c r="B156" s="492"/>
      <c r="C156" s="493"/>
      <c r="D156" s="493"/>
      <c r="E156" s="494"/>
      <c r="F156" s="494"/>
      <c r="G156" s="494"/>
      <c r="H156" s="494"/>
      <c r="I156" s="494"/>
      <c r="J156" s="494"/>
      <c r="K156" s="494"/>
      <c r="L156" s="494"/>
      <c r="M156" s="343"/>
      <c r="N156" s="347"/>
      <c r="O156" s="348"/>
      <c r="P156" s="353"/>
      <c r="Q156" s="492"/>
      <c r="R156" s="493"/>
      <c r="S156" s="493"/>
      <c r="T156" s="494"/>
      <c r="U156" s="494"/>
      <c r="V156" s="494"/>
      <c r="W156" s="494"/>
      <c r="X156" s="494"/>
      <c r="Y156" s="494"/>
      <c r="Z156" s="494"/>
      <c r="AA156" s="494"/>
      <c r="AB156" s="343"/>
      <c r="AC156" s="347"/>
      <c r="AD156" s="348"/>
    </row>
    <row r="157" spans="1:30" ht="14.55" customHeight="1">
      <c r="A157" s="354"/>
      <c r="B157" s="355"/>
      <c r="C157" s="339"/>
      <c r="D157" s="339"/>
      <c r="E157" s="341"/>
      <c r="F157" s="341"/>
      <c r="G157" s="341"/>
      <c r="H157" s="341"/>
      <c r="I157" s="341"/>
      <c r="J157" s="341"/>
      <c r="K157" s="341"/>
      <c r="L157" s="341"/>
      <c r="M157" s="344"/>
      <c r="N157" s="349"/>
      <c r="O157" s="350"/>
      <c r="P157" s="354"/>
      <c r="Q157" s="355"/>
      <c r="R157" s="339"/>
      <c r="S157" s="339"/>
      <c r="T157" s="341"/>
      <c r="U157" s="341"/>
      <c r="V157" s="341"/>
      <c r="W157" s="341"/>
      <c r="X157" s="341"/>
      <c r="Y157" s="341"/>
      <c r="Z157" s="341"/>
      <c r="AA157" s="341"/>
      <c r="AB157" s="344"/>
      <c r="AC157" s="349"/>
      <c r="AD157" s="350"/>
    </row>
    <row r="158" spans="1:30" ht="14.55" customHeight="1">
      <c r="A158" s="351"/>
      <c r="B158" s="352"/>
      <c r="C158" s="338"/>
      <c r="D158" s="338"/>
      <c r="E158" s="340"/>
      <c r="F158" s="340"/>
      <c r="G158" s="340"/>
      <c r="H158" s="340"/>
      <c r="I158" s="340"/>
      <c r="J158" s="340"/>
      <c r="K158" s="340"/>
      <c r="L158" s="340"/>
      <c r="M158" s="342"/>
      <c r="N158" s="345" t="str">
        <f ca="1">IF(A158="", "",
 IF(AND(ISNUMBER(A158), A158 &gt;= TODAY(), A158 &lt;= TODAY() + 5), "In Progress",
 IF(AND(ISNUMBER(A158), A158 &lt; TODAY()), "Completed",
 IF(OR(A158="TBD", AND(ISNUMBER(A158), A158 &gt; TODAY() + 5)), "Not Started", ""))))</f>
        <v/>
      </c>
      <c r="O158" s="346"/>
      <c r="P158" s="351"/>
      <c r="Q158" s="352"/>
      <c r="R158" s="338"/>
      <c r="S158" s="338"/>
      <c r="T158" s="340"/>
      <c r="U158" s="340"/>
      <c r="V158" s="340"/>
      <c r="W158" s="340"/>
      <c r="X158" s="340"/>
      <c r="Y158" s="340"/>
      <c r="Z158" s="340"/>
      <c r="AA158" s="340"/>
      <c r="AB158" s="342"/>
      <c r="AC158" s="345" t="str">
        <f ca="1">IF(P158="", "",
 IF(AND(ISNUMBER(P158), P158 &gt;= TODAY(), P158 &lt;= TODAY() + 5), "In Progress",
 IF(AND(ISNUMBER(P158), P158 &lt; TODAY()), "Completed",
 IF(OR(P158="TBD", AND(ISNUMBER(P158), P158 &gt; TODAY() + 5)), "Not Started", ""))))</f>
        <v/>
      </c>
      <c r="AD158" s="346"/>
    </row>
    <row r="159" spans="1:30" ht="14.55" customHeight="1">
      <c r="A159" s="353"/>
      <c r="B159" s="492"/>
      <c r="C159" s="493"/>
      <c r="D159" s="493"/>
      <c r="E159" s="494"/>
      <c r="F159" s="494"/>
      <c r="G159" s="494"/>
      <c r="H159" s="494"/>
      <c r="I159" s="494"/>
      <c r="J159" s="494"/>
      <c r="K159" s="494"/>
      <c r="L159" s="494"/>
      <c r="M159" s="343"/>
      <c r="N159" s="347"/>
      <c r="O159" s="348"/>
      <c r="P159" s="353"/>
      <c r="Q159" s="492"/>
      <c r="R159" s="493"/>
      <c r="S159" s="493"/>
      <c r="T159" s="494"/>
      <c r="U159" s="494"/>
      <c r="V159" s="494"/>
      <c r="W159" s="494"/>
      <c r="X159" s="494"/>
      <c r="Y159" s="494"/>
      <c r="Z159" s="494"/>
      <c r="AA159" s="494"/>
      <c r="AB159" s="343"/>
      <c r="AC159" s="347"/>
      <c r="AD159" s="348"/>
    </row>
    <row r="160" spans="1:30" ht="14.55" customHeight="1">
      <c r="A160" s="354"/>
      <c r="B160" s="355"/>
      <c r="C160" s="339"/>
      <c r="D160" s="339"/>
      <c r="E160" s="341"/>
      <c r="F160" s="341"/>
      <c r="G160" s="341"/>
      <c r="H160" s="341"/>
      <c r="I160" s="341"/>
      <c r="J160" s="341"/>
      <c r="K160" s="341"/>
      <c r="L160" s="341"/>
      <c r="M160" s="344"/>
      <c r="N160" s="349"/>
      <c r="O160" s="350"/>
      <c r="P160" s="354"/>
      <c r="Q160" s="355"/>
      <c r="R160" s="339"/>
      <c r="S160" s="339"/>
      <c r="T160" s="341"/>
      <c r="U160" s="341"/>
      <c r="V160" s="341"/>
      <c r="W160" s="341"/>
      <c r="X160" s="341"/>
      <c r="Y160" s="341"/>
      <c r="Z160" s="341"/>
      <c r="AA160" s="341"/>
      <c r="AB160" s="344"/>
      <c r="AC160" s="349"/>
      <c r="AD160" s="350"/>
    </row>
    <row r="161" spans="1:32" ht="14.55" customHeight="1">
      <c r="A161" s="351"/>
      <c r="B161" s="352"/>
      <c r="C161" s="338"/>
      <c r="D161" s="338"/>
      <c r="E161" s="340"/>
      <c r="F161" s="340"/>
      <c r="G161" s="340"/>
      <c r="H161" s="340"/>
      <c r="I161" s="340"/>
      <c r="J161" s="340"/>
      <c r="K161" s="340"/>
      <c r="L161" s="340"/>
      <c r="M161" s="342"/>
      <c r="N161" s="345" t="str">
        <f ca="1">IF(A161="", "",
 IF(AND(ISNUMBER(A161), A161 &gt;= TODAY(), A161 &lt;= TODAY() + 5), "In Progress",
 IF(AND(ISNUMBER(A161), A161 &lt; TODAY()), "Completed",
 IF(OR(A161="TBD", AND(ISNUMBER(A161), A161 &gt; TODAY() + 5)), "Not Started", ""))))</f>
        <v/>
      </c>
      <c r="O161" s="346"/>
      <c r="P161" s="351"/>
      <c r="Q161" s="352"/>
      <c r="R161" s="338"/>
      <c r="S161" s="338"/>
      <c r="T161" s="340"/>
      <c r="U161" s="340"/>
      <c r="V161" s="340"/>
      <c r="W161" s="340"/>
      <c r="X161" s="340"/>
      <c r="Y161" s="340"/>
      <c r="Z161" s="340"/>
      <c r="AA161" s="340"/>
      <c r="AB161" s="342"/>
      <c r="AC161" s="345" t="str">
        <f ca="1">IF(P161="", "",
 IF(AND(ISNUMBER(P161), P161 &gt;= TODAY(), P161 &lt;= TODAY() + 5), "In Progress",
 IF(AND(ISNUMBER(P161), P161 &lt; TODAY()), "Completed",
 IF(OR(P161="TBD", AND(ISNUMBER(P161), P161 &gt; TODAY() + 5)), "Not Started", ""))))</f>
        <v/>
      </c>
      <c r="AD161" s="346"/>
    </row>
    <row r="162" spans="1:32" ht="14.55" customHeight="1">
      <c r="A162" s="353"/>
      <c r="B162" s="492"/>
      <c r="C162" s="493"/>
      <c r="D162" s="493"/>
      <c r="E162" s="494"/>
      <c r="F162" s="494"/>
      <c r="G162" s="494"/>
      <c r="H162" s="494"/>
      <c r="I162" s="494"/>
      <c r="J162" s="494"/>
      <c r="K162" s="494"/>
      <c r="L162" s="494"/>
      <c r="M162" s="343"/>
      <c r="N162" s="347"/>
      <c r="O162" s="348"/>
      <c r="P162" s="353"/>
      <c r="Q162" s="492"/>
      <c r="R162" s="493"/>
      <c r="S162" s="493"/>
      <c r="T162" s="494"/>
      <c r="U162" s="494"/>
      <c r="V162" s="494"/>
      <c r="W162" s="494"/>
      <c r="X162" s="494"/>
      <c r="Y162" s="494"/>
      <c r="Z162" s="494"/>
      <c r="AA162" s="494"/>
      <c r="AB162" s="343"/>
      <c r="AC162" s="347"/>
      <c r="AD162" s="348"/>
    </row>
    <row r="163" spans="1:32" ht="14.55" customHeight="1">
      <c r="A163" s="354"/>
      <c r="B163" s="355"/>
      <c r="C163" s="339"/>
      <c r="D163" s="339"/>
      <c r="E163" s="341"/>
      <c r="F163" s="341"/>
      <c r="G163" s="341"/>
      <c r="H163" s="341"/>
      <c r="I163" s="341"/>
      <c r="J163" s="341"/>
      <c r="K163" s="341"/>
      <c r="L163" s="341"/>
      <c r="M163" s="344"/>
      <c r="N163" s="349"/>
      <c r="O163" s="350"/>
      <c r="P163" s="354"/>
      <c r="Q163" s="355"/>
      <c r="R163" s="339"/>
      <c r="S163" s="339"/>
      <c r="T163" s="341"/>
      <c r="U163" s="341"/>
      <c r="V163" s="341"/>
      <c r="W163" s="341"/>
      <c r="X163" s="341"/>
      <c r="Y163" s="341"/>
      <c r="Z163" s="341"/>
      <c r="AA163" s="341"/>
      <c r="AB163" s="344"/>
      <c r="AC163" s="349"/>
      <c r="AD163" s="350"/>
    </row>
    <row r="164" spans="1:32" ht="14.55" customHeight="1">
      <c r="A164" s="351"/>
      <c r="B164" s="352"/>
      <c r="C164" s="338"/>
      <c r="D164" s="338"/>
      <c r="E164" s="340"/>
      <c r="F164" s="340"/>
      <c r="G164" s="340"/>
      <c r="H164" s="340"/>
      <c r="I164" s="340"/>
      <c r="J164" s="340"/>
      <c r="K164" s="340"/>
      <c r="L164" s="340"/>
      <c r="M164" s="342"/>
      <c r="N164" s="345" t="str">
        <f ca="1">IF(A164="", "",
 IF(AND(ISNUMBER(A164), A164 &gt;= TODAY(), A164 &lt;= TODAY() + 5), "In Progress",
 IF(AND(ISNUMBER(A164), A164 &lt; TODAY()), "Completed",
 IF(OR(A164="TBD", AND(ISNUMBER(A164), A164 &gt; TODAY() + 5)), "Not Started", ""))))</f>
        <v/>
      </c>
      <c r="O164" s="346"/>
      <c r="P164" s="351"/>
      <c r="Q164" s="352"/>
      <c r="R164" s="338"/>
      <c r="S164" s="338"/>
      <c r="T164" s="340"/>
      <c r="U164" s="340"/>
      <c r="V164" s="340"/>
      <c r="W164" s="340"/>
      <c r="X164" s="340"/>
      <c r="Y164" s="340"/>
      <c r="Z164" s="340"/>
      <c r="AA164" s="340"/>
      <c r="AB164" s="342"/>
      <c r="AC164" s="345" t="str">
        <f ca="1">IF(P164="", "",
 IF(AND(ISNUMBER(P164), P164 &gt;= TODAY(), P164 &lt;= TODAY() + 5), "In Progress",
 IF(AND(ISNUMBER(P164), P164 &lt; TODAY()), "Completed",
 IF(OR(P164="TBD", AND(ISNUMBER(P164), P164 &gt; TODAY() + 5)), "Not Started", ""))))</f>
        <v/>
      </c>
      <c r="AD164" s="346"/>
    </row>
    <row r="165" spans="1:32" ht="14.55" customHeight="1">
      <c r="A165" s="353"/>
      <c r="B165" s="492"/>
      <c r="C165" s="493"/>
      <c r="D165" s="493"/>
      <c r="E165" s="494"/>
      <c r="F165" s="494"/>
      <c r="G165" s="494"/>
      <c r="H165" s="494"/>
      <c r="I165" s="494"/>
      <c r="J165" s="494"/>
      <c r="K165" s="494"/>
      <c r="L165" s="494"/>
      <c r="M165" s="343"/>
      <c r="N165" s="347"/>
      <c r="O165" s="348"/>
      <c r="P165" s="353"/>
      <c r="Q165" s="492"/>
      <c r="R165" s="493"/>
      <c r="S165" s="493"/>
      <c r="T165" s="494"/>
      <c r="U165" s="494"/>
      <c r="V165" s="494"/>
      <c r="W165" s="494"/>
      <c r="X165" s="494"/>
      <c r="Y165" s="494"/>
      <c r="Z165" s="494"/>
      <c r="AA165" s="494"/>
      <c r="AB165" s="343"/>
      <c r="AC165" s="347"/>
      <c r="AD165" s="348"/>
    </row>
    <row r="166" spans="1:32" ht="14.55" customHeight="1">
      <c r="A166" s="354"/>
      <c r="B166" s="355"/>
      <c r="C166" s="339"/>
      <c r="D166" s="339"/>
      <c r="E166" s="341"/>
      <c r="F166" s="341"/>
      <c r="G166" s="341"/>
      <c r="H166" s="341"/>
      <c r="I166" s="341"/>
      <c r="J166" s="341"/>
      <c r="K166" s="341"/>
      <c r="L166" s="341"/>
      <c r="M166" s="344"/>
      <c r="N166" s="349"/>
      <c r="O166" s="350"/>
      <c r="P166" s="354"/>
      <c r="Q166" s="355"/>
      <c r="R166" s="339"/>
      <c r="S166" s="339"/>
      <c r="T166" s="341"/>
      <c r="U166" s="341"/>
      <c r="V166" s="341"/>
      <c r="W166" s="341"/>
      <c r="X166" s="341"/>
      <c r="Y166" s="341"/>
      <c r="Z166" s="341"/>
      <c r="AA166" s="341"/>
      <c r="AB166" s="344"/>
      <c r="AC166" s="349"/>
      <c r="AD166" s="350"/>
    </row>
    <row r="167" spans="1:32" ht="14.55" customHeight="1">
      <c r="A167" s="351"/>
      <c r="B167" s="352"/>
      <c r="C167" s="338"/>
      <c r="D167" s="338"/>
      <c r="E167" s="340"/>
      <c r="F167" s="340"/>
      <c r="G167" s="340"/>
      <c r="H167" s="340"/>
      <c r="I167" s="340"/>
      <c r="J167" s="340"/>
      <c r="K167" s="340"/>
      <c r="L167" s="340"/>
      <c r="M167" s="342"/>
      <c r="N167" s="345" t="str">
        <f ca="1">IF(A167="", "",
 IF(AND(ISNUMBER(A167), A167 &gt;= TODAY(), A167 &lt;= TODAY() + 5), "In Progress",
 IF(AND(ISNUMBER(A167), A167 &lt; TODAY()), "Completed",
 IF(OR(A167="TBD", AND(ISNUMBER(A167), A167 &gt; TODAY() + 5)), "Not Started", ""))))</f>
        <v/>
      </c>
      <c r="O167" s="346"/>
      <c r="P167" s="351"/>
      <c r="Q167" s="352"/>
      <c r="R167" s="338"/>
      <c r="S167" s="338"/>
      <c r="T167" s="340"/>
      <c r="U167" s="340"/>
      <c r="V167" s="340"/>
      <c r="W167" s="340"/>
      <c r="X167" s="340"/>
      <c r="Y167" s="340"/>
      <c r="Z167" s="340"/>
      <c r="AA167" s="340"/>
      <c r="AB167" s="342"/>
      <c r="AC167" s="345" t="str">
        <f ca="1">IF(P167="", "",
 IF(AND(ISNUMBER(P167), P167 &gt;= TODAY(), P167 &lt;= TODAY() + 5), "In Progress",
 IF(AND(ISNUMBER(P167), P167 &lt; TODAY()), "Completed",
 IF(OR(P167="TBD", AND(ISNUMBER(P167), P167 &gt; TODAY() + 5)), "Not Started", ""))))</f>
        <v/>
      </c>
      <c r="AD167" s="346"/>
    </row>
    <row r="168" spans="1:32" ht="14.55" customHeight="1">
      <c r="A168" s="353"/>
      <c r="B168" s="492"/>
      <c r="C168" s="493"/>
      <c r="D168" s="493"/>
      <c r="E168" s="494"/>
      <c r="F168" s="494"/>
      <c r="G168" s="494"/>
      <c r="H168" s="494"/>
      <c r="I168" s="494"/>
      <c r="J168" s="494"/>
      <c r="K168" s="494"/>
      <c r="L168" s="494"/>
      <c r="M168" s="343"/>
      <c r="N168" s="347"/>
      <c r="O168" s="348"/>
      <c r="P168" s="353"/>
      <c r="Q168" s="492"/>
      <c r="R168" s="493"/>
      <c r="S168" s="493"/>
      <c r="T168" s="494"/>
      <c r="U168" s="494"/>
      <c r="V168" s="494"/>
      <c r="W168" s="494"/>
      <c r="X168" s="494"/>
      <c r="Y168" s="494"/>
      <c r="Z168" s="494"/>
      <c r="AA168" s="494"/>
      <c r="AB168" s="343"/>
      <c r="AC168" s="347"/>
      <c r="AD168" s="348"/>
    </row>
    <row r="169" spans="1:32" ht="14.55" customHeight="1">
      <c r="A169" s="354"/>
      <c r="B169" s="355"/>
      <c r="C169" s="339"/>
      <c r="D169" s="339"/>
      <c r="E169" s="341"/>
      <c r="F169" s="341"/>
      <c r="G169" s="341"/>
      <c r="H169" s="341"/>
      <c r="I169" s="341"/>
      <c r="J169" s="341"/>
      <c r="K169" s="341"/>
      <c r="L169" s="341"/>
      <c r="M169" s="344"/>
      <c r="N169" s="349"/>
      <c r="O169" s="350"/>
      <c r="P169" s="354"/>
      <c r="Q169" s="355"/>
      <c r="R169" s="339"/>
      <c r="S169" s="339"/>
      <c r="T169" s="341"/>
      <c r="U169" s="341"/>
      <c r="V169" s="341"/>
      <c r="W169" s="341"/>
      <c r="X169" s="341"/>
      <c r="Y169" s="341"/>
      <c r="Z169" s="341"/>
      <c r="AA169" s="341"/>
      <c r="AB169" s="344"/>
      <c r="AC169" s="349"/>
      <c r="AD169" s="350"/>
    </row>
    <row r="170" spans="1:32" ht="14.55" customHeight="1">
      <c r="A170" s="351"/>
      <c r="B170" s="352"/>
      <c r="C170" s="338"/>
      <c r="D170" s="338"/>
      <c r="E170" s="340"/>
      <c r="F170" s="340"/>
      <c r="G170" s="340"/>
      <c r="H170" s="340"/>
      <c r="I170" s="340"/>
      <c r="J170" s="340"/>
      <c r="K170" s="340"/>
      <c r="L170" s="340"/>
      <c r="M170" s="342"/>
      <c r="N170" s="345" t="str">
        <f ca="1">IF(A170="", "",
 IF(AND(ISNUMBER(A170), A170 &gt;= TODAY(), A170 &lt;= TODAY() + 5), "In Progress",
 IF(AND(ISNUMBER(A170), A170 &lt; TODAY()), "Completed",
 IF(OR(A170="TBD", AND(ISNUMBER(A170), A170 &gt; TODAY() + 5)), "Not Started", ""))))</f>
        <v/>
      </c>
      <c r="O170" s="346"/>
      <c r="P170" s="351"/>
      <c r="Q170" s="352"/>
      <c r="R170" s="338"/>
      <c r="S170" s="338"/>
      <c r="T170" s="340"/>
      <c r="U170" s="340"/>
      <c r="V170" s="340"/>
      <c r="W170" s="340"/>
      <c r="X170" s="340"/>
      <c r="Y170" s="340"/>
      <c r="Z170" s="340"/>
      <c r="AA170" s="340"/>
      <c r="AB170" s="342"/>
      <c r="AC170" s="345" t="str">
        <f ca="1">IF(P170="", "",
 IF(AND(ISNUMBER(P170), P170 &gt;= TODAY(), P170 &lt;= TODAY() + 5), "In Progress",
 IF(AND(ISNUMBER(P170), P170 &lt; TODAY()), "Completed",
 IF(OR(P170="TBD", AND(ISNUMBER(P170), P170 &gt; TODAY() + 5)), "Not Started", ""))))</f>
        <v/>
      </c>
      <c r="AD170" s="346"/>
    </row>
    <row r="171" spans="1:32" ht="14.55" customHeight="1">
      <c r="A171" s="353"/>
      <c r="B171" s="492"/>
      <c r="C171" s="493"/>
      <c r="D171" s="493"/>
      <c r="E171" s="494"/>
      <c r="F171" s="494"/>
      <c r="G171" s="494"/>
      <c r="H171" s="494"/>
      <c r="I171" s="494"/>
      <c r="J171" s="494"/>
      <c r="K171" s="494"/>
      <c r="L171" s="494"/>
      <c r="M171" s="343"/>
      <c r="N171" s="347"/>
      <c r="O171" s="348"/>
      <c r="P171" s="353"/>
      <c r="Q171" s="492"/>
      <c r="R171" s="493"/>
      <c r="S171" s="493"/>
      <c r="T171" s="494"/>
      <c r="U171" s="494"/>
      <c r="V171" s="494"/>
      <c r="W171" s="494"/>
      <c r="X171" s="494"/>
      <c r="Y171" s="494"/>
      <c r="Z171" s="494"/>
      <c r="AA171" s="494"/>
      <c r="AB171" s="343"/>
      <c r="AC171" s="347"/>
      <c r="AD171" s="348"/>
    </row>
    <row r="172" spans="1:32" ht="14.55" customHeight="1">
      <c r="A172" s="354"/>
      <c r="B172" s="355"/>
      <c r="C172" s="339"/>
      <c r="D172" s="339"/>
      <c r="E172" s="341"/>
      <c r="F172" s="341"/>
      <c r="G172" s="341"/>
      <c r="H172" s="341"/>
      <c r="I172" s="341"/>
      <c r="J172" s="341"/>
      <c r="K172" s="341"/>
      <c r="L172" s="341"/>
      <c r="M172" s="344"/>
      <c r="N172" s="349"/>
      <c r="O172" s="350"/>
      <c r="P172" s="354"/>
      <c r="Q172" s="355"/>
      <c r="R172" s="339"/>
      <c r="S172" s="339"/>
      <c r="T172" s="341"/>
      <c r="U172" s="341"/>
      <c r="V172" s="341"/>
      <c r="W172" s="341"/>
      <c r="X172" s="341"/>
      <c r="Y172" s="341"/>
      <c r="Z172" s="341"/>
      <c r="AA172" s="341"/>
      <c r="AB172" s="344"/>
      <c r="AC172" s="349"/>
      <c r="AD172" s="350"/>
    </row>
    <row r="173" spans="1:32" ht="14.55" customHeight="1">
      <c r="A173" s="351"/>
      <c r="B173" s="352"/>
      <c r="C173" s="338"/>
      <c r="D173" s="338"/>
      <c r="E173" s="340"/>
      <c r="F173" s="340"/>
      <c r="G173" s="340"/>
      <c r="H173" s="340"/>
      <c r="I173" s="340"/>
      <c r="J173" s="340"/>
      <c r="K173" s="340"/>
      <c r="L173" s="340"/>
      <c r="M173" s="342"/>
      <c r="N173" s="345" t="str">
        <f ca="1">IF(A173="", "",
 IF(AND(ISNUMBER(A173), A173 &gt;= TODAY(), A173 &lt;= TODAY() + 5), "In Progress",
 IF(AND(ISNUMBER(A173), A173 &lt; TODAY()), "Completed",
 IF(OR(A173="TBD", AND(ISNUMBER(A173), A173 &gt; TODAY() + 5)), "Not Started", ""))))</f>
        <v/>
      </c>
      <c r="O173" s="346"/>
      <c r="P173" s="351"/>
      <c r="Q173" s="352"/>
      <c r="R173" s="338"/>
      <c r="S173" s="338"/>
      <c r="T173" s="340"/>
      <c r="U173" s="340"/>
      <c r="V173" s="340"/>
      <c r="W173" s="340"/>
      <c r="X173" s="340"/>
      <c r="Y173" s="340"/>
      <c r="Z173" s="340"/>
      <c r="AA173" s="340"/>
      <c r="AB173" s="342"/>
      <c r="AC173" s="345" t="str">
        <f ca="1">IF(P173="", "",
 IF(AND(ISNUMBER(P173), P173 &gt;= TODAY(), P173 &lt;= TODAY() + 5), "In Progress",
 IF(AND(ISNUMBER(P173), P173 &lt; TODAY()), "Completed",
 IF(OR(P173="TBD", AND(ISNUMBER(P173), P173 &gt; TODAY() + 5)), "Not Started", ""))))</f>
        <v/>
      </c>
      <c r="AD173" s="346"/>
    </row>
    <row r="174" spans="1:32" ht="14.55" customHeight="1">
      <c r="A174" s="353"/>
      <c r="B174" s="492"/>
      <c r="C174" s="493"/>
      <c r="D174" s="493"/>
      <c r="E174" s="494"/>
      <c r="F174" s="494"/>
      <c r="G174" s="494"/>
      <c r="H174" s="494"/>
      <c r="I174" s="494"/>
      <c r="J174" s="494"/>
      <c r="K174" s="494"/>
      <c r="L174" s="494"/>
      <c r="M174" s="343"/>
      <c r="N174" s="347"/>
      <c r="O174" s="348"/>
      <c r="P174" s="353"/>
      <c r="Q174" s="492"/>
      <c r="R174" s="493"/>
      <c r="S174" s="493"/>
      <c r="T174" s="494"/>
      <c r="U174" s="494"/>
      <c r="V174" s="494"/>
      <c r="W174" s="494"/>
      <c r="X174" s="494"/>
      <c r="Y174" s="494"/>
      <c r="Z174" s="494"/>
      <c r="AA174" s="494"/>
      <c r="AB174" s="343"/>
      <c r="AC174" s="347"/>
      <c r="AD174" s="348"/>
    </row>
    <row r="175" spans="1:32" ht="14.55" customHeight="1">
      <c r="A175" s="354"/>
      <c r="B175" s="355"/>
      <c r="C175" s="339"/>
      <c r="D175" s="339"/>
      <c r="E175" s="341"/>
      <c r="F175" s="341"/>
      <c r="G175" s="341"/>
      <c r="H175" s="341"/>
      <c r="I175" s="341"/>
      <c r="J175" s="341"/>
      <c r="K175" s="341"/>
      <c r="L175" s="341"/>
      <c r="M175" s="344"/>
      <c r="N175" s="349"/>
      <c r="O175" s="350"/>
      <c r="P175" s="354"/>
      <c r="Q175" s="355"/>
      <c r="R175" s="339"/>
      <c r="S175" s="339"/>
      <c r="T175" s="341"/>
      <c r="U175" s="341"/>
      <c r="V175" s="341"/>
      <c r="W175" s="341"/>
      <c r="X175" s="341"/>
      <c r="Y175" s="341"/>
      <c r="Z175" s="341"/>
      <c r="AA175" s="341"/>
      <c r="AB175" s="344"/>
      <c r="AC175" s="349"/>
      <c r="AD175" s="350"/>
    </row>
    <row r="176" spans="1:32" ht="14.55" customHeight="1">
      <c r="A176" s="392"/>
      <c r="B176" s="392"/>
      <c r="C176" s="392"/>
      <c r="D176" s="392"/>
      <c r="E176" s="392"/>
      <c r="F176" s="392"/>
      <c r="G176" s="392"/>
      <c r="H176" s="392"/>
      <c r="I176" s="392"/>
      <c r="J176" s="392"/>
      <c r="K176" s="392"/>
      <c r="L176" s="392"/>
      <c r="M176" s="392"/>
      <c r="N176" s="392" t="str">
        <f ca="1">IF(A176="", "",
 IF(AND(ISNUMBER(A176), A176 &gt;= TODAY(), A176 &lt;= TODAY() + 5), "In Progress",
 IF(AND(ISNUMBER(A176), A176 &lt; TODAY()), "Completed",
 IF(OR(A176="TBD", AND(ISNUMBER(A176), A176 &gt; TODAY() + 5)), "Not Started", ""))))</f>
        <v/>
      </c>
      <c r="O176" s="392"/>
      <c r="P176" s="392"/>
      <c r="Q176" s="392"/>
      <c r="R176" s="392"/>
      <c r="S176" s="392"/>
      <c r="T176" s="392"/>
      <c r="U176" s="392"/>
      <c r="V176" s="392"/>
      <c r="W176" s="392"/>
      <c r="X176" s="392"/>
      <c r="Y176" s="392"/>
      <c r="Z176" s="392"/>
      <c r="AA176" s="392"/>
      <c r="AB176" s="392"/>
      <c r="AC176" s="392" t="str">
        <f ca="1">IF(P176="", "",
 IF(AND(ISNUMBER(P176), P176 &gt;= TODAY(), P176 &lt;= TODAY() + 5), "In Progress",
 IF(AND(ISNUMBER(P176), P176 &lt; TODAY()), "Completed",
 IF(OR(P176="TBD", AND(ISNUMBER(P176), P176 &gt; TODAY() + 5)), "Not Started", ""))))</f>
        <v/>
      </c>
      <c r="AD176" s="392"/>
      <c r="AE176"/>
      <c r="AF176"/>
    </row>
    <row r="177" spans="1:32" ht="14.55" customHeight="1">
      <c r="A177" s="495"/>
      <c r="B177" s="495"/>
      <c r="C177" s="495"/>
      <c r="D177" s="495"/>
      <c r="E177" s="495"/>
      <c r="F177" s="495"/>
      <c r="G177" s="495"/>
      <c r="H177" s="495"/>
      <c r="I177" s="495"/>
      <c r="J177" s="495"/>
      <c r="K177" s="495"/>
      <c r="L177" s="495"/>
      <c r="M177" s="495"/>
      <c r="N177" s="495"/>
      <c r="O177" s="495"/>
      <c r="P177" s="495"/>
      <c r="Q177" s="495"/>
      <c r="R177" s="495"/>
      <c r="S177" s="495"/>
      <c r="T177" s="495"/>
      <c r="U177" s="495"/>
      <c r="V177" s="495"/>
      <c r="W177" s="495"/>
      <c r="X177" s="495"/>
      <c r="Y177" s="495"/>
      <c r="Z177" s="495"/>
      <c r="AA177" s="495"/>
      <c r="AB177" s="495"/>
      <c r="AC177" s="495"/>
      <c r="AD177" s="495"/>
      <c r="AE177"/>
      <c r="AF177"/>
    </row>
    <row r="178" spans="1:32" ht="14.55" customHeight="1">
      <c r="A178" s="495"/>
      <c r="B178" s="495"/>
      <c r="C178" s="495"/>
      <c r="D178" s="495"/>
      <c r="E178" s="495"/>
      <c r="F178" s="495"/>
      <c r="G178" s="495"/>
      <c r="H178" s="495"/>
      <c r="I178" s="495"/>
      <c r="J178" s="495"/>
      <c r="K178" s="495"/>
      <c r="L178" s="495"/>
      <c r="M178" s="495"/>
      <c r="N178" s="495"/>
      <c r="O178" s="495"/>
      <c r="P178" s="495"/>
      <c r="Q178" s="495"/>
      <c r="R178" s="495"/>
      <c r="S178" s="495"/>
      <c r="T178" s="495"/>
      <c r="U178" s="495"/>
      <c r="V178" s="495"/>
      <c r="W178" s="495"/>
      <c r="X178" s="495"/>
      <c r="Y178" s="495"/>
      <c r="Z178" s="495"/>
      <c r="AA178" s="495"/>
      <c r="AB178" s="495"/>
      <c r="AC178" s="495"/>
      <c r="AD178" s="495"/>
      <c r="AE178"/>
      <c r="AF178"/>
    </row>
    <row r="179" spans="1:32" ht="14.55" customHeight="1">
      <c r="A179" s="306"/>
      <c r="B179" s="306"/>
      <c r="C179" s="306"/>
      <c r="D179" s="306"/>
      <c r="E179" s="306"/>
      <c r="F179" s="306"/>
      <c r="G179" s="306"/>
      <c r="H179" s="306"/>
      <c r="I179" s="306"/>
      <c r="J179" s="306"/>
      <c r="K179" s="306"/>
      <c r="L179" s="306"/>
      <c r="M179" s="306"/>
      <c r="N179" s="306" t="str">
        <f ca="1">IF(A179="", "",
 IF(AND(ISNUMBER(A179), A179 &gt;= TODAY(), A179 &lt;= TODAY() + 5), "In Progress",
 IF(AND(ISNUMBER(A179), A179 &lt; TODAY()), "Completed",
 IF(OR(A179="TBD", AND(ISNUMBER(A179), A179 &gt; TODAY() + 5)), "Not Started", ""))))</f>
        <v/>
      </c>
      <c r="O179" s="306"/>
      <c r="P179" s="306"/>
      <c r="Q179" s="306"/>
      <c r="R179" s="306"/>
      <c r="S179" s="306"/>
      <c r="T179" s="306"/>
      <c r="U179" s="306"/>
      <c r="V179" s="306"/>
      <c r="W179" s="306"/>
      <c r="X179" s="306"/>
      <c r="Y179" s="306"/>
      <c r="Z179" s="306"/>
      <c r="AA179" s="306"/>
      <c r="AB179" s="306"/>
      <c r="AC179" s="306" t="str">
        <f ca="1">IF(P179="", "",
 IF(AND(ISNUMBER(P179), P179 &gt;= TODAY(), P179 &lt;= TODAY() + 5), "In Progress",
 IF(AND(ISNUMBER(P179), P179 &lt; TODAY()), "Completed",
 IF(OR(P179="TBD", AND(ISNUMBER(P179), P179 &gt; TODAY() + 5)), "Not Started", ""))))</f>
        <v/>
      </c>
      <c r="AD179" s="306"/>
      <c r="AE179"/>
      <c r="AF179"/>
    </row>
    <row r="180" spans="1:32" ht="14.55" customHeight="1">
      <c r="A180" s="306"/>
      <c r="B180" s="306"/>
      <c r="C180" s="306"/>
      <c r="D180" s="306"/>
      <c r="E180" s="306"/>
      <c r="F180" s="306"/>
      <c r="G180" s="306"/>
      <c r="H180" s="306"/>
      <c r="I180" s="306"/>
      <c r="J180" s="306"/>
      <c r="K180" s="306"/>
      <c r="L180" s="306"/>
      <c r="M180" s="306"/>
      <c r="N180" s="306"/>
      <c r="O180" s="306"/>
      <c r="P180" s="306"/>
      <c r="Q180" s="306"/>
      <c r="R180" s="306"/>
      <c r="S180" s="306"/>
      <c r="T180" s="306"/>
      <c r="U180" s="306"/>
      <c r="V180" s="306"/>
      <c r="W180" s="306"/>
      <c r="X180" s="306"/>
      <c r="Y180" s="306"/>
      <c r="Z180" s="306"/>
      <c r="AA180" s="306"/>
      <c r="AB180" s="306"/>
      <c r="AC180" s="306"/>
      <c r="AD180" s="306"/>
      <c r="AE180"/>
      <c r="AF180"/>
    </row>
    <row r="181" spans="1:32" ht="14.55" customHeight="1">
      <c r="A181" s="306"/>
      <c r="B181" s="306"/>
      <c r="C181" s="306"/>
      <c r="D181" s="306"/>
      <c r="E181" s="306"/>
      <c r="F181" s="306"/>
      <c r="G181" s="306"/>
      <c r="H181" s="306"/>
      <c r="I181" s="306"/>
      <c r="J181" s="306"/>
      <c r="K181" s="306"/>
      <c r="L181" s="306"/>
      <c r="M181" s="306"/>
      <c r="N181" s="306"/>
      <c r="O181" s="306"/>
      <c r="P181" s="306"/>
      <c r="Q181" s="306"/>
      <c r="R181" s="306"/>
      <c r="S181" s="306"/>
      <c r="T181" s="306"/>
      <c r="U181" s="306"/>
      <c r="V181" s="306"/>
      <c r="W181" s="306"/>
      <c r="X181" s="306"/>
      <c r="Y181" s="306"/>
      <c r="Z181" s="306"/>
      <c r="AA181" s="306"/>
      <c r="AB181" s="306"/>
      <c r="AC181" s="306"/>
      <c r="AD181" s="306"/>
      <c r="AE181"/>
      <c r="AF181"/>
    </row>
    <row r="182" spans="1:32" ht="14.55" customHeight="1">
      <c r="A182" s="306"/>
      <c r="B182" s="306"/>
      <c r="C182" s="306"/>
      <c r="D182" s="306"/>
      <c r="E182" s="306"/>
      <c r="F182" s="306"/>
      <c r="G182" s="306"/>
      <c r="H182" s="306"/>
      <c r="I182" s="306"/>
      <c r="J182" s="306"/>
      <c r="K182" s="306"/>
      <c r="L182" s="306"/>
      <c r="M182" s="306"/>
      <c r="N182" s="306" t="str">
        <f ca="1">IF(A182="", "",
 IF(AND(ISNUMBER(A182), A182 &gt;= TODAY(), A182 &lt;= TODAY() + 5), "In Progress",
 IF(AND(ISNUMBER(A182), A182 &lt; TODAY()), "Completed",
 IF(OR(A182="TBD", AND(ISNUMBER(A182), A182 &gt; TODAY() + 5)), "Not Started", ""))))</f>
        <v/>
      </c>
      <c r="O182" s="306"/>
      <c r="P182" s="306"/>
      <c r="Q182" s="306"/>
      <c r="R182" s="306"/>
      <c r="S182" s="306"/>
      <c r="T182" s="306"/>
      <c r="U182" s="306"/>
      <c r="V182" s="306"/>
      <c r="W182" s="306"/>
      <c r="X182" s="306"/>
      <c r="Y182" s="306"/>
      <c r="Z182" s="306"/>
      <c r="AA182" s="306"/>
      <c r="AB182" s="306"/>
      <c r="AC182" s="306" t="str">
        <f ca="1">IF(P182="", "",
 IF(AND(ISNUMBER(P182), P182 &gt;= TODAY(), P182 &lt;= TODAY() + 5), "In Progress",
 IF(AND(ISNUMBER(P182), P182 &lt; TODAY()), "Completed",
 IF(OR(P182="TBD", AND(ISNUMBER(P182), P182 &gt; TODAY() + 5)), "Not Started", ""))))</f>
        <v/>
      </c>
      <c r="AD182" s="306"/>
      <c r="AE182"/>
      <c r="AF182"/>
    </row>
    <row r="183" spans="1:32" ht="14.55" customHeight="1">
      <c r="A183" s="306"/>
      <c r="B183" s="306"/>
      <c r="C183" s="306"/>
      <c r="D183" s="306"/>
      <c r="E183" s="306"/>
      <c r="F183" s="306"/>
      <c r="G183" s="306"/>
      <c r="H183" s="306"/>
      <c r="I183" s="306"/>
      <c r="J183" s="306"/>
      <c r="K183" s="306"/>
      <c r="L183" s="306"/>
      <c r="M183" s="306"/>
      <c r="N183" s="306"/>
      <c r="O183" s="306"/>
      <c r="P183" s="306"/>
      <c r="Q183" s="306"/>
      <c r="R183" s="306"/>
      <c r="S183" s="306"/>
      <c r="T183" s="306"/>
      <c r="U183" s="306"/>
      <c r="V183" s="306"/>
      <c r="W183" s="306"/>
      <c r="X183" s="306"/>
      <c r="Y183" s="306"/>
      <c r="Z183" s="306"/>
      <c r="AA183" s="306"/>
      <c r="AB183" s="306"/>
      <c r="AC183" s="306"/>
      <c r="AD183" s="306"/>
      <c r="AE183"/>
      <c r="AF183"/>
    </row>
    <row r="184" spans="1:32" ht="14.55" customHeight="1">
      <c r="A184" s="306"/>
      <c r="B184" s="306"/>
      <c r="C184" s="306"/>
      <c r="D184" s="306"/>
      <c r="E184" s="306"/>
      <c r="F184" s="306"/>
      <c r="G184" s="306"/>
      <c r="H184" s="306"/>
      <c r="I184" s="306"/>
      <c r="J184" s="306"/>
      <c r="K184" s="306"/>
      <c r="L184" s="306"/>
      <c r="M184" s="306"/>
      <c r="N184" s="306"/>
      <c r="O184" s="306"/>
      <c r="P184" s="306"/>
      <c r="Q184" s="306"/>
      <c r="R184" s="306"/>
      <c r="S184" s="306"/>
      <c r="T184" s="306"/>
      <c r="U184" s="306"/>
      <c r="V184" s="306"/>
      <c r="W184" s="306"/>
      <c r="X184" s="306"/>
      <c r="Y184" s="306"/>
      <c r="Z184" s="306"/>
      <c r="AA184" s="306"/>
      <c r="AB184" s="306"/>
      <c r="AC184" s="306"/>
      <c r="AD184" s="306"/>
      <c r="AE184"/>
      <c r="AF184"/>
    </row>
    <row r="185" spans="1:32" ht="14.55" customHeight="1">
      <c r="A185" s="306"/>
      <c r="B185" s="306"/>
      <c r="C185" s="306"/>
      <c r="D185" s="306"/>
      <c r="E185" s="306"/>
      <c r="F185" s="306"/>
      <c r="G185" s="306"/>
      <c r="H185" s="306"/>
      <c r="I185" s="306"/>
      <c r="J185" s="306"/>
      <c r="K185" s="306"/>
      <c r="L185" s="306"/>
      <c r="M185" s="306"/>
      <c r="N185" s="306" t="str">
        <f ca="1">IF(A185="", "",
 IF(AND(ISNUMBER(A185), A185 &gt;= TODAY(), A185 &lt;= TODAY() + 5), "In Progress",
 IF(AND(ISNUMBER(A185), A185 &lt; TODAY()), "Completed",
 IF(OR(A185="TBD", AND(ISNUMBER(A185), A185 &gt; TODAY() + 5)), "Not Started", ""))))</f>
        <v/>
      </c>
      <c r="O185" s="306"/>
      <c r="P185" s="306"/>
      <c r="Q185" s="306"/>
      <c r="R185" s="306"/>
      <c r="S185" s="306"/>
      <c r="T185" s="306"/>
      <c r="U185" s="306"/>
      <c r="V185" s="306"/>
      <c r="W185" s="306"/>
      <c r="X185" s="306"/>
      <c r="Y185" s="306"/>
      <c r="Z185" s="306"/>
      <c r="AA185" s="306"/>
      <c r="AB185" s="306"/>
      <c r="AC185" s="306" t="str">
        <f ca="1">IF(P185="", "",
 IF(AND(ISNUMBER(P185), P185 &gt;= TODAY(), P185 &lt;= TODAY() + 5), "In Progress",
 IF(AND(ISNUMBER(P185), P185 &lt; TODAY()), "Completed",
 IF(OR(P185="TBD", AND(ISNUMBER(P185), P185 &gt; TODAY() + 5)), "Not Started", ""))))</f>
        <v/>
      </c>
      <c r="AD185" s="306"/>
      <c r="AE185"/>
      <c r="AF185"/>
    </row>
    <row r="186" spans="1:32" ht="14.55" customHeight="1">
      <c r="A186" s="306"/>
      <c r="B186" s="306"/>
      <c r="C186" s="306"/>
      <c r="D186" s="306"/>
      <c r="E186" s="306"/>
      <c r="F186" s="306"/>
      <c r="G186" s="306"/>
      <c r="H186" s="306"/>
      <c r="I186" s="306"/>
      <c r="J186" s="306"/>
      <c r="K186" s="306"/>
      <c r="L186" s="306"/>
      <c r="M186" s="306"/>
      <c r="N186" s="306"/>
      <c r="O186" s="306"/>
      <c r="P186" s="306"/>
      <c r="Q186" s="306"/>
      <c r="R186" s="306"/>
      <c r="S186" s="306"/>
      <c r="T186" s="306"/>
      <c r="U186" s="306"/>
      <c r="V186" s="306"/>
      <c r="W186" s="306"/>
      <c r="X186" s="306"/>
      <c r="Y186" s="306"/>
      <c r="Z186" s="306"/>
      <c r="AA186" s="306"/>
      <c r="AB186" s="306"/>
      <c r="AC186" s="306"/>
      <c r="AD186" s="306"/>
      <c r="AE186"/>
      <c r="AF186"/>
    </row>
    <row r="187" spans="1:32" ht="14.55" customHeight="1">
      <c r="A187" s="306"/>
      <c r="B187" s="306"/>
      <c r="C187" s="306"/>
      <c r="D187" s="306"/>
      <c r="E187" s="306"/>
      <c r="F187" s="306"/>
      <c r="G187" s="306"/>
      <c r="H187" s="306"/>
      <c r="I187" s="306"/>
      <c r="J187" s="306"/>
      <c r="K187" s="306"/>
      <c r="L187" s="306"/>
      <c r="M187" s="306"/>
      <c r="N187" s="306"/>
      <c r="O187" s="306"/>
      <c r="P187" s="306"/>
      <c r="Q187" s="306"/>
      <c r="R187" s="306"/>
      <c r="S187" s="306"/>
      <c r="T187" s="306"/>
      <c r="U187" s="306"/>
      <c r="V187" s="306"/>
      <c r="W187" s="306"/>
      <c r="X187" s="306"/>
      <c r="Y187" s="306"/>
      <c r="Z187" s="306"/>
      <c r="AA187" s="306"/>
      <c r="AB187" s="306"/>
      <c r="AC187" s="306"/>
      <c r="AD187" s="306"/>
      <c r="AE187"/>
      <c r="AF187"/>
    </row>
    <row r="188" spans="1:32" ht="14.55" customHeight="1">
      <c r="A188" s="306"/>
      <c r="B188" s="306"/>
      <c r="C188" s="306"/>
      <c r="D188" s="306"/>
      <c r="E188" s="306"/>
      <c r="F188" s="306"/>
      <c r="G188" s="306"/>
      <c r="H188" s="306"/>
      <c r="I188" s="306"/>
      <c r="J188" s="306"/>
      <c r="K188" s="306"/>
      <c r="L188" s="306"/>
      <c r="M188" s="306"/>
      <c r="N188" s="306" t="str">
        <f ca="1">IF(A188="", "",
 IF(AND(ISNUMBER(A188), A188 &gt;= TODAY(), A188 &lt;= TODAY() + 5), "In Progress",
 IF(AND(ISNUMBER(A188), A188 &lt; TODAY()), "Completed",
 IF(OR(A188="TBD", AND(ISNUMBER(A188), A188 &gt; TODAY() + 5)), "Not Started", ""))))</f>
        <v/>
      </c>
      <c r="O188" s="306"/>
      <c r="P188" s="306"/>
      <c r="Q188" s="306"/>
      <c r="R188" s="306"/>
      <c r="S188" s="306"/>
      <c r="T188" s="306"/>
      <c r="U188" s="306"/>
      <c r="V188" s="306"/>
      <c r="W188" s="306"/>
      <c r="X188" s="306"/>
      <c r="Y188" s="306"/>
      <c r="Z188" s="306"/>
      <c r="AA188" s="306"/>
      <c r="AB188" s="306"/>
      <c r="AC188" s="306" t="str">
        <f ca="1">IF(P188="", "",
 IF(AND(ISNUMBER(P188), P188 &gt;= TODAY(), P188 &lt;= TODAY() + 5), "In Progress",
 IF(AND(ISNUMBER(P188), P188 &lt; TODAY()), "Completed",
 IF(OR(P188="TBD", AND(ISNUMBER(P188), P188 &gt; TODAY() + 5)), "Not Started", ""))))</f>
        <v/>
      </c>
      <c r="AD188" s="306"/>
      <c r="AE188"/>
      <c r="AF188"/>
    </row>
    <row r="189" spans="1:32" ht="14.55" customHeight="1">
      <c r="A189" s="306"/>
      <c r="B189" s="306"/>
      <c r="C189" s="306"/>
      <c r="D189" s="306"/>
      <c r="E189" s="306"/>
      <c r="F189" s="306"/>
      <c r="G189" s="306"/>
      <c r="H189" s="306"/>
      <c r="I189" s="306"/>
      <c r="J189" s="306"/>
      <c r="K189" s="306"/>
      <c r="L189" s="306"/>
      <c r="M189" s="306"/>
      <c r="N189" s="306"/>
      <c r="O189" s="306"/>
      <c r="P189" s="306"/>
      <c r="Q189" s="306"/>
      <c r="R189" s="306"/>
      <c r="S189" s="306"/>
      <c r="T189" s="306"/>
      <c r="U189" s="306"/>
      <c r="V189" s="306"/>
      <c r="W189" s="306"/>
      <c r="X189" s="306"/>
      <c r="Y189" s="306"/>
      <c r="Z189" s="306"/>
      <c r="AA189" s="306"/>
      <c r="AB189" s="306"/>
      <c r="AC189" s="306"/>
      <c r="AD189" s="306"/>
      <c r="AE189"/>
      <c r="AF189"/>
    </row>
    <row r="190" spans="1:32" ht="14.55" customHeight="1">
      <c r="A190" s="306"/>
      <c r="B190" s="306"/>
      <c r="C190" s="306"/>
      <c r="D190" s="306"/>
      <c r="E190" s="306"/>
      <c r="F190" s="306"/>
      <c r="G190" s="306"/>
      <c r="H190" s="306"/>
      <c r="I190" s="306"/>
      <c r="J190" s="306"/>
      <c r="K190" s="306"/>
      <c r="L190" s="306"/>
      <c r="M190" s="306"/>
      <c r="N190" s="306"/>
      <c r="O190" s="306"/>
      <c r="P190" s="306"/>
      <c r="Q190" s="306"/>
      <c r="R190" s="306"/>
      <c r="S190" s="306"/>
      <c r="T190" s="306"/>
      <c r="U190" s="306"/>
      <c r="V190" s="306"/>
      <c r="W190" s="306"/>
      <c r="X190" s="306"/>
      <c r="Y190" s="306"/>
      <c r="Z190" s="306"/>
      <c r="AA190" s="306"/>
      <c r="AB190" s="306"/>
      <c r="AC190" s="306"/>
      <c r="AD190" s="306"/>
      <c r="AE190"/>
      <c r="AF190"/>
    </row>
    <row r="191" spans="1:32" ht="14.55" customHeight="1">
      <c r="A191" s="306"/>
      <c r="B191" s="306"/>
      <c r="C191" s="306"/>
      <c r="D191" s="306"/>
      <c r="E191" s="306"/>
      <c r="F191" s="306"/>
      <c r="G191" s="306"/>
      <c r="H191" s="306"/>
      <c r="I191" s="306"/>
      <c r="J191" s="306"/>
      <c r="K191" s="306"/>
      <c r="L191" s="306"/>
      <c r="M191" s="306"/>
      <c r="N191" s="306" t="str">
        <f ca="1">IF(A191="", "",
 IF(AND(ISNUMBER(A191), A191 &gt;= TODAY(), A191 &lt;= TODAY() + 5), "In Progress",
 IF(AND(ISNUMBER(A191), A191 &lt; TODAY()), "Completed",
 IF(OR(A191="TBD", AND(ISNUMBER(A191), A191 &gt; TODAY() + 5)), "Not Started", ""))))</f>
        <v/>
      </c>
      <c r="O191" s="306"/>
      <c r="P191" s="306"/>
      <c r="Q191" s="306"/>
      <c r="R191" s="306"/>
      <c r="S191" s="306"/>
      <c r="T191" s="306"/>
      <c r="U191" s="306"/>
      <c r="V191" s="306"/>
      <c r="W191" s="306"/>
      <c r="X191" s="306"/>
      <c r="Y191" s="306"/>
      <c r="Z191" s="306"/>
      <c r="AA191" s="306"/>
      <c r="AB191" s="306"/>
      <c r="AC191" s="306" t="str">
        <f ca="1">IF(P191="", "",
 IF(AND(ISNUMBER(P191), P191 &gt;= TODAY(), P191 &lt;= TODAY() + 5), "In Progress",
 IF(AND(ISNUMBER(P191), P191 &lt; TODAY()), "Completed",
 IF(OR(P191="TBD", AND(ISNUMBER(P191), P191 &gt; TODAY() + 5)), "Not Started", ""))))</f>
        <v/>
      </c>
      <c r="AD191" s="306"/>
      <c r="AE191"/>
      <c r="AF191"/>
    </row>
    <row r="192" spans="1:32" ht="14.55" customHeight="1">
      <c r="A192" s="306"/>
      <c r="B192" s="306"/>
      <c r="C192" s="306"/>
      <c r="D192" s="306"/>
      <c r="E192" s="306"/>
      <c r="F192" s="306"/>
      <c r="G192" s="306"/>
      <c r="H192" s="306"/>
      <c r="I192" s="306"/>
      <c r="J192" s="306"/>
      <c r="K192" s="306"/>
      <c r="L192" s="306"/>
      <c r="M192" s="306"/>
      <c r="N192" s="306"/>
      <c r="O192" s="306"/>
      <c r="P192" s="306"/>
      <c r="Q192" s="306"/>
      <c r="R192" s="306"/>
      <c r="S192" s="306"/>
      <c r="T192" s="306"/>
      <c r="U192" s="306"/>
      <c r="V192" s="306"/>
      <c r="W192" s="306"/>
      <c r="X192" s="306"/>
      <c r="Y192" s="306"/>
      <c r="Z192" s="306"/>
      <c r="AA192" s="306"/>
      <c r="AB192" s="306"/>
      <c r="AC192" s="306"/>
      <c r="AD192" s="306"/>
      <c r="AE192"/>
      <c r="AF192"/>
    </row>
    <row r="193" spans="1:32" ht="14.55" customHeight="1">
      <c r="A193" s="306"/>
      <c r="B193" s="306"/>
      <c r="C193" s="306"/>
      <c r="D193" s="306"/>
      <c r="E193" s="306"/>
      <c r="F193" s="306"/>
      <c r="G193" s="306"/>
      <c r="H193" s="306"/>
      <c r="I193" s="306"/>
      <c r="J193" s="306"/>
      <c r="K193" s="306"/>
      <c r="L193" s="306"/>
      <c r="M193" s="306"/>
      <c r="N193" s="306"/>
      <c r="O193" s="306"/>
      <c r="P193" s="306"/>
      <c r="Q193" s="306"/>
      <c r="R193" s="306"/>
      <c r="S193" s="306"/>
      <c r="T193" s="306"/>
      <c r="U193" s="306"/>
      <c r="V193" s="306"/>
      <c r="W193" s="306"/>
      <c r="X193" s="306"/>
      <c r="Y193" s="306"/>
      <c r="Z193" s="306"/>
      <c r="AA193" s="306"/>
      <c r="AB193" s="306"/>
      <c r="AC193" s="306"/>
      <c r="AD193" s="306"/>
      <c r="AE193"/>
      <c r="AF193"/>
    </row>
    <row r="194" spans="1:32" ht="14.55" customHeight="1">
      <c r="A194" s="306"/>
      <c r="B194" s="306"/>
      <c r="C194" s="306"/>
      <c r="D194" s="306"/>
      <c r="E194" s="306"/>
      <c r="F194" s="306"/>
      <c r="G194" s="306"/>
      <c r="H194" s="306"/>
      <c r="I194" s="306"/>
      <c r="J194" s="306"/>
      <c r="K194" s="306"/>
      <c r="L194" s="306"/>
      <c r="M194" s="306"/>
      <c r="N194" s="306" t="str">
        <f ca="1">IF(A194="", "",
 IF(AND(ISNUMBER(A194), A194 &gt;= TODAY(), A194 &lt;= TODAY() + 5), "In Progress",
 IF(AND(ISNUMBER(A194), A194 &lt; TODAY()), "Completed",
 IF(OR(A194="TBD", AND(ISNUMBER(A194), A194 &gt; TODAY() + 5)), "Not Started", ""))))</f>
        <v/>
      </c>
      <c r="O194" s="306"/>
      <c r="P194" s="306"/>
      <c r="Q194" s="306"/>
      <c r="R194" s="306"/>
      <c r="S194" s="306"/>
      <c r="T194" s="306"/>
      <c r="U194" s="306"/>
      <c r="V194" s="306"/>
      <c r="W194" s="306"/>
      <c r="X194" s="306"/>
      <c r="Y194" s="306"/>
      <c r="Z194" s="306"/>
      <c r="AA194" s="306"/>
      <c r="AB194" s="306"/>
      <c r="AC194" s="306" t="str">
        <f ca="1">IF(P194="", "",
 IF(AND(ISNUMBER(P194), P194 &gt;= TODAY(), P194 &lt;= TODAY() + 5), "In Progress",
 IF(AND(ISNUMBER(P194), P194 &lt; TODAY()), "Completed",
 IF(OR(P194="TBD", AND(ISNUMBER(P194), P194 &gt; TODAY() + 5)), "Not Started", ""))))</f>
        <v/>
      </c>
      <c r="AD194" s="306"/>
      <c r="AE194"/>
      <c r="AF194"/>
    </row>
    <row r="195" spans="1:32" ht="14.55" customHeight="1">
      <c r="A195" s="306"/>
      <c r="B195" s="306"/>
      <c r="C195" s="306"/>
      <c r="D195" s="306"/>
      <c r="E195" s="306"/>
      <c r="F195" s="306"/>
      <c r="G195" s="306"/>
      <c r="H195" s="306"/>
      <c r="I195" s="306"/>
      <c r="J195" s="306"/>
      <c r="K195" s="306"/>
      <c r="L195" s="306"/>
      <c r="M195" s="306"/>
      <c r="N195" s="306"/>
      <c r="O195" s="306"/>
      <c r="P195" s="306"/>
      <c r="Q195" s="306"/>
      <c r="R195" s="306"/>
      <c r="S195" s="306"/>
      <c r="T195" s="306"/>
      <c r="U195" s="306"/>
      <c r="V195" s="306"/>
      <c r="W195" s="306"/>
      <c r="X195" s="306"/>
      <c r="Y195" s="306"/>
      <c r="Z195" s="306"/>
      <c r="AA195" s="306"/>
      <c r="AB195" s="306"/>
      <c r="AC195" s="306"/>
      <c r="AD195" s="306"/>
      <c r="AE195"/>
      <c r="AF195"/>
    </row>
    <row r="196" spans="1:32" ht="14.55" customHeight="1">
      <c r="A196" s="306"/>
      <c r="B196" s="306"/>
      <c r="C196" s="306"/>
      <c r="D196" s="306"/>
      <c r="E196" s="306"/>
      <c r="F196" s="306"/>
      <c r="G196" s="306"/>
      <c r="H196" s="306"/>
      <c r="I196" s="306"/>
      <c r="J196" s="306"/>
      <c r="K196" s="306"/>
      <c r="L196" s="306"/>
      <c r="M196" s="306"/>
      <c r="N196" s="306"/>
      <c r="O196" s="306"/>
      <c r="P196" s="306"/>
      <c r="Q196" s="306"/>
      <c r="R196" s="306"/>
      <c r="S196" s="306"/>
      <c r="T196" s="306"/>
      <c r="U196" s="306"/>
      <c r="V196" s="306"/>
      <c r="W196" s="306"/>
      <c r="X196" s="306"/>
      <c r="Y196" s="306"/>
      <c r="Z196" s="306"/>
      <c r="AA196" s="306"/>
      <c r="AB196" s="306"/>
      <c r="AC196" s="306"/>
      <c r="AD196" s="306"/>
      <c r="AE196"/>
      <c r="AF196"/>
    </row>
    <row r="197" spans="1:32" ht="14.55" customHeight="1">
      <c r="A197" s="306"/>
      <c r="B197" s="306"/>
      <c r="C197" s="306"/>
      <c r="D197" s="306"/>
      <c r="E197" s="306"/>
      <c r="F197" s="306"/>
      <c r="G197" s="306"/>
      <c r="H197" s="306"/>
      <c r="I197" s="306"/>
      <c r="J197" s="306"/>
      <c r="K197" s="306"/>
      <c r="L197" s="306"/>
      <c r="M197" s="306"/>
      <c r="N197" s="306" t="str">
        <f ca="1">IF(A197="", "",
 IF(AND(ISNUMBER(A197), A197 &gt;= TODAY(), A197 &lt;= TODAY() + 5), "In Progress",
 IF(AND(ISNUMBER(A197), A197 &lt; TODAY()), "Completed",
 IF(OR(A197="TBD", AND(ISNUMBER(A197), A197 &gt; TODAY() + 5)), "Not Started", ""))))</f>
        <v/>
      </c>
      <c r="O197" s="306"/>
      <c r="P197" s="306"/>
      <c r="Q197" s="306"/>
      <c r="R197" s="306"/>
      <c r="S197" s="306"/>
      <c r="T197" s="306"/>
      <c r="U197" s="306"/>
      <c r="V197" s="306"/>
      <c r="W197" s="306"/>
      <c r="X197" s="306"/>
      <c r="Y197" s="306"/>
      <c r="Z197" s="306"/>
      <c r="AA197" s="306"/>
      <c r="AB197" s="306"/>
      <c r="AC197" s="306" t="str">
        <f ca="1">IF(P197="", "",
 IF(AND(ISNUMBER(P197), P197 &gt;= TODAY(), P197 &lt;= TODAY() + 5), "In Progress",
 IF(AND(ISNUMBER(P197), P197 &lt; TODAY()), "Completed",
 IF(OR(P197="TBD", AND(ISNUMBER(P197), P197 &gt; TODAY() + 5)), "Not Started", ""))))</f>
        <v/>
      </c>
      <c r="AD197" s="306"/>
      <c r="AE197"/>
      <c r="AF197"/>
    </row>
    <row r="198" spans="1:32" ht="14.55" customHeight="1">
      <c r="A198" s="306"/>
      <c r="B198" s="306"/>
      <c r="C198" s="306"/>
      <c r="D198" s="306"/>
      <c r="E198" s="306"/>
      <c r="F198" s="306"/>
      <c r="G198" s="306"/>
      <c r="H198" s="306"/>
      <c r="I198" s="306"/>
      <c r="J198" s="306"/>
      <c r="K198" s="306"/>
      <c r="L198" s="306"/>
      <c r="M198" s="306"/>
      <c r="N198" s="306"/>
      <c r="O198" s="306"/>
      <c r="P198" s="306"/>
      <c r="Q198" s="306"/>
      <c r="R198" s="306"/>
      <c r="S198" s="306"/>
      <c r="T198" s="306"/>
      <c r="U198" s="306"/>
      <c r="V198" s="306"/>
      <c r="W198" s="306"/>
      <c r="X198" s="306"/>
      <c r="Y198" s="306"/>
      <c r="Z198" s="306"/>
      <c r="AA198" s="306"/>
      <c r="AB198" s="306"/>
      <c r="AC198" s="306"/>
      <c r="AD198" s="306"/>
      <c r="AE198"/>
      <c r="AF198"/>
    </row>
    <row r="199" spans="1:32" ht="14.55" customHeight="1">
      <c r="A199" s="306"/>
      <c r="B199" s="306"/>
      <c r="C199" s="306"/>
      <c r="D199" s="306"/>
      <c r="E199" s="306"/>
      <c r="F199" s="306"/>
      <c r="G199" s="306"/>
      <c r="H199" s="306"/>
      <c r="I199" s="306"/>
      <c r="J199" s="306"/>
      <c r="K199" s="306"/>
      <c r="L199" s="306"/>
      <c r="M199" s="306"/>
      <c r="N199" s="306"/>
      <c r="O199" s="306"/>
      <c r="P199" s="306"/>
      <c r="Q199" s="306"/>
      <c r="R199" s="306"/>
      <c r="S199" s="306"/>
      <c r="T199" s="306"/>
      <c r="U199" s="306"/>
      <c r="V199" s="306"/>
      <c r="W199" s="306"/>
      <c r="X199" s="306"/>
      <c r="Y199" s="306"/>
      <c r="Z199" s="306"/>
      <c r="AA199" s="306"/>
      <c r="AB199" s="306"/>
      <c r="AC199" s="306"/>
      <c r="AD199" s="306"/>
      <c r="AE199"/>
      <c r="AF199"/>
    </row>
    <row r="200" spans="1:32" ht="14.55" customHeight="1">
      <c r="A200" s="306"/>
      <c r="B200" s="306"/>
      <c r="C200" s="306"/>
      <c r="D200" s="306"/>
      <c r="E200" s="306"/>
      <c r="F200" s="306"/>
      <c r="G200" s="306"/>
      <c r="H200" s="306"/>
      <c r="I200" s="306"/>
      <c r="J200" s="306"/>
      <c r="K200" s="306"/>
      <c r="L200" s="306"/>
      <c r="M200" s="306"/>
      <c r="N200" s="306" t="str">
        <f ca="1">IF(A200="", "",
 IF(AND(ISNUMBER(A200), A200 &gt;= TODAY(), A200 &lt;= TODAY() + 5), "In Progress",
 IF(AND(ISNUMBER(A200), A200 &lt; TODAY()), "Completed",
 IF(OR(A200="TBD", AND(ISNUMBER(A200), A200 &gt; TODAY() + 5)), "Not Started", ""))))</f>
        <v/>
      </c>
      <c r="O200" s="306"/>
      <c r="P200" s="306"/>
      <c r="Q200" s="306"/>
      <c r="R200" s="306"/>
      <c r="S200" s="306"/>
      <c r="T200" s="306"/>
      <c r="U200" s="306"/>
      <c r="V200" s="306"/>
      <c r="W200" s="306"/>
      <c r="X200" s="306"/>
      <c r="Y200" s="306"/>
      <c r="Z200" s="306"/>
      <c r="AA200" s="306"/>
      <c r="AB200" s="306"/>
      <c r="AC200" s="306" t="str">
        <f ca="1">IF(P200="", "",
 IF(AND(ISNUMBER(P200), P200 &gt;= TODAY(), P200 &lt;= TODAY() + 5), "In Progress",
 IF(AND(ISNUMBER(P200), P200 &lt; TODAY()), "Completed",
 IF(OR(P200="TBD", AND(ISNUMBER(P200), P200 &gt; TODAY() + 5)), "Not Started", ""))))</f>
        <v/>
      </c>
      <c r="AD200" s="306"/>
      <c r="AE200"/>
      <c r="AF200"/>
    </row>
    <row r="201" spans="1:32" ht="14.55" customHeight="1">
      <c r="A201" s="306"/>
      <c r="B201" s="306"/>
      <c r="C201" s="306"/>
      <c r="D201" s="306"/>
      <c r="E201" s="306"/>
      <c r="F201" s="306"/>
      <c r="G201" s="306"/>
      <c r="H201" s="306"/>
      <c r="I201" s="306"/>
      <c r="J201" s="306"/>
      <c r="K201" s="306"/>
      <c r="L201" s="306"/>
      <c r="M201" s="306"/>
      <c r="N201" s="306"/>
      <c r="O201" s="306"/>
      <c r="P201" s="306"/>
      <c r="Q201" s="306"/>
      <c r="R201" s="306"/>
      <c r="S201" s="306"/>
      <c r="T201" s="306"/>
      <c r="U201" s="306"/>
      <c r="V201" s="306"/>
      <c r="W201" s="306"/>
      <c r="X201" s="306"/>
      <c r="Y201" s="306"/>
      <c r="Z201" s="306"/>
      <c r="AA201" s="306"/>
      <c r="AB201" s="306"/>
      <c r="AC201" s="306"/>
      <c r="AD201" s="306"/>
      <c r="AE201"/>
      <c r="AF201"/>
    </row>
    <row r="202" spans="1:32" ht="14.55" customHeight="1">
      <c r="A202" s="306"/>
      <c r="B202" s="306"/>
      <c r="C202" s="306"/>
      <c r="D202" s="306"/>
      <c r="E202" s="306"/>
      <c r="F202" s="306"/>
      <c r="G202" s="306"/>
      <c r="H202" s="306"/>
      <c r="I202" s="306"/>
      <c r="J202" s="306"/>
      <c r="K202" s="306"/>
      <c r="L202" s="306"/>
      <c r="M202" s="306"/>
      <c r="N202" s="306"/>
      <c r="O202" s="306"/>
      <c r="P202" s="306"/>
      <c r="Q202" s="306"/>
      <c r="R202" s="306"/>
      <c r="S202" s="306"/>
      <c r="T202" s="306"/>
      <c r="U202" s="306"/>
      <c r="V202" s="306"/>
      <c r="W202" s="306"/>
      <c r="X202" s="306"/>
      <c r="Y202" s="306"/>
      <c r="Z202" s="306"/>
      <c r="AA202" s="306"/>
      <c r="AB202" s="306"/>
      <c r="AC202" s="306"/>
      <c r="AD202" s="306"/>
      <c r="AE202"/>
      <c r="AF202"/>
    </row>
    <row r="203" spans="1:32" ht="14.55" customHeight="1">
      <c r="A203" s="306"/>
      <c r="B203" s="306"/>
      <c r="C203" s="306"/>
      <c r="D203" s="306"/>
      <c r="E203" s="306"/>
      <c r="F203" s="306"/>
      <c r="G203" s="306"/>
      <c r="H203" s="306"/>
      <c r="I203" s="306"/>
      <c r="J203" s="306"/>
      <c r="K203" s="306"/>
      <c r="L203" s="306"/>
      <c r="M203" s="306"/>
      <c r="N203" s="306" t="str">
        <f ca="1">IF(A203="", "",
 IF(AND(ISNUMBER(A203), A203 &gt;= TODAY(), A203 &lt;= TODAY() + 5), "In Progress",
 IF(AND(ISNUMBER(A203), A203 &lt; TODAY()), "Completed",
 IF(OR(A203="TBD", AND(ISNUMBER(A203), A203 &gt; TODAY() + 5)), "Not Started", ""))))</f>
        <v/>
      </c>
      <c r="O203" s="306"/>
      <c r="P203" s="306"/>
      <c r="Q203" s="306"/>
      <c r="R203" s="306"/>
      <c r="S203" s="306"/>
      <c r="T203" s="306"/>
      <c r="U203" s="306"/>
      <c r="V203" s="306"/>
      <c r="W203" s="306"/>
      <c r="X203" s="306"/>
      <c r="Y203" s="306"/>
      <c r="Z203" s="306"/>
      <c r="AA203" s="306"/>
      <c r="AB203" s="306"/>
      <c r="AC203" s="306" t="str">
        <f ca="1">IF(P203="", "",
 IF(AND(ISNUMBER(P203), P203 &gt;= TODAY(), P203 &lt;= TODAY() + 5), "In Progress",
 IF(AND(ISNUMBER(P203), P203 &lt; TODAY()), "Completed",
 IF(OR(P203="TBD", AND(ISNUMBER(P203), P203 &gt; TODAY() + 5)), "Not Started", ""))))</f>
        <v/>
      </c>
      <c r="AD203" s="306"/>
      <c r="AE203"/>
      <c r="AF203"/>
    </row>
    <row r="204" spans="1:32" ht="14.55" customHeight="1">
      <c r="A204" s="306"/>
      <c r="B204" s="306"/>
      <c r="C204" s="306"/>
      <c r="D204" s="306"/>
      <c r="E204" s="306"/>
      <c r="F204" s="306"/>
      <c r="G204" s="306"/>
      <c r="H204" s="306"/>
      <c r="I204" s="306"/>
      <c r="J204" s="306"/>
      <c r="K204" s="306"/>
      <c r="L204" s="306"/>
      <c r="M204" s="306"/>
      <c r="N204" s="306"/>
      <c r="O204" s="306"/>
      <c r="P204" s="306"/>
      <c r="Q204" s="306"/>
      <c r="R204" s="306"/>
      <c r="S204" s="306"/>
      <c r="T204" s="306"/>
      <c r="U204" s="306"/>
      <c r="V204" s="306"/>
      <c r="W204" s="306"/>
      <c r="X204" s="306"/>
      <c r="Y204" s="306"/>
      <c r="Z204" s="306"/>
      <c r="AA204" s="306"/>
      <c r="AB204" s="306"/>
      <c r="AC204" s="306"/>
      <c r="AD204" s="306"/>
      <c r="AE204"/>
      <c r="AF204"/>
    </row>
    <row r="205" spans="1:32" ht="14.55" customHeight="1">
      <c r="A205" s="306"/>
      <c r="B205" s="306"/>
      <c r="C205" s="306"/>
      <c r="D205" s="306"/>
      <c r="E205" s="306"/>
      <c r="F205" s="306"/>
      <c r="G205" s="306"/>
      <c r="H205" s="306"/>
      <c r="I205" s="306"/>
      <c r="J205" s="306"/>
      <c r="K205" s="306"/>
      <c r="L205" s="306"/>
      <c r="M205" s="306"/>
      <c r="N205" s="306"/>
      <c r="O205" s="306"/>
      <c r="P205" s="306"/>
      <c r="Q205" s="306"/>
      <c r="R205" s="306"/>
      <c r="S205" s="306"/>
      <c r="T205" s="306"/>
      <c r="U205" s="306"/>
      <c r="V205" s="306"/>
      <c r="W205" s="306"/>
      <c r="X205" s="306"/>
      <c r="Y205" s="306"/>
      <c r="Z205" s="306"/>
      <c r="AA205" s="306"/>
      <c r="AB205" s="306"/>
      <c r="AC205" s="306"/>
      <c r="AD205" s="306"/>
      <c r="AE205"/>
      <c r="AF205"/>
    </row>
    <row r="206" spans="1:32" ht="14.55" customHeight="1">
      <c r="A206" s="306"/>
      <c r="B206" s="306"/>
      <c r="C206" s="306"/>
      <c r="D206" s="306"/>
      <c r="E206" s="306"/>
      <c r="F206" s="306"/>
      <c r="G206" s="306"/>
      <c r="H206" s="306"/>
      <c r="I206" s="306"/>
      <c r="J206" s="306"/>
      <c r="K206" s="306"/>
      <c r="L206" s="306"/>
      <c r="M206" s="306"/>
      <c r="N206" s="306" t="str">
        <f ca="1">IF(A206="", "",
 IF(AND(ISNUMBER(A206), A206 &gt;= TODAY(), A206 &lt;= TODAY() + 5), "In Progress",
 IF(AND(ISNUMBER(A206), A206 &lt; TODAY()), "Completed",
 IF(OR(A206="TBD", AND(ISNUMBER(A206), A206 &gt; TODAY() + 5)), "Not Started", ""))))</f>
        <v/>
      </c>
      <c r="O206" s="306"/>
      <c r="P206" s="306"/>
      <c r="Q206" s="306"/>
      <c r="R206" s="306"/>
      <c r="S206" s="306"/>
      <c r="T206" s="306"/>
      <c r="U206" s="306"/>
      <c r="V206" s="306"/>
      <c r="W206" s="306"/>
      <c r="X206" s="306"/>
      <c r="Y206" s="306"/>
      <c r="Z206" s="306"/>
      <c r="AA206" s="306"/>
      <c r="AB206" s="306"/>
      <c r="AC206" s="306" t="str">
        <f ca="1">IF(P206="", "",
 IF(AND(ISNUMBER(P206), P206 &gt;= TODAY(), P206 &lt;= TODAY() + 5), "In Progress",
 IF(AND(ISNUMBER(P206), P206 &lt; TODAY()), "Completed",
 IF(OR(P206="TBD", AND(ISNUMBER(P206), P206 &gt; TODAY() + 5)), "Not Started", ""))))</f>
        <v/>
      </c>
      <c r="AD206" s="306"/>
      <c r="AE206"/>
      <c r="AF206"/>
    </row>
    <row r="207" spans="1:32" ht="14.55" customHeight="1">
      <c r="A207" s="306"/>
      <c r="B207" s="306"/>
      <c r="C207" s="306"/>
      <c r="D207" s="306"/>
      <c r="E207" s="306"/>
      <c r="F207" s="306"/>
      <c r="G207" s="306"/>
      <c r="H207" s="306"/>
      <c r="I207" s="306"/>
      <c r="J207" s="306"/>
      <c r="K207" s="306"/>
      <c r="L207" s="306"/>
      <c r="M207" s="306"/>
      <c r="N207" s="306"/>
      <c r="O207" s="306"/>
      <c r="P207" s="306"/>
      <c r="Q207" s="306"/>
      <c r="R207" s="306"/>
      <c r="S207" s="306"/>
      <c r="T207" s="306"/>
      <c r="U207" s="306"/>
      <c r="V207" s="306"/>
      <c r="W207" s="306"/>
      <c r="X207" s="306"/>
      <c r="Y207" s="306"/>
      <c r="Z207" s="306"/>
      <c r="AA207" s="306"/>
      <c r="AB207" s="306"/>
      <c r="AC207" s="306"/>
      <c r="AD207" s="306"/>
      <c r="AE207"/>
      <c r="AF207"/>
    </row>
    <row r="208" spans="1:32" ht="14.55" customHeight="1">
      <c r="A208" s="306"/>
      <c r="B208" s="306"/>
      <c r="C208" s="306"/>
      <c r="D208" s="306"/>
      <c r="E208" s="306"/>
      <c r="F208" s="306"/>
      <c r="G208" s="306"/>
      <c r="H208" s="306"/>
      <c r="I208" s="306"/>
      <c r="J208" s="306"/>
      <c r="K208" s="306"/>
      <c r="L208" s="306"/>
      <c r="M208" s="306"/>
      <c r="N208" s="306"/>
      <c r="O208" s="306"/>
      <c r="P208" s="306"/>
      <c r="Q208" s="306"/>
      <c r="R208" s="306"/>
      <c r="S208" s="306"/>
      <c r="T208" s="306"/>
      <c r="U208" s="306"/>
      <c r="V208" s="306"/>
      <c r="W208" s="306"/>
      <c r="X208" s="306"/>
      <c r="Y208" s="306"/>
      <c r="Z208" s="306"/>
      <c r="AA208" s="306"/>
      <c r="AB208" s="306"/>
      <c r="AC208" s="306"/>
      <c r="AD208" s="306"/>
      <c r="AE208"/>
      <c r="AF208"/>
    </row>
    <row r="209" spans="1:32" ht="14.55" customHeight="1">
      <c r="A209" s="306"/>
      <c r="B209" s="306"/>
      <c r="C209" s="306"/>
      <c r="D209" s="306"/>
      <c r="E209" s="306"/>
      <c r="F209" s="306"/>
      <c r="G209" s="306"/>
      <c r="H209" s="306"/>
      <c r="I209" s="306"/>
      <c r="J209" s="306"/>
      <c r="K209" s="306"/>
      <c r="L209" s="306"/>
      <c r="M209" s="306"/>
      <c r="N209" s="306" t="str">
        <f ca="1">IF(A209="", "",
 IF(AND(ISNUMBER(A209), A209 &gt;= TODAY(), A209 &lt;= TODAY() + 5), "In Progress",
 IF(AND(ISNUMBER(A209), A209 &lt; TODAY()), "Completed",
 IF(OR(A209="TBD", AND(ISNUMBER(A209), A209 &gt; TODAY() + 5)), "Not Started", ""))))</f>
        <v/>
      </c>
      <c r="O209" s="306"/>
      <c r="P209" s="306"/>
      <c r="Q209" s="306"/>
      <c r="R209" s="306"/>
      <c r="S209" s="306"/>
      <c r="T209" s="306"/>
      <c r="U209" s="306"/>
      <c r="V209" s="306"/>
      <c r="W209" s="306"/>
      <c r="X209" s="306"/>
      <c r="Y209" s="306"/>
      <c r="Z209" s="306"/>
      <c r="AA209" s="306"/>
      <c r="AB209" s="306"/>
      <c r="AC209" s="306" t="str">
        <f ca="1">IF(P209="", "",
 IF(AND(ISNUMBER(P209), P209 &gt;= TODAY(), P209 &lt;= TODAY() + 5), "In Progress",
 IF(AND(ISNUMBER(P209), P209 &lt; TODAY()), "Completed",
 IF(OR(P209="TBD", AND(ISNUMBER(P209), P209 &gt; TODAY() + 5)), "Not Started", ""))))</f>
        <v/>
      </c>
      <c r="AD209" s="306"/>
      <c r="AE209"/>
      <c r="AF209"/>
    </row>
    <row r="210" spans="1:32" ht="14.55" customHeight="1">
      <c r="A210" s="306"/>
      <c r="B210" s="306"/>
      <c r="C210" s="306"/>
      <c r="D210" s="306"/>
      <c r="E210" s="306"/>
      <c r="F210" s="306"/>
      <c r="G210" s="306"/>
      <c r="H210" s="306"/>
      <c r="I210" s="306"/>
      <c r="J210" s="306"/>
      <c r="K210" s="306"/>
      <c r="L210" s="306"/>
      <c r="M210" s="306"/>
      <c r="N210" s="306"/>
      <c r="O210" s="306"/>
      <c r="P210" s="306"/>
      <c r="Q210" s="306"/>
      <c r="R210" s="306"/>
      <c r="S210" s="306"/>
      <c r="T210" s="306"/>
      <c r="U210" s="306"/>
      <c r="V210" s="306"/>
      <c r="W210" s="306"/>
      <c r="X210" s="306"/>
      <c r="Y210" s="306"/>
      <c r="Z210" s="306"/>
      <c r="AA210" s="306"/>
      <c r="AB210" s="306"/>
      <c r="AC210" s="306"/>
      <c r="AD210" s="306"/>
      <c r="AE210"/>
      <c r="AF210"/>
    </row>
    <row r="211" spans="1:32" ht="14.55" customHeight="1">
      <c r="A211" s="306"/>
      <c r="B211" s="306"/>
      <c r="C211" s="306"/>
      <c r="D211" s="306"/>
      <c r="E211" s="306"/>
      <c r="F211" s="306"/>
      <c r="G211" s="306"/>
      <c r="H211" s="306"/>
      <c r="I211" s="306"/>
      <c r="J211" s="306"/>
      <c r="K211" s="306"/>
      <c r="L211" s="306"/>
      <c r="M211" s="306"/>
      <c r="N211" s="306"/>
      <c r="O211" s="306"/>
      <c r="P211" s="306"/>
      <c r="Q211" s="306"/>
      <c r="R211" s="306"/>
      <c r="S211" s="306"/>
      <c r="T211" s="306"/>
      <c r="U211" s="306"/>
      <c r="V211" s="306"/>
      <c r="W211" s="306"/>
      <c r="X211" s="306"/>
      <c r="Y211" s="306"/>
      <c r="Z211" s="306"/>
      <c r="AA211" s="306"/>
      <c r="AB211" s="306"/>
      <c r="AC211" s="306"/>
      <c r="AD211" s="306"/>
      <c r="AE211"/>
      <c r="AF211"/>
    </row>
    <row r="212" spans="1:32" ht="14.55" customHeight="1">
      <c r="A212" s="306"/>
      <c r="B212" s="306"/>
      <c r="C212" s="306"/>
      <c r="D212" s="306"/>
      <c r="E212" s="306"/>
      <c r="F212" s="306"/>
      <c r="G212" s="306"/>
      <c r="H212" s="306"/>
      <c r="I212" s="306"/>
      <c r="J212" s="306"/>
      <c r="K212" s="306"/>
      <c r="L212" s="306"/>
      <c r="M212" s="306"/>
      <c r="N212" s="306" t="str">
        <f ca="1">IF(A212="", "",
 IF(AND(ISNUMBER(A212), A212 &gt;= TODAY(), A212 &lt;= TODAY() + 5), "In Progress",
 IF(AND(ISNUMBER(A212), A212 &lt; TODAY()), "Completed",
 IF(OR(A212="TBD", AND(ISNUMBER(A212), A212 &gt; TODAY() + 5)), "Not Started", ""))))</f>
        <v/>
      </c>
      <c r="O212" s="306"/>
      <c r="P212" s="306"/>
      <c r="Q212" s="306"/>
      <c r="R212" s="306"/>
      <c r="S212" s="306"/>
      <c r="T212" s="306"/>
      <c r="U212" s="306"/>
      <c r="V212" s="306"/>
      <c r="W212" s="306"/>
      <c r="X212" s="306"/>
      <c r="Y212" s="306"/>
      <c r="Z212" s="306"/>
      <c r="AA212" s="306"/>
      <c r="AB212" s="306"/>
      <c r="AC212" s="306" t="str">
        <f ca="1">IF(P212="", "",
 IF(AND(ISNUMBER(P212), P212 &gt;= TODAY(), P212 &lt;= TODAY() + 5), "In Progress",
 IF(AND(ISNUMBER(P212), P212 &lt; TODAY()), "Completed",
 IF(OR(P212="TBD", AND(ISNUMBER(P212), P212 &gt; TODAY() + 5)), "Not Started", ""))))</f>
        <v/>
      </c>
      <c r="AD212" s="306"/>
      <c r="AE212"/>
      <c r="AF212"/>
    </row>
    <row r="213" spans="1:32" ht="14.55" customHeight="1">
      <c r="A213" s="306"/>
      <c r="B213" s="306"/>
      <c r="C213" s="306"/>
      <c r="D213" s="306"/>
      <c r="E213" s="306"/>
      <c r="F213" s="306"/>
      <c r="G213" s="306"/>
      <c r="H213" s="306"/>
      <c r="I213" s="306"/>
      <c r="J213" s="306"/>
      <c r="K213" s="306"/>
      <c r="L213" s="306"/>
      <c r="M213" s="306"/>
      <c r="N213" s="306"/>
      <c r="O213" s="306"/>
      <c r="P213" s="306"/>
      <c r="Q213" s="306"/>
      <c r="R213" s="306"/>
      <c r="S213" s="306"/>
      <c r="T213" s="306"/>
      <c r="U213" s="306"/>
      <c r="V213" s="306"/>
      <c r="W213" s="306"/>
      <c r="X213" s="306"/>
      <c r="Y213" s="306"/>
      <c r="Z213" s="306"/>
      <c r="AA213" s="306"/>
      <c r="AB213" s="306"/>
      <c r="AC213" s="306"/>
      <c r="AD213" s="306"/>
      <c r="AE213"/>
      <c r="AF213"/>
    </row>
    <row r="214" spans="1:32" ht="14.55" customHeight="1">
      <c r="A214" s="306"/>
      <c r="B214" s="306"/>
      <c r="C214" s="306"/>
      <c r="D214" s="306"/>
      <c r="E214" s="306"/>
      <c r="F214" s="306"/>
      <c r="G214" s="306"/>
      <c r="H214" s="306"/>
      <c r="I214" s="306"/>
      <c r="J214" s="306"/>
      <c r="K214" s="306"/>
      <c r="L214" s="306"/>
      <c r="M214" s="306"/>
      <c r="N214" s="306"/>
      <c r="O214" s="306"/>
      <c r="P214" s="306"/>
      <c r="Q214" s="306"/>
      <c r="R214" s="306"/>
      <c r="S214" s="306"/>
      <c r="T214" s="306"/>
      <c r="U214" s="306"/>
      <c r="V214" s="306"/>
      <c r="W214" s="306"/>
      <c r="X214" s="306"/>
      <c r="Y214" s="306"/>
      <c r="Z214" s="306"/>
      <c r="AA214" s="306"/>
      <c r="AB214" s="306"/>
      <c r="AC214" s="306"/>
      <c r="AD214" s="306"/>
      <c r="AE214"/>
      <c r="AF214"/>
    </row>
    <row r="215" spans="1:32" ht="14.55" customHeight="1">
      <c r="A215" s="306"/>
      <c r="B215" s="306"/>
      <c r="C215" s="306"/>
      <c r="D215" s="306"/>
      <c r="E215" s="306"/>
      <c r="F215" s="306"/>
      <c r="G215" s="306"/>
      <c r="H215" s="306"/>
      <c r="I215" s="306"/>
      <c r="J215" s="306"/>
      <c r="K215" s="306"/>
      <c r="L215" s="306"/>
      <c r="M215" s="306"/>
      <c r="N215" s="306" t="str">
        <f ca="1">IF(A215="", "",
 IF(AND(ISNUMBER(A215), A215 &gt;= TODAY(), A215 &lt;= TODAY() + 5), "In Progress",
 IF(AND(ISNUMBER(A215), A215 &lt; TODAY()), "Completed",
 IF(OR(A215="TBD", AND(ISNUMBER(A215), A215 &gt; TODAY() + 5)), "Not Started", ""))))</f>
        <v/>
      </c>
      <c r="O215" s="306"/>
      <c r="P215" s="306"/>
      <c r="Q215" s="306"/>
      <c r="R215" s="306"/>
      <c r="S215" s="306"/>
      <c r="T215" s="306"/>
      <c r="U215" s="306"/>
      <c r="V215" s="306"/>
      <c r="W215" s="306"/>
      <c r="X215" s="306"/>
      <c r="Y215" s="306"/>
      <c r="Z215" s="306"/>
      <c r="AA215" s="306"/>
      <c r="AB215" s="306"/>
      <c r="AC215" s="306" t="str">
        <f ca="1">IF(P215="", "",
 IF(AND(ISNUMBER(P215), P215 &gt;= TODAY(), P215 &lt;= TODAY() + 5), "In Progress",
 IF(AND(ISNUMBER(P215), P215 &lt; TODAY()), "Completed",
 IF(OR(P215="TBD", AND(ISNUMBER(P215), P215 &gt; TODAY() + 5)), "Not Started", ""))))</f>
        <v/>
      </c>
      <c r="AD215" s="306"/>
      <c r="AE215"/>
      <c r="AF215"/>
    </row>
    <row r="216" spans="1:32" ht="14.55" customHeight="1">
      <c r="A216" s="306"/>
      <c r="B216" s="306"/>
      <c r="C216" s="306"/>
      <c r="D216" s="306"/>
      <c r="E216" s="306"/>
      <c r="F216" s="306"/>
      <c r="G216" s="306"/>
      <c r="H216" s="306"/>
      <c r="I216" s="306"/>
      <c r="J216" s="306"/>
      <c r="K216" s="306"/>
      <c r="L216" s="306"/>
      <c r="M216" s="306"/>
      <c r="N216" s="306"/>
      <c r="O216" s="306"/>
      <c r="P216" s="306"/>
      <c r="Q216" s="306"/>
      <c r="R216" s="306"/>
      <c r="S216" s="306"/>
      <c r="T216" s="306"/>
      <c r="U216" s="306"/>
      <c r="V216" s="306"/>
      <c r="W216" s="306"/>
      <c r="X216" s="306"/>
      <c r="Y216" s="306"/>
      <c r="Z216" s="306"/>
      <c r="AA216" s="306"/>
      <c r="AB216" s="306"/>
      <c r="AC216" s="306"/>
      <c r="AD216" s="306"/>
      <c r="AE216"/>
      <c r="AF216"/>
    </row>
    <row r="217" spans="1:32" ht="14.55" customHeight="1">
      <c r="A217" s="306"/>
      <c r="B217" s="306"/>
      <c r="C217" s="306"/>
      <c r="D217" s="306"/>
      <c r="E217" s="306"/>
      <c r="F217" s="306"/>
      <c r="G217" s="306"/>
      <c r="H217" s="306"/>
      <c r="I217" s="306"/>
      <c r="J217" s="306"/>
      <c r="K217" s="306"/>
      <c r="L217" s="306"/>
      <c r="M217" s="306"/>
      <c r="N217" s="306"/>
      <c r="O217" s="306"/>
      <c r="P217" s="306"/>
      <c r="Q217" s="306"/>
      <c r="R217" s="306"/>
      <c r="S217" s="306"/>
      <c r="T217" s="306"/>
      <c r="U217" s="306"/>
      <c r="V217" s="306"/>
      <c r="W217" s="306"/>
      <c r="X217" s="306"/>
      <c r="Y217" s="306"/>
      <c r="Z217" s="306"/>
      <c r="AA217" s="306"/>
      <c r="AB217" s="306"/>
      <c r="AC217" s="306"/>
      <c r="AD217" s="306"/>
      <c r="AE217"/>
      <c r="AF217"/>
    </row>
    <row r="218" spans="1:32" ht="14.55" customHeight="1">
      <c r="A218" s="306"/>
      <c r="B218" s="306"/>
      <c r="C218" s="306"/>
      <c r="D218" s="306"/>
      <c r="E218" s="306"/>
      <c r="F218" s="306"/>
      <c r="G218" s="306"/>
      <c r="H218" s="306"/>
      <c r="I218" s="306"/>
      <c r="J218" s="306"/>
      <c r="K218" s="306"/>
      <c r="L218" s="306"/>
      <c r="M218" s="306"/>
      <c r="N218" s="306" t="str">
        <f ca="1">IF(A218="", "",
 IF(AND(ISNUMBER(A218), A218 &gt;= TODAY(), A218 &lt;= TODAY() + 5), "In Progress",
 IF(AND(ISNUMBER(A218), A218 &lt; TODAY()), "Completed",
 IF(OR(A218="TBD", AND(ISNUMBER(A218), A218 &gt; TODAY() + 5)), "Not Started", ""))))</f>
        <v/>
      </c>
      <c r="O218" s="306"/>
      <c r="P218" s="306"/>
      <c r="Q218" s="306"/>
      <c r="R218" s="306"/>
      <c r="S218" s="306"/>
      <c r="T218" s="306"/>
      <c r="U218" s="306"/>
      <c r="V218" s="306"/>
      <c r="W218" s="306"/>
      <c r="X218" s="306"/>
      <c r="Y218" s="306"/>
      <c r="Z218" s="306"/>
      <c r="AA218" s="306"/>
      <c r="AB218" s="306"/>
      <c r="AC218" s="306" t="str">
        <f ca="1">IF(P218="", "",
 IF(AND(ISNUMBER(P218), P218 &gt;= TODAY(), P218 &lt;= TODAY() + 5), "In Progress",
 IF(AND(ISNUMBER(P218), P218 &lt; TODAY()), "Completed",
 IF(OR(P218="TBD", AND(ISNUMBER(P218), P218 &gt; TODAY() + 5)), "Not Started", ""))))</f>
        <v/>
      </c>
      <c r="AD218" s="306"/>
      <c r="AE218"/>
      <c r="AF218"/>
    </row>
    <row r="219" spans="1:32" ht="14.55" customHeight="1">
      <c r="A219" s="306"/>
      <c r="B219" s="306"/>
      <c r="C219" s="306"/>
      <c r="D219" s="306"/>
      <c r="E219" s="306"/>
      <c r="F219" s="306"/>
      <c r="G219" s="306"/>
      <c r="H219" s="306"/>
      <c r="I219" s="306"/>
      <c r="J219" s="306"/>
      <c r="K219" s="306"/>
      <c r="L219" s="306"/>
      <c r="M219" s="306"/>
      <c r="N219" s="306"/>
      <c r="O219" s="306"/>
      <c r="P219" s="306"/>
      <c r="Q219" s="306"/>
      <c r="R219" s="306"/>
      <c r="S219" s="306"/>
      <c r="T219" s="306"/>
      <c r="U219" s="306"/>
      <c r="V219" s="306"/>
      <c r="W219" s="306"/>
      <c r="X219" s="306"/>
      <c r="Y219" s="306"/>
      <c r="Z219" s="306"/>
      <c r="AA219" s="306"/>
      <c r="AB219" s="306"/>
      <c r="AC219" s="306"/>
      <c r="AD219" s="306"/>
      <c r="AE219"/>
      <c r="AF219"/>
    </row>
    <row r="220" spans="1:32" ht="14.55" customHeight="1">
      <c r="A220" s="306"/>
      <c r="B220" s="306"/>
      <c r="C220" s="306"/>
      <c r="D220" s="306"/>
      <c r="E220" s="306"/>
      <c r="F220" s="306"/>
      <c r="G220" s="306"/>
      <c r="H220" s="306"/>
      <c r="I220" s="306"/>
      <c r="J220" s="306"/>
      <c r="K220" s="306"/>
      <c r="L220" s="306"/>
      <c r="M220" s="306"/>
      <c r="N220" s="306"/>
      <c r="O220" s="306"/>
      <c r="P220" s="306"/>
      <c r="Q220" s="306"/>
      <c r="R220" s="306"/>
      <c r="S220" s="306"/>
      <c r="T220" s="306"/>
      <c r="U220" s="306"/>
      <c r="V220" s="306"/>
      <c r="W220" s="306"/>
      <c r="X220" s="306"/>
      <c r="Y220" s="306"/>
      <c r="Z220" s="306"/>
      <c r="AA220" s="306"/>
      <c r="AB220" s="306"/>
      <c r="AC220" s="306"/>
      <c r="AD220" s="306"/>
      <c r="AE220"/>
      <c r="AF220"/>
    </row>
    <row r="221" spans="1:32" ht="14.55" customHeight="1">
      <c r="A221" s="306"/>
      <c r="B221" s="306"/>
      <c r="C221" s="306"/>
      <c r="D221" s="306"/>
      <c r="E221" s="306"/>
      <c r="F221" s="306"/>
      <c r="G221" s="306"/>
      <c r="H221" s="306"/>
      <c r="I221" s="306"/>
      <c r="J221" s="306"/>
      <c r="K221" s="306"/>
      <c r="L221" s="306"/>
      <c r="M221" s="306"/>
      <c r="N221" s="306" t="str">
        <f ca="1">IF(A221="", "",
 IF(AND(ISNUMBER(A221), A221 &gt;= TODAY(), A221 &lt;= TODAY() + 5), "In Progress",
 IF(AND(ISNUMBER(A221), A221 &lt; TODAY()), "Completed",
 IF(OR(A221="TBD", AND(ISNUMBER(A221), A221 &gt; TODAY() + 5)), "Not Started", ""))))</f>
        <v/>
      </c>
      <c r="O221" s="306"/>
      <c r="P221" s="306"/>
      <c r="Q221" s="306"/>
      <c r="R221" s="306"/>
      <c r="S221" s="306"/>
      <c r="T221" s="306"/>
      <c r="U221" s="306"/>
      <c r="V221" s="306"/>
      <c r="W221" s="306"/>
      <c r="X221" s="306"/>
      <c r="Y221" s="306"/>
      <c r="Z221" s="306"/>
      <c r="AA221" s="306"/>
      <c r="AB221" s="306"/>
      <c r="AC221" s="306" t="str">
        <f ca="1">IF(P221="", "",
 IF(AND(ISNUMBER(P221), P221 &gt;= TODAY(), P221 &lt;= TODAY() + 5), "In Progress",
 IF(AND(ISNUMBER(P221), P221 &lt; TODAY()), "Completed",
 IF(OR(P221="TBD", AND(ISNUMBER(P221), P221 &gt; TODAY() + 5)), "Not Started", ""))))</f>
        <v/>
      </c>
      <c r="AD221" s="306"/>
      <c r="AE221"/>
      <c r="AF221"/>
    </row>
    <row r="222" spans="1:32" ht="14.55" customHeight="1">
      <c r="A222" s="306"/>
      <c r="B222" s="306"/>
      <c r="C222" s="306"/>
      <c r="D222" s="306"/>
      <c r="E222" s="306"/>
      <c r="F222" s="306"/>
      <c r="G222" s="306"/>
      <c r="H222" s="306"/>
      <c r="I222" s="306"/>
      <c r="J222" s="306"/>
      <c r="K222" s="306"/>
      <c r="L222" s="306"/>
      <c r="M222" s="306"/>
      <c r="N222" s="306"/>
      <c r="O222" s="306"/>
      <c r="P222" s="306"/>
      <c r="Q222" s="306"/>
      <c r="R222" s="306"/>
      <c r="S222" s="306"/>
      <c r="T222" s="306"/>
      <c r="U222" s="306"/>
      <c r="V222" s="306"/>
      <c r="W222" s="306"/>
      <c r="X222" s="306"/>
      <c r="Y222" s="306"/>
      <c r="Z222" s="306"/>
      <c r="AA222" s="306"/>
      <c r="AB222" s="306"/>
      <c r="AC222" s="306"/>
      <c r="AD222" s="306"/>
      <c r="AE222"/>
      <c r="AF222"/>
    </row>
    <row r="223" spans="1:32" ht="14.55" customHeight="1">
      <c r="A223" s="306"/>
      <c r="B223" s="306"/>
      <c r="C223" s="306"/>
      <c r="D223" s="306"/>
      <c r="E223" s="306"/>
      <c r="F223" s="306"/>
      <c r="G223" s="306"/>
      <c r="H223" s="306"/>
      <c r="I223" s="306"/>
      <c r="J223" s="306"/>
      <c r="K223" s="306"/>
      <c r="L223" s="306"/>
      <c r="M223" s="306"/>
      <c r="N223" s="306"/>
      <c r="O223" s="306"/>
      <c r="P223" s="306"/>
      <c r="Q223" s="306"/>
      <c r="R223" s="306"/>
      <c r="S223" s="306"/>
      <c r="T223" s="306"/>
      <c r="U223" s="306"/>
      <c r="V223" s="306"/>
      <c r="W223" s="306"/>
      <c r="X223" s="306"/>
      <c r="Y223" s="306"/>
      <c r="Z223" s="306"/>
      <c r="AA223" s="306"/>
      <c r="AB223" s="306"/>
      <c r="AC223" s="306"/>
      <c r="AD223" s="306"/>
      <c r="AE223"/>
      <c r="AF223"/>
    </row>
    <row r="224" spans="1:32" ht="14.55" customHeight="1">
      <c r="A224" s="306"/>
      <c r="B224" s="306"/>
      <c r="C224" s="306"/>
      <c r="D224" s="306"/>
      <c r="E224" s="306"/>
      <c r="F224" s="306"/>
      <c r="G224" s="306"/>
      <c r="H224" s="306"/>
      <c r="I224" s="306"/>
      <c r="J224" s="306"/>
      <c r="K224" s="306"/>
      <c r="L224" s="306"/>
      <c r="M224" s="306"/>
      <c r="N224" s="306" t="str">
        <f ca="1">IF(A224="", "",
 IF(AND(ISNUMBER(A224), A224 &gt;= TODAY(), A224 &lt;= TODAY() + 5), "In Progress",
 IF(AND(ISNUMBER(A224), A224 &lt; TODAY()), "Completed",
 IF(OR(A224="TBD", AND(ISNUMBER(A224), A224 &gt; TODAY() + 5)), "Not Started", ""))))</f>
        <v/>
      </c>
      <c r="O224" s="306"/>
      <c r="P224" s="306"/>
      <c r="Q224" s="306"/>
      <c r="R224" s="306"/>
      <c r="S224" s="306"/>
      <c r="T224" s="306"/>
      <c r="U224" s="306"/>
      <c r="V224" s="306"/>
      <c r="W224" s="306"/>
      <c r="X224" s="306"/>
      <c r="Y224" s="306"/>
      <c r="Z224" s="306"/>
      <c r="AA224" s="306"/>
      <c r="AB224" s="306"/>
      <c r="AC224" s="306" t="str">
        <f ca="1">IF(P224="", "",
 IF(AND(ISNUMBER(P224), P224 &gt;= TODAY(), P224 &lt;= TODAY() + 5), "In Progress",
 IF(AND(ISNUMBER(P224), P224 &lt; TODAY()), "Completed",
 IF(OR(P224="TBD", AND(ISNUMBER(P224), P224 &gt; TODAY() + 5)), "Not Started", ""))))</f>
        <v/>
      </c>
      <c r="AD224" s="306"/>
      <c r="AE224"/>
      <c r="AF224"/>
    </row>
    <row r="225" spans="1:32" ht="14.55" customHeight="1">
      <c r="A225" s="306"/>
      <c r="B225" s="306"/>
      <c r="C225" s="306"/>
      <c r="D225" s="306"/>
      <c r="E225" s="306"/>
      <c r="F225" s="306"/>
      <c r="G225" s="306"/>
      <c r="H225" s="306"/>
      <c r="I225" s="306"/>
      <c r="J225" s="306"/>
      <c r="K225" s="306"/>
      <c r="L225" s="306"/>
      <c r="M225" s="306"/>
      <c r="N225" s="306"/>
      <c r="O225" s="306"/>
      <c r="P225" s="306"/>
      <c r="Q225" s="306"/>
      <c r="R225" s="306"/>
      <c r="S225" s="306"/>
      <c r="T225" s="306"/>
      <c r="U225" s="306"/>
      <c r="V225" s="306"/>
      <c r="W225" s="306"/>
      <c r="X225" s="306"/>
      <c r="Y225" s="306"/>
      <c r="Z225" s="306"/>
      <c r="AA225" s="306"/>
      <c r="AB225" s="306"/>
      <c r="AC225" s="306"/>
      <c r="AD225" s="306"/>
      <c r="AE225"/>
      <c r="AF225"/>
    </row>
    <row r="226" spans="1:32" ht="14.55" customHeight="1">
      <c r="A226" s="306"/>
      <c r="B226" s="306"/>
      <c r="C226" s="306"/>
      <c r="D226" s="306"/>
      <c r="E226" s="306"/>
      <c r="F226" s="306"/>
      <c r="G226" s="306"/>
      <c r="H226" s="306"/>
      <c r="I226" s="306"/>
      <c r="J226" s="306"/>
      <c r="K226" s="306"/>
      <c r="L226" s="306"/>
      <c r="M226" s="306"/>
      <c r="N226" s="306"/>
      <c r="O226" s="306"/>
      <c r="P226" s="306"/>
      <c r="Q226" s="306"/>
      <c r="R226" s="306"/>
      <c r="S226" s="306"/>
      <c r="T226" s="306"/>
      <c r="U226" s="306"/>
      <c r="V226" s="306"/>
      <c r="W226" s="306"/>
      <c r="X226" s="306"/>
      <c r="Y226" s="306"/>
      <c r="Z226" s="306"/>
      <c r="AA226" s="306"/>
      <c r="AB226" s="306"/>
      <c r="AC226" s="306"/>
      <c r="AD226" s="306"/>
      <c r="AE226"/>
      <c r="AF226"/>
    </row>
    <row r="227" spans="1:32" ht="14.55" customHeight="1">
      <c r="A227" s="306"/>
      <c r="B227" s="306"/>
      <c r="C227" s="306"/>
      <c r="D227" s="306"/>
      <c r="E227" s="306"/>
      <c r="F227" s="306"/>
      <c r="G227" s="306"/>
      <c r="H227" s="306"/>
      <c r="I227" s="306"/>
      <c r="J227" s="306"/>
      <c r="K227" s="306"/>
      <c r="L227" s="306"/>
      <c r="M227" s="306"/>
      <c r="N227" s="306" t="str">
        <f ca="1">IF(A227="", "",
 IF(AND(ISNUMBER(A227), A227 &gt;= TODAY(), A227 &lt;= TODAY() + 5), "In Progress",
 IF(AND(ISNUMBER(A227), A227 &lt; TODAY()), "Completed",
 IF(OR(A227="TBD", AND(ISNUMBER(A227), A227 &gt; TODAY() + 5)), "Not Started", ""))))</f>
        <v/>
      </c>
      <c r="O227" s="306"/>
      <c r="P227" s="306"/>
      <c r="Q227" s="306"/>
      <c r="R227" s="306"/>
      <c r="S227" s="306"/>
      <c r="T227" s="306"/>
      <c r="U227" s="306"/>
      <c r="V227" s="306"/>
      <c r="W227" s="306"/>
      <c r="X227" s="306"/>
      <c r="Y227" s="306"/>
      <c r="Z227" s="306"/>
      <c r="AA227" s="306"/>
      <c r="AB227" s="306"/>
      <c r="AC227" s="306" t="str">
        <f ca="1">IF(P227="", "",
 IF(AND(ISNUMBER(P227), P227 &gt;= TODAY(), P227 &lt;= TODAY() + 5), "In Progress",
 IF(AND(ISNUMBER(P227), P227 &lt; TODAY()), "Completed",
 IF(OR(P227="TBD", AND(ISNUMBER(P227), P227 &gt; TODAY() + 5)), "Not Started", ""))))</f>
        <v/>
      </c>
      <c r="AD227" s="306"/>
      <c r="AE227"/>
      <c r="AF227"/>
    </row>
    <row r="228" spans="1:32" ht="14.55" customHeight="1">
      <c r="A228" s="306"/>
      <c r="B228" s="306"/>
      <c r="C228" s="306"/>
      <c r="D228" s="306"/>
      <c r="E228" s="306"/>
      <c r="F228" s="306"/>
      <c r="G228" s="306"/>
      <c r="H228" s="306"/>
      <c r="I228" s="306"/>
      <c r="J228" s="306"/>
      <c r="K228" s="306"/>
      <c r="L228" s="306"/>
      <c r="M228" s="306"/>
      <c r="N228" s="306"/>
      <c r="O228" s="306"/>
      <c r="P228" s="306"/>
      <c r="Q228" s="306"/>
      <c r="R228" s="306"/>
      <c r="S228" s="306"/>
      <c r="T228" s="306"/>
      <c r="U228" s="306"/>
      <c r="V228" s="306"/>
      <c r="W228" s="306"/>
      <c r="X228" s="306"/>
      <c r="Y228" s="306"/>
      <c r="Z228" s="306"/>
      <c r="AA228" s="306"/>
      <c r="AB228" s="306"/>
      <c r="AC228" s="306"/>
      <c r="AD228" s="306"/>
      <c r="AE228"/>
      <c r="AF228"/>
    </row>
    <row r="229" spans="1:32" ht="14.55" customHeight="1">
      <c r="A229" s="306"/>
      <c r="B229" s="306"/>
      <c r="C229" s="306"/>
      <c r="D229" s="306"/>
      <c r="E229" s="306"/>
      <c r="F229" s="306"/>
      <c r="G229" s="306"/>
      <c r="H229" s="306"/>
      <c r="I229" s="306"/>
      <c r="J229" s="306"/>
      <c r="K229" s="306"/>
      <c r="L229" s="306"/>
      <c r="M229" s="306"/>
      <c r="N229" s="306"/>
      <c r="O229" s="306"/>
      <c r="P229" s="306"/>
      <c r="Q229" s="306"/>
      <c r="R229" s="306"/>
      <c r="S229" s="306"/>
      <c r="T229" s="306"/>
      <c r="U229" s="306"/>
      <c r="V229" s="306"/>
      <c r="W229" s="306"/>
      <c r="X229" s="306"/>
      <c r="Y229" s="306"/>
      <c r="Z229" s="306"/>
      <c r="AA229" s="306"/>
      <c r="AB229" s="306"/>
      <c r="AC229" s="306"/>
      <c r="AD229" s="306"/>
      <c r="AE229"/>
      <c r="AF229"/>
    </row>
    <row r="230" spans="1:32" ht="14.55" customHeight="1">
      <c r="A230" s="306"/>
      <c r="B230" s="306"/>
      <c r="C230" s="306"/>
      <c r="D230" s="306"/>
      <c r="E230" s="306"/>
      <c r="F230" s="306"/>
      <c r="G230" s="306"/>
      <c r="H230" s="306"/>
      <c r="I230" s="306"/>
      <c r="J230" s="306"/>
      <c r="K230" s="306"/>
      <c r="L230" s="306"/>
      <c r="M230" s="306"/>
      <c r="N230" s="306" t="str">
        <f ca="1">IF(A230="", "",
 IF(AND(ISNUMBER(A230), A230 &gt;= TODAY(), A230 &lt;= TODAY() + 5), "In Progress",
 IF(AND(ISNUMBER(A230), A230 &lt; TODAY()), "Completed",
 IF(OR(A230="TBD", AND(ISNUMBER(A230), A230 &gt; TODAY() + 5)), "Not Started", ""))))</f>
        <v/>
      </c>
      <c r="O230" s="306"/>
      <c r="P230" s="306"/>
      <c r="Q230" s="306"/>
      <c r="R230" s="306"/>
      <c r="S230" s="306"/>
      <c r="T230" s="306"/>
      <c r="U230" s="306"/>
      <c r="V230" s="306"/>
      <c r="W230" s="306"/>
      <c r="X230" s="306"/>
      <c r="Y230" s="306"/>
      <c r="Z230" s="306"/>
      <c r="AA230" s="306"/>
      <c r="AB230" s="306"/>
      <c r="AC230" s="306" t="str">
        <f ca="1">IF(P230="", "",
 IF(AND(ISNUMBER(P230), P230 &gt;= TODAY(), P230 &lt;= TODAY() + 5), "In Progress",
 IF(AND(ISNUMBER(P230), P230 &lt; TODAY()), "Completed",
 IF(OR(P230="TBD", AND(ISNUMBER(P230), P230 &gt; TODAY() + 5)), "Not Started", ""))))</f>
        <v/>
      </c>
      <c r="AD230" s="306"/>
      <c r="AE230"/>
      <c r="AF230"/>
    </row>
    <row r="231" spans="1:32" ht="14.55" customHeight="1">
      <c r="A231" s="306"/>
      <c r="B231" s="306"/>
      <c r="C231" s="306"/>
      <c r="D231" s="306"/>
      <c r="E231" s="306"/>
      <c r="F231" s="306"/>
      <c r="G231" s="306"/>
      <c r="H231" s="306"/>
      <c r="I231" s="306"/>
      <c r="J231" s="306"/>
      <c r="K231" s="306"/>
      <c r="L231" s="306"/>
      <c r="M231" s="306"/>
      <c r="N231" s="306"/>
      <c r="O231" s="306"/>
      <c r="P231" s="306"/>
      <c r="Q231" s="306"/>
      <c r="R231" s="306"/>
      <c r="S231" s="306"/>
      <c r="T231" s="306"/>
      <c r="U231" s="306"/>
      <c r="V231" s="306"/>
      <c r="W231" s="306"/>
      <c r="X231" s="306"/>
      <c r="Y231" s="306"/>
      <c r="Z231" s="306"/>
      <c r="AA231" s="306"/>
      <c r="AB231" s="306"/>
      <c r="AC231" s="306"/>
      <c r="AD231" s="306"/>
      <c r="AE231"/>
      <c r="AF231"/>
    </row>
    <row r="232" spans="1:32" ht="14.55" customHeight="1">
      <c r="A232" s="306"/>
      <c r="B232" s="306"/>
      <c r="C232" s="306"/>
      <c r="D232" s="306"/>
      <c r="E232" s="306"/>
      <c r="F232" s="306"/>
      <c r="G232" s="306"/>
      <c r="H232" s="306"/>
      <c r="I232" s="306"/>
      <c r="J232" s="306"/>
      <c r="K232" s="306"/>
      <c r="L232" s="306"/>
      <c r="M232" s="306"/>
      <c r="N232" s="306"/>
      <c r="O232" s="306"/>
      <c r="P232" s="306"/>
      <c r="Q232" s="306"/>
      <c r="R232" s="306"/>
      <c r="S232" s="306"/>
      <c r="T232" s="306"/>
      <c r="U232" s="306"/>
      <c r="V232" s="306"/>
      <c r="W232" s="306"/>
      <c r="X232" s="306"/>
      <c r="Y232" s="306"/>
      <c r="Z232" s="306"/>
      <c r="AA232" s="306"/>
      <c r="AB232" s="306"/>
      <c r="AC232" s="306"/>
      <c r="AD232" s="306"/>
      <c r="AE232"/>
      <c r="AF232"/>
    </row>
    <row r="233" spans="1:32" ht="14.55" customHeight="1">
      <c r="A233" s="306"/>
      <c r="B233" s="306"/>
      <c r="C233" s="306"/>
      <c r="D233" s="306"/>
      <c r="E233" s="306"/>
      <c r="F233" s="306"/>
      <c r="G233" s="306"/>
      <c r="H233" s="306"/>
      <c r="I233" s="306"/>
      <c r="J233" s="306"/>
      <c r="K233" s="306"/>
      <c r="L233" s="306"/>
      <c r="M233" s="306"/>
      <c r="N233" s="306" t="str">
        <f ca="1">IF(A233="", "",
 IF(AND(ISNUMBER(A233), A233 &gt;= TODAY(), A233 &lt;= TODAY() + 5), "In Progress",
 IF(AND(ISNUMBER(A233), A233 &lt; TODAY()), "Completed",
 IF(OR(A233="TBD", AND(ISNUMBER(A233), A233 &gt; TODAY() + 5)), "Not Started", ""))))</f>
        <v/>
      </c>
      <c r="O233" s="306"/>
      <c r="P233" s="306"/>
      <c r="Q233" s="306"/>
      <c r="R233" s="306"/>
      <c r="S233" s="306"/>
      <c r="T233" s="306"/>
      <c r="U233" s="306"/>
      <c r="V233" s="306"/>
      <c r="W233" s="306"/>
      <c r="X233" s="306"/>
      <c r="Y233" s="306"/>
      <c r="Z233" s="306"/>
      <c r="AA233" s="306"/>
      <c r="AB233" s="306"/>
      <c r="AC233" s="306" t="str">
        <f ca="1">IF(P233="", "",
 IF(AND(ISNUMBER(P233), P233 &gt;= TODAY(), P233 &lt;= TODAY() + 5), "In Progress",
 IF(AND(ISNUMBER(P233), P233 &lt; TODAY()), "Completed",
 IF(OR(P233="TBD", AND(ISNUMBER(P233), P233 &gt; TODAY() + 5)), "Not Started", ""))))</f>
        <v/>
      </c>
      <c r="AD233" s="306"/>
      <c r="AE233"/>
      <c r="AF233"/>
    </row>
    <row r="234" spans="1:32" ht="14.55" customHeight="1">
      <c r="A234" s="306"/>
      <c r="B234" s="306"/>
      <c r="C234" s="306"/>
      <c r="D234" s="306"/>
      <c r="E234" s="306"/>
      <c r="F234" s="306"/>
      <c r="G234" s="306"/>
      <c r="H234" s="306"/>
      <c r="I234" s="306"/>
      <c r="J234" s="306"/>
      <c r="K234" s="306"/>
      <c r="L234" s="306"/>
      <c r="M234" s="306"/>
      <c r="N234" s="306"/>
      <c r="O234" s="306"/>
      <c r="P234" s="306"/>
      <c r="Q234" s="306"/>
      <c r="R234" s="306"/>
      <c r="S234" s="306"/>
      <c r="T234" s="306"/>
      <c r="U234" s="306"/>
      <c r="V234" s="306"/>
      <c r="W234" s="306"/>
      <c r="X234" s="306"/>
      <c r="Y234" s="306"/>
      <c r="Z234" s="306"/>
      <c r="AA234" s="306"/>
      <c r="AB234" s="306"/>
      <c r="AC234" s="306"/>
      <c r="AD234" s="306"/>
      <c r="AE234"/>
      <c r="AF234"/>
    </row>
    <row r="235" spans="1:32" ht="14.55" customHeight="1">
      <c r="A235" s="306"/>
      <c r="B235" s="306"/>
      <c r="C235" s="306"/>
      <c r="D235" s="306"/>
      <c r="E235" s="306"/>
      <c r="F235" s="306"/>
      <c r="G235" s="306"/>
      <c r="H235" s="306"/>
      <c r="I235" s="306"/>
      <c r="J235" s="306"/>
      <c r="K235" s="306"/>
      <c r="L235" s="306"/>
      <c r="M235" s="306"/>
      <c r="N235" s="306"/>
      <c r="O235" s="306"/>
      <c r="P235" s="306"/>
      <c r="Q235" s="306"/>
      <c r="R235" s="306"/>
      <c r="S235" s="306"/>
      <c r="T235" s="306"/>
      <c r="U235" s="306"/>
      <c r="V235" s="306"/>
      <c r="W235" s="306"/>
      <c r="X235" s="306"/>
      <c r="Y235" s="306"/>
      <c r="Z235" s="306"/>
      <c r="AA235" s="306"/>
      <c r="AB235" s="306"/>
      <c r="AC235" s="306"/>
      <c r="AD235" s="306"/>
      <c r="AE235"/>
      <c r="AF235"/>
    </row>
    <row r="236" spans="1:32" ht="14.55" customHeight="1">
      <c r="A236" s="306"/>
      <c r="B236" s="306"/>
      <c r="C236" s="306"/>
      <c r="D236" s="306"/>
      <c r="E236" s="306"/>
      <c r="F236" s="306"/>
      <c r="G236" s="306"/>
      <c r="H236" s="306"/>
      <c r="I236" s="306"/>
      <c r="J236" s="306"/>
      <c r="K236" s="306"/>
      <c r="L236" s="306"/>
      <c r="M236" s="306"/>
      <c r="N236" s="306" t="str">
        <f ca="1">IF(A236="", "",
 IF(AND(ISNUMBER(A236), A236 &gt;= TODAY(), A236 &lt;= TODAY() + 5), "In Progress",
 IF(AND(ISNUMBER(A236), A236 &lt; TODAY()), "Completed",
 IF(OR(A236="TBD", AND(ISNUMBER(A236), A236 &gt; TODAY() + 5)), "Not Started", ""))))</f>
        <v/>
      </c>
      <c r="O236" s="306"/>
      <c r="P236" s="306"/>
      <c r="Q236" s="306"/>
      <c r="R236" s="306"/>
      <c r="S236" s="306"/>
      <c r="T236" s="306"/>
      <c r="U236" s="306"/>
      <c r="V236" s="306"/>
      <c r="W236" s="306"/>
      <c r="X236" s="306"/>
      <c r="Y236" s="306"/>
      <c r="Z236" s="306"/>
      <c r="AA236" s="306"/>
      <c r="AB236" s="306"/>
      <c r="AC236" s="306" t="str">
        <f ca="1">IF(P236="", "",
 IF(AND(ISNUMBER(P236), P236 &gt;= TODAY(), P236 &lt;= TODAY() + 5), "In Progress",
 IF(AND(ISNUMBER(P236), P236 &lt; TODAY()), "Completed",
 IF(OR(P236="TBD", AND(ISNUMBER(P236), P236 &gt; TODAY() + 5)), "Not Started", ""))))</f>
        <v/>
      </c>
      <c r="AD236" s="306"/>
      <c r="AE236"/>
      <c r="AF236"/>
    </row>
    <row r="237" spans="1:32" ht="14.55" customHeight="1">
      <c r="A237" s="306"/>
      <c r="B237" s="306"/>
      <c r="C237" s="306"/>
      <c r="D237" s="306"/>
      <c r="E237" s="306"/>
      <c r="F237" s="306"/>
      <c r="G237" s="306"/>
      <c r="H237" s="306"/>
      <c r="I237" s="306"/>
      <c r="J237" s="306"/>
      <c r="K237" s="306"/>
      <c r="L237" s="306"/>
      <c r="M237" s="306"/>
      <c r="N237" s="306"/>
      <c r="O237" s="306"/>
      <c r="P237" s="306"/>
      <c r="Q237" s="306"/>
      <c r="R237" s="306"/>
      <c r="S237" s="306"/>
      <c r="T237" s="306"/>
      <c r="U237" s="306"/>
      <c r="V237" s="306"/>
      <c r="W237" s="306"/>
      <c r="X237" s="306"/>
      <c r="Y237" s="306"/>
      <c r="Z237" s="306"/>
      <c r="AA237" s="306"/>
      <c r="AB237" s="306"/>
      <c r="AC237" s="306"/>
      <c r="AD237" s="306"/>
      <c r="AE237"/>
      <c r="AF237"/>
    </row>
    <row r="238" spans="1:32" ht="14.55" customHeight="1">
      <c r="A238" s="306"/>
      <c r="B238" s="306"/>
      <c r="C238" s="306"/>
      <c r="D238" s="306"/>
      <c r="E238" s="306"/>
      <c r="F238" s="306"/>
      <c r="G238" s="306"/>
      <c r="H238" s="306"/>
      <c r="I238" s="306"/>
      <c r="J238" s="306"/>
      <c r="K238" s="306"/>
      <c r="L238" s="306"/>
      <c r="M238" s="306"/>
      <c r="N238" s="306"/>
      <c r="O238" s="306"/>
      <c r="P238" s="306"/>
      <c r="Q238" s="306"/>
      <c r="R238" s="306"/>
      <c r="S238" s="306"/>
      <c r="T238" s="306"/>
      <c r="U238" s="306"/>
      <c r="V238" s="306"/>
      <c r="W238" s="306"/>
      <c r="X238" s="306"/>
      <c r="Y238" s="306"/>
      <c r="Z238" s="306"/>
      <c r="AA238" s="306"/>
      <c r="AB238" s="306"/>
      <c r="AC238" s="306"/>
      <c r="AD238" s="306"/>
      <c r="AE238"/>
      <c r="AF238"/>
    </row>
    <row r="239" spans="1:32" ht="14.55" customHeight="1">
      <c r="A239" s="306"/>
      <c r="B239" s="306"/>
      <c r="C239" s="306"/>
      <c r="D239" s="306"/>
      <c r="E239" s="306"/>
      <c r="F239" s="306"/>
      <c r="G239" s="306"/>
      <c r="H239" s="306"/>
      <c r="I239" s="306"/>
      <c r="J239" s="306"/>
      <c r="K239" s="306"/>
      <c r="L239" s="306"/>
      <c r="M239" s="306"/>
      <c r="N239" s="306" t="str">
        <f ca="1">IF(A239="", "",
 IF(AND(ISNUMBER(A239), A239 &gt;= TODAY(), A239 &lt;= TODAY() + 5), "In Progress",
 IF(AND(ISNUMBER(A239), A239 &lt; TODAY()), "Completed",
 IF(OR(A239="TBD", AND(ISNUMBER(A239), A239 &gt; TODAY() + 5)), "Not Started", ""))))</f>
        <v/>
      </c>
      <c r="O239" s="306"/>
      <c r="P239" s="306"/>
      <c r="Q239" s="306"/>
      <c r="R239" s="306"/>
      <c r="S239" s="306"/>
      <c r="T239" s="306"/>
      <c r="U239" s="306"/>
      <c r="V239" s="306"/>
      <c r="W239" s="306"/>
      <c r="X239" s="306"/>
      <c r="Y239" s="306"/>
      <c r="Z239" s="306"/>
      <c r="AA239" s="306"/>
      <c r="AB239" s="306"/>
      <c r="AC239" s="306" t="str">
        <f ca="1">IF(P239="", "",
 IF(AND(ISNUMBER(P239), P239 &gt;= TODAY(), P239 &lt;= TODAY() + 5), "In Progress",
 IF(AND(ISNUMBER(P239), P239 &lt; TODAY()), "Completed",
 IF(OR(P239="TBD", AND(ISNUMBER(P239), P239 &gt; TODAY() + 5)), "Not Started", ""))))</f>
        <v/>
      </c>
      <c r="AD239" s="306"/>
      <c r="AE239"/>
      <c r="AF239"/>
    </row>
    <row r="240" spans="1:32" ht="14.55" customHeight="1">
      <c r="A240" s="306"/>
      <c r="B240" s="306"/>
      <c r="C240" s="306"/>
      <c r="D240" s="306"/>
      <c r="E240" s="306"/>
      <c r="F240" s="306"/>
      <c r="G240" s="306"/>
      <c r="H240" s="306"/>
      <c r="I240" s="306"/>
      <c r="J240" s="306"/>
      <c r="K240" s="306"/>
      <c r="L240" s="306"/>
      <c r="M240" s="306"/>
      <c r="N240" s="306"/>
      <c r="O240" s="306"/>
      <c r="P240" s="306"/>
      <c r="Q240" s="306"/>
      <c r="R240" s="306"/>
      <c r="S240" s="306"/>
      <c r="T240" s="306"/>
      <c r="U240" s="306"/>
      <c r="V240" s="306"/>
      <c r="W240" s="306"/>
      <c r="X240" s="306"/>
      <c r="Y240" s="306"/>
      <c r="Z240" s="306"/>
      <c r="AA240" s="306"/>
      <c r="AB240" s="306"/>
      <c r="AC240" s="306"/>
      <c r="AD240" s="306"/>
      <c r="AE240"/>
      <c r="AF240"/>
    </row>
    <row r="241" spans="1:32" ht="14.55" customHeight="1">
      <c r="A241" s="306"/>
      <c r="B241" s="306"/>
      <c r="C241" s="306"/>
      <c r="D241" s="306"/>
      <c r="E241" s="306"/>
      <c r="F241" s="306"/>
      <c r="G241" s="306"/>
      <c r="H241" s="306"/>
      <c r="I241" s="306"/>
      <c r="J241" s="306"/>
      <c r="K241" s="306"/>
      <c r="L241" s="306"/>
      <c r="M241" s="306"/>
      <c r="N241" s="306"/>
      <c r="O241" s="306"/>
      <c r="P241" s="306"/>
      <c r="Q241" s="306"/>
      <c r="R241" s="306"/>
      <c r="S241" s="306"/>
      <c r="T241" s="306"/>
      <c r="U241" s="306"/>
      <c r="V241" s="306"/>
      <c r="W241" s="306"/>
      <c r="X241" s="306"/>
      <c r="Y241" s="306"/>
      <c r="Z241" s="306"/>
      <c r="AA241" s="306"/>
      <c r="AB241" s="306"/>
      <c r="AC241" s="306"/>
      <c r="AD241" s="306"/>
      <c r="AE241"/>
      <c r="AF241"/>
    </row>
    <row r="242" spans="1:32" ht="14.55" customHeight="1">
      <c r="A242" s="306"/>
      <c r="B242" s="306"/>
      <c r="C242" s="306"/>
      <c r="D242" s="306"/>
      <c r="E242" s="306"/>
      <c r="F242" s="306"/>
      <c r="G242" s="306"/>
      <c r="H242" s="306"/>
      <c r="I242" s="306"/>
      <c r="J242" s="306"/>
      <c r="K242" s="306"/>
      <c r="L242" s="306"/>
      <c r="M242" s="306"/>
      <c r="N242" s="306" t="str">
        <f ca="1">IF(A242="", "",
 IF(AND(ISNUMBER(A242), A242 &gt;= TODAY(), A242 &lt;= TODAY() + 5), "In Progress",
 IF(AND(ISNUMBER(A242), A242 &lt; TODAY()), "Completed",
 IF(OR(A242="TBD", AND(ISNUMBER(A242), A242 &gt; TODAY() + 5)), "Not Started", ""))))</f>
        <v/>
      </c>
      <c r="O242" s="306"/>
      <c r="P242" s="306"/>
      <c r="Q242" s="306"/>
      <c r="R242" s="306"/>
      <c r="S242" s="306"/>
      <c r="T242" s="306"/>
      <c r="U242" s="306"/>
      <c r="V242" s="306"/>
      <c r="W242" s="306"/>
      <c r="X242" s="306"/>
      <c r="Y242" s="306"/>
      <c r="Z242" s="306"/>
      <c r="AA242" s="306"/>
      <c r="AB242" s="306"/>
      <c r="AC242" s="306" t="str">
        <f ca="1">IF(P242="", "",
 IF(AND(ISNUMBER(P242), P242 &gt;= TODAY(), P242 &lt;= TODAY() + 5), "In Progress",
 IF(AND(ISNUMBER(P242), P242 &lt; TODAY()), "Completed",
 IF(OR(P242="TBD", AND(ISNUMBER(P242), P242 &gt; TODAY() + 5)), "Not Started", ""))))</f>
        <v/>
      </c>
      <c r="AD242" s="306"/>
      <c r="AE242"/>
      <c r="AF242"/>
    </row>
    <row r="243" spans="1:32" ht="14.55" customHeight="1">
      <c r="A243" s="306"/>
      <c r="B243" s="306"/>
      <c r="C243" s="306"/>
      <c r="D243" s="306"/>
      <c r="E243" s="306"/>
      <c r="F243" s="306"/>
      <c r="G243" s="306"/>
      <c r="H243" s="306"/>
      <c r="I243" s="306"/>
      <c r="J243" s="306"/>
      <c r="K243" s="306"/>
      <c r="L243" s="306"/>
      <c r="M243" s="306"/>
      <c r="N243" s="306"/>
      <c r="O243" s="306"/>
      <c r="P243" s="306"/>
      <c r="Q243" s="306"/>
      <c r="R243" s="306"/>
      <c r="S243" s="306"/>
      <c r="T243" s="306"/>
      <c r="U243" s="306"/>
      <c r="V243" s="306"/>
      <c r="W243" s="306"/>
      <c r="X243" s="306"/>
      <c r="Y243" s="306"/>
      <c r="Z243" s="306"/>
      <c r="AA243" s="306"/>
      <c r="AB243" s="306"/>
      <c r="AC243" s="306"/>
      <c r="AD243" s="306"/>
      <c r="AE243"/>
      <c r="AF243"/>
    </row>
    <row r="244" spans="1:32" ht="14.55" customHeight="1">
      <c r="A244" s="306"/>
      <c r="B244" s="306"/>
      <c r="C244" s="306"/>
      <c r="D244" s="306"/>
      <c r="E244" s="306"/>
      <c r="F244" s="306"/>
      <c r="G244" s="306"/>
      <c r="H244" s="306"/>
      <c r="I244" s="306"/>
      <c r="J244" s="306"/>
      <c r="K244" s="306"/>
      <c r="L244" s="306"/>
      <c r="M244" s="306"/>
      <c r="N244" s="306"/>
      <c r="O244" s="306"/>
      <c r="P244" s="306"/>
      <c r="Q244" s="306"/>
      <c r="R244" s="306"/>
      <c r="S244" s="306"/>
      <c r="T244" s="306"/>
      <c r="U244" s="306"/>
      <c r="V244" s="306"/>
      <c r="W244" s="306"/>
      <c r="X244" s="306"/>
      <c r="Y244" s="306"/>
      <c r="Z244" s="306"/>
      <c r="AA244" s="306"/>
      <c r="AB244" s="306"/>
      <c r="AC244" s="306"/>
      <c r="AD244" s="306"/>
      <c r="AE244"/>
      <c r="AF244"/>
    </row>
    <row r="245" spans="1:32" ht="14.55" customHeight="1">
      <c r="A245" s="306"/>
      <c r="B245" s="306"/>
      <c r="C245" s="306"/>
      <c r="D245" s="306"/>
      <c r="E245" s="306"/>
      <c r="F245" s="306"/>
      <c r="G245" s="306"/>
      <c r="H245" s="306"/>
      <c r="I245" s="306"/>
      <c r="J245" s="306"/>
      <c r="K245" s="306"/>
      <c r="L245" s="306"/>
      <c r="M245" s="306"/>
      <c r="N245" s="306" t="str">
        <f ca="1">IF(A245="", "",
 IF(AND(ISNUMBER(A245), A245 &gt;= TODAY(), A245 &lt;= TODAY() + 5), "In Progress",
 IF(AND(ISNUMBER(A245), A245 &lt; TODAY()), "Completed",
 IF(OR(A245="TBD", AND(ISNUMBER(A245), A245 &gt; TODAY() + 5)), "Not Started", ""))))</f>
        <v/>
      </c>
      <c r="O245" s="306"/>
      <c r="P245" s="306"/>
      <c r="Q245" s="306"/>
      <c r="R245" s="306"/>
      <c r="S245" s="306"/>
      <c r="T245" s="306"/>
      <c r="U245" s="306"/>
      <c r="V245" s="306"/>
      <c r="W245" s="306"/>
      <c r="X245" s="306"/>
      <c r="Y245" s="306"/>
      <c r="Z245" s="306"/>
      <c r="AA245" s="306"/>
      <c r="AB245" s="306"/>
      <c r="AC245" s="306" t="str">
        <f ca="1">IF(P245="", "",
 IF(AND(ISNUMBER(P245), P245 &gt;= TODAY(), P245 &lt;= TODAY() + 5), "In Progress",
 IF(AND(ISNUMBER(P245), P245 &lt; TODAY()), "Completed",
 IF(OR(P245="TBD", AND(ISNUMBER(P245), P245 &gt; TODAY() + 5)), "Not Started", ""))))</f>
        <v/>
      </c>
      <c r="AD245" s="306"/>
      <c r="AE245"/>
      <c r="AF245"/>
    </row>
    <row r="246" spans="1:32" ht="14.55" customHeight="1">
      <c r="A246" s="306"/>
      <c r="B246" s="306"/>
      <c r="C246" s="306"/>
      <c r="D246" s="306"/>
      <c r="E246" s="306"/>
      <c r="F246" s="306"/>
      <c r="G246" s="306"/>
      <c r="H246" s="306"/>
      <c r="I246" s="306"/>
      <c r="J246" s="306"/>
      <c r="K246" s="306"/>
      <c r="L246" s="306"/>
      <c r="M246" s="306"/>
      <c r="N246" s="306"/>
      <c r="O246" s="306"/>
      <c r="P246" s="306"/>
      <c r="Q246" s="306"/>
      <c r="R246" s="306"/>
      <c r="S246" s="306"/>
      <c r="T246" s="306"/>
      <c r="U246" s="306"/>
      <c r="V246" s="306"/>
      <c r="W246" s="306"/>
      <c r="X246" s="306"/>
      <c r="Y246" s="306"/>
      <c r="Z246" s="306"/>
      <c r="AA246" s="306"/>
      <c r="AB246" s="306"/>
      <c r="AC246" s="306"/>
      <c r="AD246" s="306"/>
      <c r="AE246"/>
      <c r="AF246"/>
    </row>
    <row r="247" spans="1:32" ht="14.55" customHeight="1">
      <c r="A247" s="306"/>
      <c r="B247" s="306"/>
      <c r="C247" s="306"/>
      <c r="D247" s="306"/>
      <c r="E247" s="306"/>
      <c r="F247" s="306"/>
      <c r="G247" s="306"/>
      <c r="H247" s="306"/>
      <c r="I247" s="306"/>
      <c r="J247" s="306"/>
      <c r="K247" s="306"/>
      <c r="L247" s="306"/>
      <c r="M247" s="306"/>
      <c r="N247" s="306"/>
      <c r="O247" s="306"/>
      <c r="P247" s="306"/>
      <c r="Q247" s="306"/>
      <c r="R247" s="306"/>
      <c r="S247" s="306"/>
      <c r="T247" s="306"/>
      <c r="U247" s="306"/>
      <c r="V247" s="306"/>
      <c r="W247" s="306"/>
      <c r="X247" s="306"/>
      <c r="Y247" s="306"/>
      <c r="Z247" s="306"/>
      <c r="AA247" s="306"/>
      <c r="AB247" s="306"/>
      <c r="AC247" s="306"/>
      <c r="AD247" s="306"/>
      <c r="AE247"/>
      <c r="AF247"/>
    </row>
    <row r="248" spans="1:32" ht="14.55" customHeight="1">
      <c r="A248" s="306"/>
      <c r="B248" s="306"/>
      <c r="C248" s="306"/>
      <c r="D248" s="306"/>
      <c r="E248" s="306"/>
      <c r="F248" s="306"/>
      <c r="G248" s="306"/>
      <c r="H248" s="306"/>
      <c r="I248" s="306"/>
      <c r="J248" s="306"/>
      <c r="K248" s="306"/>
      <c r="L248" s="306"/>
      <c r="M248" s="306"/>
      <c r="N248" s="306" t="str">
        <f ca="1">IF(A248="", "",
 IF(AND(ISNUMBER(A248), A248 &gt;= TODAY(), A248 &lt;= TODAY() + 5), "In Progress",
 IF(AND(ISNUMBER(A248), A248 &lt; TODAY()), "Completed",
 IF(OR(A248="TBD", AND(ISNUMBER(A248), A248 &gt; TODAY() + 5)), "Not Started", ""))))</f>
        <v/>
      </c>
      <c r="O248" s="306"/>
      <c r="P248" s="306"/>
      <c r="Q248" s="306"/>
      <c r="R248" s="306"/>
      <c r="S248" s="306"/>
      <c r="T248" s="306"/>
      <c r="U248" s="306"/>
      <c r="V248" s="306"/>
      <c r="W248" s="306"/>
      <c r="X248" s="306"/>
      <c r="Y248" s="306"/>
      <c r="Z248" s="306"/>
      <c r="AA248" s="306"/>
      <c r="AB248" s="306"/>
      <c r="AC248" s="306" t="str">
        <f ca="1">IF(P248="", "",
 IF(AND(ISNUMBER(P248), P248 &gt;= TODAY(), P248 &lt;= TODAY() + 5), "In Progress",
 IF(AND(ISNUMBER(P248), P248 &lt; TODAY()), "Completed",
 IF(OR(P248="TBD", AND(ISNUMBER(P248), P248 &gt; TODAY() + 5)), "Not Started", ""))))</f>
        <v/>
      </c>
      <c r="AD248" s="306"/>
      <c r="AE248"/>
      <c r="AF248"/>
    </row>
    <row r="249" spans="1:32" ht="14.55" customHeight="1">
      <c r="A249" s="306"/>
      <c r="B249" s="306"/>
      <c r="C249" s="306"/>
      <c r="D249" s="306"/>
      <c r="E249" s="306"/>
      <c r="F249" s="306"/>
      <c r="G249" s="306"/>
      <c r="H249" s="306"/>
      <c r="I249" s="306"/>
      <c r="J249" s="306"/>
      <c r="K249" s="306"/>
      <c r="L249" s="306"/>
      <c r="M249" s="306"/>
      <c r="N249" s="306"/>
      <c r="O249" s="306"/>
      <c r="P249" s="306"/>
      <c r="Q249" s="306"/>
      <c r="R249" s="306"/>
      <c r="S249" s="306"/>
      <c r="T249" s="306"/>
      <c r="U249" s="306"/>
      <c r="V249" s="306"/>
      <c r="W249" s="306"/>
      <c r="X249" s="306"/>
      <c r="Y249" s="306"/>
      <c r="Z249" s="306"/>
      <c r="AA249" s="306"/>
      <c r="AB249" s="306"/>
      <c r="AC249" s="306"/>
      <c r="AD249" s="306"/>
      <c r="AE249"/>
      <c r="AF249"/>
    </row>
    <row r="250" spans="1:32" ht="14.55" customHeight="1">
      <c r="A250" s="306"/>
      <c r="B250" s="306"/>
      <c r="C250" s="306"/>
      <c r="D250" s="306"/>
      <c r="E250" s="306"/>
      <c r="F250" s="306"/>
      <c r="G250" s="306"/>
      <c r="H250" s="306"/>
      <c r="I250" s="306"/>
      <c r="J250" s="306"/>
      <c r="K250" s="306"/>
      <c r="L250" s="306"/>
      <c r="M250" s="306"/>
      <c r="N250" s="306"/>
      <c r="O250" s="306"/>
      <c r="P250" s="306"/>
      <c r="Q250" s="306"/>
      <c r="R250" s="306"/>
      <c r="S250" s="306"/>
      <c r="T250" s="306"/>
      <c r="U250" s="306"/>
      <c r="V250" s="306"/>
      <c r="W250" s="306"/>
      <c r="X250" s="306"/>
      <c r="Y250" s="306"/>
      <c r="Z250" s="306"/>
      <c r="AA250" s="306"/>
      <c r="AB250" s="306"/>
      <c r="AC250" s="306"/>
      <c r="AD250" s="306"/>
      <c r="AE250"/>
      <c r="AF250"/>
    </row>
    <row r="251" spans="1:32" ht="14.55" customHeight="1">
      <c r="A251" s="306"/>
      <c r="B251" s="306"/>
      <c r="C251" s="306"/>
      <c r="D251" s="306"/>
      <c r="E251" s="306"/>
      <c r="F251" s="306"/>
      <c r="G251" s="306"/>
      <c r="H251" s="306"/>
      <c r="I251" s="306"/>
      <c r="J251" s="306"/>
      <c r="K251" s="306"/>
      <c r="L251" s="306"/>
      <c r="M251" s="306"/>
      <c r="N251" s="306" t="str">
        <f ca="1">IF(A251="", "",
 IF(AND(ISNUMBER(A251), A251 &gt;= TODAY(), A251 &lt;= TODAY() + 5), "In Progress",
 IF(AND(ISNUMBER(A251), A251 &lt; TODAY()), "Completed",
 IF(OR(A251="TBD", AND(ISNUMBER(A251), A251 &gt; TODAY() + 5)), "Not Started", ""))))</f>
        <v/>
      </c>
      <c r="O251" s="306"/>
      <c r="P251" s="306"/>
      <c r="Q251" s="306"/>
      <c r="R251" s="306"/>
      <c r="S251" s="306"/>
      <c r="T251" s="306"/>
      <c r="U251" s="306"/>
      <c r="V251" s="306"/>
      <c r="W251" s="306"/>
      <c r="X251" s="306"/>
      <c r="Y251" s="306"/>
      <c r="Z251" s="306"/>
      <c r="AA251" s="306"/>
      <c r="AB251" s="306"/>
      <c r="AC251" s="306" t="str">
        <f ca="1">IF(P251="", "",
 IF(AND(ISNUMBER(P251), P251 &gt;= TODAY(), P251 &lt;= TODAY() + 5), "In Progress",
 IF(AND(ISNUMBER(P251), P251 &lt; TODAY()), "Completed",
 IF(OR(P251="TBD", AND(ISNUMBER(P251), P251 &gt; TODAY() + 5)), "Not Started", ""))))</f>
        <v/>
      </c>
      <c r="AD251" s="306"/>
      <c r="AE251"/>
      <c r="AF251"/>
    </row>
    <row r="252" spans="1:32" ht="14.55" customHeight="1">
      <c r="A252" s="306"/>
      <c r="B252" s="306"/>
      <c r="C252" s="306"/>
      <c r="D252" s="306"/>
      <c r="E252" s="306"/>
      <c r="F252" s="306"/>
      <c r="G252" s="306"/>
      <c r="H252" s="306"/>
      <c r="I252" s="306"/>
      <c r="J252" s="306"/>
      <c r="K252" s="306"/>
      <c r="L252" s="306"/>
      <c r="M252" s="306"/>
      <c r="N252" s="306"/>
      <c r="O252" s="306"/>
      <c r="P252" s="306"/>
      <c r="Q252" s="306"/>
      <c r="R252" s="306"/>
      <c r="S252" s="306"/>
      <c r="T252" s="306"/>
      <c r="U252" s="306"/>
      <c r="V252" s="306"/>
      <c r="W252" s="306"/>
      <c r="X252" s="306"/>
      <c r="Y252" s="306"/>
      <c r="Z252" s="306"/>
      <c r="AA252" s="306"/>
      <c r="AB252" s="306"/>
      <c r="AC252" s="306"/>
      <c r="AD252" s="306"/>
      <c r="AE252"/>
      <c r="AF252"/>
    </row>
    <row r="253" spans="1:32" ht="14.55" customHeight="1">
      <c r="A253" s="306"/>
      <c r="B253" s="306"/>
      <c r="C253" s="306"/>
      <c r="D253" s="306"/>
      <c r="E253" s="306"/>
      <c r="F253" s="306"/>
      <c r="G253" s="306"/>
      <c r="H253" s="306"/>
      <c r="I253" s="306"/>
      <c r="J253" s="306"/>
      <c r="K253" s="306"/>
      <c r="L253" s="306"/>
      <c r="M253" s="306"/>
      <c r="N253" s="306"/>
      <c r="O253" s="306"/>
      <c r="P253" s="306"/>
      <c r="Q253" s="306"/>
      <c r="R253" s="306"/>
      <c r="S253" s="306"/>
      <c r="T253" s="306"/>
      <c r="U253" s="306"/>
      <c r="V253" s="306"/>
      <c r="W253" s="306"/>
      <c r="X253" s="306"/>
      <c r="Y253" s="306"/>
      <c r="Z253" s="306"/>
      <c r="AA253" s="306"/>
      <c r="AB253" s="306"/>
      <c r="AC253" s="306"/>
      <c r="AD253" s="306"/>
      <c r="AE253"/>
      <c r="AF253"/>
    </row>
    <row r="254" spans="1:32" ht="14.55" customHeight="1">
      <c r="A254" s="306"/>
      <c r="B254" s="306"/>
      <c r="C254" s="306"/>
      <c r="D254" s="306"/>
      <c r="E254" s="306"/>
      <c r="F254" s="306"/>
      <c r="G254" s="306"/>
      <c r="H254" s="306"/>
      <c r="I254" s="306"/>
      <c r="J254" s="306"/>
      <c r="K254" s="306"/>
      <c r="L254" s="306"/>
      <c r="M254" s="306"/>
      <c r="N254" s="306" t="str">
        <f ca="1">IF(A254="", "",
 IF(AND(ISNUMBER(A254), A254 &gt;= TODAY(), A254 &lt;= TODAY() + 5), "In Progress",
 IF(AND(ISNUMBER(A254), A254 &lt; TODAY()), "Completed",
 IF(OR(A254="TBD", AND(ISNUMBER(A254), A254 &gt; TODAY() + 5)), "Not Started", ""))))</f>
        <v/>
      </c>
      <c r="O254" s="306"/>
      <c r="P254" s="306"/>
      <c r="Q254" s="306"/>
      <c r="R254" s="306"/>
      <c r="S254" s="306"/>
      <c r="T254" s="306"/>
      <c r="U254" s="306"/>
      <c r="V254" s="306"/>
      <c r="W254" s="306"/>
      <c r="X254" s="306"/>
      <c r="Y254" s="306"/>
      <c r="Z254" s="306"/>
      <c r="AA254" s="306"/>
      <c r="AB254" s="306"/>
      <c r="AC254" s="306" t="str">
        <f ca="1">IF(P254="", "",
 IF(AND(ISNUMBER(P254), P254 &gt;= TODAY(), P254 &lt;= TODAY() + 5), "In Progress",
 IF(AND(ISNUMBER(P254), P254 &lt; TODAY()), "Completed",
 IF(OR(P254="TBD", AND(ISNUMBER(P254), P254 &gt; TODAY() + 5)), "Not Started", ""))))</f>
        <v/>
      </c>
      <c r="AD254" s="306"/>
      <c r="AE254"/>
      <c r="AF254"/>
    </row>
    <row r="255" spans="1:32" ht="14.55" customHeight="1">
      <c r="A255" s="306"/>
      <c r="B255" s="306"/>
      <c r="C255" s="306"/>
      <c r="D255" s="306"/>
      <c r="E255" s="306"/>
      <c r="F255" s="306"/>
      <c r="G255" s="306"/>
      <c r="H255" s="306"/>
      <c r="I255" s="306"/>
      <c r="J255" s="306"/>
      <c r="K255" s="306"/>
      <c r="L255" s="306"/>
      <c r="M255" s="306"/>
      <c r="N255" s="306"/>
      <c r="O255" s="306"/>
      <c r="P255" s="306"/>
      <c r="Q255" s="306"/>
      <c r="R255" s="306"/>
      <c r="S255" s="306"/>
      <c r="T255" s="306"/>
      <c r="U255" s="306"/>
      <c r="V255" s="306"/>
      <c r="W255" s="306"/>
      <c r="X255" s="306"/>
      <c r="Y255" s="306"/>
      <c r="Z255" s="306"/>
      <c r="AA255" s="306"/>
      <c r="AB255" s="306"/>
      <c r="AC255" s="306"/>
      <c r="AD255" s="306"/>
      <c r="AE255"/>
      <c r="AF255"/>
    </row>
    <row r="256" spans="1:32" ht="14.55" customHeight="1">
      <c r="A256" s="306"/>
      <c r="B256" s="306"/>
      <c r="C256" s="306"/>
      <c r="D256" s="306"/>
      <c r="E256" s="306"/>
      <c r="F256" s="306"/>
      <c r="G256" s="306"/>
      <c r="H256" s="306"/>
      <c r="I256" s="306"/>
      <c r="J256" s="306"/>
      <c r="K256" s="306"/>
      <c r="L256" s="306"/>
      <c r="M256" s="306"/>
      <c r="N256" s="306"/>
      <c r="O256" s="306"/>
      <c r="P256" s="306"/>
      <c r="Q256" s="306"/>
      <c r="R256" s="306"/>
      <c r="S256" s="306"/>
      <c r="T256" s="306"/>
      <c r="U256" s="306"/>
      <c r="V256" s="306"/>
      <c r="W256" s="306"/>
      <c r="X256" s="306"/>
      <c r="Y256" s="306"/>
      <c r="Z256" s="306"/>
      <c r="AA256" s="306"/>
      <c r="AB256" s="306"/>
      <c r="AC256" s="306"/>
      <c r="AD256" s="306"/>
      <c r="AE256"/>
      <c r="AF256"/>
    </row>
    <row r="257" spans="1:33" ht="14.55" customHeight="1">
      <c r="A257" s="306"/>
      <c r="B257" s="306"/>
      <c r="C257" s="306"/>
      <c r="D257" s="306"/>
      <c r="E257" s="306"/>
      <c r="F257" s="306"/>
      <c r="G257" s="306"/>
      <c r="H257" s="306"/>
      <c r="I257" s="306"/>
      <c r="J257" s="306"/>
      <c r="K257" s="306"/>
      <c r="L257" s="306"/>
      <c r="M257" s="306"/>
      <c r="N257" s="306" t="str">
        <f ca="1">IF(A257="", "",
 IF(AND(ISNUMBER(A257), A257 &gt;= TODAY(), A257 &lt;= TODAY() + 5), "In Progress",
 IF(AND(ISNUMBER(A257), A257 &lt; TODAY()), "Completed",
 IF(OR(A257="TBD", AND(ISNUMBER(A257), A257 &gt; TODAY() + 5)), "Not Started", ""))))</f>
        <v/>
      </c>
      <c r="O257" s="306"/>
      <c r="P257" s="306"/>
      <c r="Q257" s="306"/>
      <c r="R257" s="306"/>
      <c r="S257" s="306"/>
      <c r="T257" s="306"/>
      <c r="U257" s="306"/>
      <c r="V257" s="306"/>
      <c r="W257" s="306"/>
      <c r="X257" s="306"/>
      <c r="Y257" s="306"/>
      <c r="Z257" s="306"/>
      <c r="AA257" s="306"/>
      <c r="AB257" s="306"/>
      <c r="AC257" s="306" t="str">
        <f ca="1">IF(P257="", "",
 IF(AND(ISNUMBER(P257), P257 &gt;= TODAY(), P257 &lt;= TODAY() + 5), "In Progress",
 IF(AND(ISNUMBER(P257), P257 &lt; TODAY()), "Completed",
 IF(OR(P257="TBD", AND(ISNUMBER(P257), P257 &gt; TODAY() + 5)), "Not Started", ""))))</f>
        <v/>
      </c>
      <c r="AD257" s="306"/>
      <c r="AE257"/>
      <c r="AF257"/>
    </row>
    <row r="258" spans="1:33" ht="14.55" customHeight="1">
      <c r="A258" s="306"/>
      <c r="B258" s="306"/>
      <c r="C258" s="306"/>
      <c r="D258" s="306"/>
      <c r="E258" s="306"/>
      <c r="F258" s="306"/>
      <c r="G258" s="306"/>
      <c r="H258" s="306"/>
      <c r="I258" s="306"/>
      <c r="J258" s="306"/>
      <c r="K258" s="306"/>
      <c r="L258" s="306"/>
      <c r="M258" s="306"/>
      <c r="N258" s="306"/>
      <c r="O258" s="306"/>
      <c r="P258" s="306"/>
      <c r="Q258" s="306"/>
      <c r="R258" s="306"/>
      <c r="S258" s="306"/>
      <c r="T258" s="306"/>
      <c r="U258" s="306"/>
      <c r="V258" s="306"/>
      <c r="W258" s="306"/>
      <c r="X258" s="306"/>
      <c r="Y258" s="306"/>
      <c r="Z258" s="306"/>
      <c r="AA258" s="306"/>
      <c r="AB258" s="306"/>
      <c r="AC258" s="306"/>
      <c r="AD258" s="306"/>
      <c r="AE258"/>
      <c r="AF258"/>
    </row>
    <row r="259" spans="1:33" ht="14.55" customHeight="1">
      <c r="A259" s="306"/>
      <c r="B259" s="306"/>
      <c r="C259" s="306"/>
      <c r="D259" s="306"/>
      <c r="E259" s="306"/>
      <c r="F259" s="306"/>
      <c r="G259" s="306"/>
      <c r="H259" s="306"/>
      <c r="I259" s="306"/>
      <c r="J259" s="306"/>
      <c r="K259" s="306"/>
      <c r="L259" s="306"/>
      <c r="M259" s="306"/>
      <c r="N259" s="306"/>
      <c r="O259" s="306"/>
      <c r="P259" s="306"/>
      <c r="Q259" s="306"/>
      <c r="R259" s="306"/>
      <c r="S259" s="306"/>
      <c r="T259" s="306"/>
      <c r="U259" s="306"/>
      <c r="V259" s="306"/>
      <c r="W259" s="306"/>
      <c r="X259" s="306"/>
      <c r="Y259" s="306"/>
      <c r="Z259" s="306"/>
      <c r="AA259" s="306"/>
      <c r="AB259" s="306"/>
      <c r="AC259" s="306"/>
      <c r="AD259" s="306"/>
      <c r="AE259"/>
      <c r="AF259"/>
    </row>
    <row r="260" spans="1:33" ht="14.55" customHeight="1">
      <c r="A260" s="306"/>
      <c r="B260" s="306"/>
      <c r="C260" s="306"/>
      <c r="D260" s="306"/>
      <c r="E260" s="306"/>
      <c r="F260" s="306"/>
      <c r="G260" s="306"/>
      <c r="H260" s="306"/>
      <c r="I260" s="306"/>
      <c r="J260" s="306"/>
      <c r="K260" s="306"/>
      <c r="L260" s="306"/>
      <c r="M260" s="306"/>
      <c r="N260" s="306" t="str">
        <f ca="1">IF(A260="", "",
 IF(AND(ISNUMBER(A260), A260 &gt;= TODAY(), A260 &lt;= TODAY() + 5), "In Progress",
 IF(AND(ISNUMBER(A260), A260 &lt; TODAY()), "Completed",
 IF(OR(A260="TBD", AND(ISNUMBER(A260), A260 &gt; TODAY() + 5)), "Not Started", ""))))</f>
        <v/>
      </c>
      <c r="O260" s="306"/>
      <c r="P260" s="306"/>
      <c r="Q260" s="306"/>
      <c r="R260" s="306"/>
      <c r="S260" s="306"/>
      <c r="T260" s="306"/>
      <c r="U260" s="306"/>
      <c r="V260" s="306"/>
      <c r="W260" s="306"/>
      <c r="X260" s="306"/>
      <c r="Y260" s="306"/>
      <c r="Z260" s="306"/>
      <c r="AA260" s="306"/>
      <c r="AB260" s="306"/>
      <c r="AC260" s="306" t="str">
        <f ca="1">IF(P260="", "",
 IF(AND(ISNUMBER(P260), P260 &gt;= TODAY(), P260 &lt;= TODAY() + 5), "In Progress",
 IF(AND(ISNUMBER(P260), P260 &lt; TODAY()), "Completed",
 IF(OR(P260="TBD", AND(ISNUMBER(P260), P260 &gt; TODAY() + 5)), "Not Started", ""))))</f>
        <v/>
      </c>
      <c r="AD260" s="306"/>
      <c r="AE260"/>
      <c r="AF260"/>
    </row>
    <row r="261" spans="1:33" ht="14.55" customHeight="1">
      <c r="A261" s="306"/>
      <c r="B261" s="306"/>
      <c r="C261" s="306"/>
      <c r="D261" s="306"/>
      <c r="E261" s="306"/>
      <c r="F261" s="306"/>
      <c r="G261" s="306"/>
      <c r="H261" s="306"/>
      <c r="I261" s="306"/>
      <c r="J261" s="306"/>
      <c r="K261" s="306"/>
      <c r="L261" s="306"/>
      <c r="M261" s="306"/>
      <c r="N261" s="306"/>
      <c r="O261" s="306"/>
      <c r="P261" s="306"/>
      <c r="Q261" s="306"/>
      <c r="R261" s="306"/>
      <c r="S261" s="306"/>
      <c r="T261" s="306"/>
      <c r="U261" s="306"/>
      <c r="V261" s="306"/>
      <c r="W261" s="306"/>
      <c r="X261" s="306"/>
      <c r="Y261" s="306"/>
      <c r="Z261" s="306"/>
      <c r="AA261" s="306"/>
      <c r="AB261" s="306"/>
      <c r="AC261" s="306"/>
      <c r="AD261" s="306"/>
      <c r="AE261"/>
      <c r="AF261"/>
    </row>
    <row r="262" spans="1:33" ht="14.55" customHeight="1">
      <c r="A262" s="306"/>
      <c r="B262" s="306"/>
      <c r="C262" s="306"/>
      <c r="D262" s="306"/>
      <c r="E262" s="306"/>
      <c r="F262" s="306"/>
      <c r="G262" s="306"/>
      <c r="H262" s="306"/>
      <c r="I262" s="306"/>
      <c r="J262" s="306"/>
      <c r="K262" s="306"/>
      <c r="L262" s="306"/>
      <c r="M262" s="306"/>
      <c r="N262" s="306"/>
      <c r="O262" s="306"/>
      <c r="P262" s="306"/>
      <c r="Q262" s="306"/>
      <c r="R262" s="306"/>
      <c r="S262" s="306"/>
      <c r="T262" s="306"/>
      <c r="U262" s="306"/>
      <c r="V262" s="306"/>
      <c r="W262" s="306"/>
      <c r="X262" s="306"/>
      <c r="Y262" s="306"/>
      <c r="Z262" s="306"/>
      <c r="AA262" s="306"/>
      <c r="AB262" s="306"/>
      <c r="AC262" s="306"/>
      <c r="AD262" s="306"/>
      <c r="AE262"/>
      <c r="AF262"/>
    </row>
    <row r="263" spans="1:33" ht="14.55" customHeight="1">
      <c r="A263" s="306"/>
      <c r="B263" s="306"/>
      <c r="C263" s="306"/>
      <c r="D263" s="306"/>
      <c r="E263" s="306"/>
      <c r="F263" s="306"/>
      <c r="G263" s="306"/>
      <c r="H263" s="306"/>
      <c r="I263" s="306"/>
      <c r="J263" s="306"/>
      <c r="K263" s="306"/>
      <c r="L263" s="306"/>
      <c r="M263" s="306"/>
      <c r="N263" s="306" t="str">
        <f ca="1">IF(A263="", "",
 IF(AND(ISNUMBER(A263), A263 &gt;= TODAY(), A263 &lt;= TODAY() + 5), "In Progress",
 IF(AND(ISNUMBER(A263), A263 &lt; TODAY()), "Completed",
 IF(OR(A263="TBD", AND(ISNUMBER(A263), A263 &gt; TODAY() + 5)), "Not Started", ""))))</f>
        <v/>
      </c>
      <c r="O263" s="306"/>
      <c r="P263" s="306"/>
      <c r="Q263" s="306"/>
      <c r="R263" s="306"/>
      <c r="S263" s="306"/>
      <c r="T263" s="306"/>
      <c r="U263" s="306"/>
      <c r="V263" s="306"/>
      <c r="W263" s="306"/>
      <c r="X263" s="306"/>
      <c r="Y263" s="306"/>
      <c r="Z263" s="306"/>
      <c r="AA263" s="306"/>
      <c r="AB263" s="306"/>
      <c r="AC263" s="306" t="str">
        <f ca="1">IF(P263="", "",
 IF(AND(ISNUMBER(P263), P263 &gt;= TODAY(), P263 &lt;= TODAY() + 5), "In Progress",
 IF(AND(ISNUMBER(P263), P263 &lt; TODAY()), "Completed",
 IF(OR(P263="TBD", AND(ISNUMBER(P263), P263 &gt; TODAY() + 5)), "Not Started", ""))))</f>
        <v/>
      </c>
      <c r="AD263" s="306"/>
      <c r="AE263"/>
      <c r="AF263"/>
    </row>
    <row r="264" spans="1:33" ht="14.55" customHeight="1">
      <c r="A264" s="306"/>
      <c r="B264" s="306"/>
      <c r="C264" s="306"/>
      <c r="D264" s="306"/>
      <c r="E264" s="306"/>
      <c r="F264" s="306"/>
      <c r="G264" s="306"/>
      <c r="H264" s="306"/>
      <c r="I264" s="306"/>
      <c r="J264" s="306"/>
      <c r="K264" s="306"/>
      <c r="L264" s="306"/>
      <c r="M264" s="306"/>
      <c r="N264" s="306"/>
      <c r="O264" s="306"/>
      <c r="P264" s="306"/>
      <c r="Q264" s="306"/>
      <c r="R264" s="306"/>
      <c r="S264" s="306"/>
      <c r="T264" s="306"/>
      <c r="U264" s="306"/>
      <c r="V264" s="306"/>
      <c r="W264" s="306"/>
      <c r="X264" s="306"/>
      <c r="Y264" s="306"/>
      <c r="Z264" s="306"/>
      <c r="AA264" s="306"/>
      <c r="AB264" s="306"/>
      <c r="AC264" s="306"/>
      <c r="AD264" s="306"/>
      <c r="AE264"/>
      <c r="AF264"/>
    </row>
    <row r="265" spans="1:33" ht="14.55" customHeight="1">
      <c r="A265" s="306"/>
      <c r="B265" s="306"/>
      <c r="C265" s="306"/>
      <c r="D265" s="306"/>
      <c r="E265" s="306"/>
      <c r="F265" s="306"/>
      <c r="G265" s="306"/>
      <c r="H265" s="306"/>
      <c r="I265" s="306"/>
      <c r="J265" s="306"/>
      <c r="K265" s="306"/>
      <c r="L265" s="306"/>
      <c r="M265" s="306"/>
      <c r="N265" s="306"/>
      <c r="O265" s="306"/>
      <c r="P265" s="306"/>
      <c r="Q265" s="306"/>
      <c r="R265" s="306"/>
      <c r="S265" s="306"/>
      <c r="T265" s="306"/>
      <c r="U265" s="306"/>
      <c r="V265" s="306"/>
      <c r="W265" s="306"/>
      <c r="X265" s="306"/>
      <c r="Y265" s="306"/>
      <c r="Z265" s="306"/>
      <c r="AA265" s="306"/>
      <c r="AB265" s="306"/>
      <c r="AC265" s="306"/>
      <c r="AD265" s="306"/>
      <c r="AE265"/>
      <c r="AF265"/>
    </row>
    <row r="266" spans="1:33" ht="14.55" customHeight="1">
      <c r="A266" s="306"/>
      <c r="B266" s="306"/>
      <c r="C266" s="306"/>
      <c r="D266" s="306"/>
      <c r="E266" s="306"/>
      <c r="F266" s="306"/>
      <c r="G266" s="306"/>
      <c r="H266" s="306"/>
      <c r="I266" s="306"/>
      <c r="J266" s="306"/>
      <c r="K266" s="306"/>
      <c r="L266" s="306"/>
      <c r="M266" s="306"/>
      <c r="N266" s="306" t="str">
        <f ca="1">IF(A266="", "",
 IF(AND(ISNUMBER(A266), A266 &gt;= TODAY(), A266 &lt;= TODAY() + 5), "In Progress",
 IF(AND(ISNUMBER(A266), A266 &lt; TODAY()), "Completed",
 IF(OR(A266="TBD", AND(ISNUMBER(A266), A266 &gt; TODAY() + 5)), "Not Started", ""))))</f>
        <v/>
      </c>
      <c r="O266" s="306"/>
      <c r="P266" s="306"/>
      <c r="Q266" s="306"/>
      <c r="R266" s="306"/>
      <c r="S266" s="306"/>
      <c r="T266" s="306"/>
      <c r="U266" s="306"/>
      <c r="V266" s="306"/>
      <c r="W266" s="306"/>
      <c r="X266" s="306"/>
      <c r="Y266" s="306"/>
      <c r="Z266" s="306"/>
      <c r="AA266" s="306"/>
      <c r="AB266" s="306"/>
      <c r="AC266" s="306" t="str">
        <f ca="1">IF(P266="", "",
 IF(AND(ISNUMBER(P266), P266 &gt;= TODAY(), P266 &lt;= TODAY() + 5), "In Progress",
 IF(AND(ISNUMBER(P266), P266 &lt; TODAY()), "Completed",
 IF(OR(P266="TBD", AND(ISNUMBER(P266), P266 &gt; TODAY() + 5)), "Not Started", ""))))</f>
        <v/>
      </c>
      <c r="AD266" s="306"/>
      <c r="AE266"/>
      <c r="AF266"/>
    </row>
    <row r="267" spans="1:33" ht="14.55" customHeight="1">
      <c r="A267" s="306"/>
      <c r="B267" s="306"/>
      <c r="C267" s="306"/>
      <c r="D267" s="306"/>
      <c r="E267" s="306"/>
      <c r="F267" s="306"/>
      <c r="G267" s="306"/>
      <c r="H267" s="306"/>
      <c r="I267" s="306"/>
      <c r="J267" s="306"/>
      <c r="K267" s="306"/>
      <c r="L267" s="306"/>
      <c r="M267" s="306"/>
      <c r="N267" s="306"/>
      <c r="O267" s="306"/>
      <c r="P267" s="306"/>
      <c r="Q267" s="306"/>
      <c r="R267" s="306"/>
      <c r="S267" s="306"/>
      <c r="T267" s="306"/>
      <c r="U267" s="306"/>
      <c r="V267" s="306"/>
      <c r="W267" s="306"/>
      <c r="X267" s="306"/>
      <c r="Y267" s="306"/>
      <c r="Z267" s="306"/>
      <c r="AA267" s="306"/>
      <c r="AB267" s="306"/>
      <c r="AC267" s="306"/>
      <c r="AD267" s="306"/>
      <c r="AE267"/>
      <c r="AF267"/>
    </row>
    <row r="268" spans="1:33" ht="14.55" customHeight="1">
      <c r="A268" s="306"/>
      <c r="B268" s="306"/>
      <c r="C268" s="306"/>
      <c r="D268" s="306"/>
      <c r="E268" s="306"/>
      <c r="F268" s="306"/>
      <c r="G268" s="306"/>
      <c r="H268" s="306"/>
      <c r="I268" s="306"/>
      <c r="J268" s="306"/>
      <c r="K268" s="306"/>
      <c r="L268" s="306"/>
      <c r="M268" s="306"/>
      <c r="N268" s="306"/>
      <c r="O268" s="306"/>
      <c r="P268" s="306"/>
      <c r="Q268" s="306"/>
      <c r="R268" s="306"/>
      <c r="S268" s="306"/>
      <c r="T268" s="306"/>
      <c r="U268" s="306"/>
      <c r="V268" s="306"/>
      <c r="W268" s="306"/>
      <c r="X268" s="306"/>
      <c r="Y268" s="306"/>
      <c r="Z268" s="306"/>
      <c r="AA268" s="306"/>
      <c r="AB268" s="306"/>
      <c r="AC268" s="306"/>
      <c r="AD268" s="306"/>
      <c r="AE268"/>
      <c r="AF268"/>
      <c r="AG268"/>
    </row>
    <row r="269" spans="1:33" ht="14.55" customHeight="1">
      <c r="A269" s="306"/>
      <c r="B269" s="306"/>
      <c r="C269" s="306"/>
      <c r="D269" s="306"/>
      <c r="E269" s="306"/>
      <c r="F269" s="306"/>
      <c r="G269" s="306"/>
      <c r="H269" s="306"/>
      <c r="I269" s="306"/>
      <c r="J269" s="306"/>
      <c r="K269" s="306"/>
      <c r="L269" s="306"/>
      <c r="M269" s="306"/>
      <c r="N269" s="306" t="str">
        <f ca="1">IF(A269="", "",
 IF(AND(ISNUMBER(A269), A269 &gt;= TODAY(), A269 &lt;= TODAY() + 5), "In Progress",
 IF(AND(ISNUMBER(A269), A269 &lt; TODAY()), "Completed",
 IF(OR(A269="TBD", AND(ISNUMBER(A269), A269 &gt; TODAY() + 5)), "Not Started", ""))))</f>
        <v/>
      </c>
      <c r="O269" s="306"/>
      <c r="P269" s="306"/>
      <c r="Q269" s="306"/>
      <c r="R269" s="306"/>
      <c r="S269" s="306"/>
      <c r="T269" s="306"/>
      <c r="U269" s="306"/>
      <c r="V269" s="306"/>
      <c r="W269" s="306"/>
      <c r="X269" s="306"/>
      <c r="Y269" s="306"/>
      <c r="Z269" s="306"/>
      <c r="AA269" s="306"/>
      <c r="AB269" s="306"/>
      <c r="AC269" s="306" t="str">
        <f ca="1">IF(P269="", "",
 IF(AND(ISNUMBER(P269), P269 &gt;= TODAY(), P269 &lt;= TODAY() + 5), "In Progress",
 IF(AND(ISNUMBER(P269), P269 &lt; TODAY()), "Completed",
 IF(OR(P269="TBD", AND(ISNUMBER(P269), P269 &gt; TODAY() + 5)), "Not Started", ""))))</f>
        <v/>
      </c>
      <c r="AD269" s="306"/>
      <c r="AE269"/>
      <c r="AF269"/>
      <c r="AG269"/>
    </row>
    <row r="270" spans="1:33" ht="14.55" customHeight="1">
      <c r="A270" s="306"/>
      <c r="B270" s="306"/>
      <c r="C270" s="306"/>
      <c r="D270" s="306"/>
      <c r="E270" s="306"/>
      <c r="F270" s="306"/>
      <c r="G270" s="306"/>
      <c r="H270" s="306"/>
      <c r="I270" s="306"/>
      <c r="J270" s="306"/>
      <c r="K270" s="306"/>
      <c r="L270" s="306"/>
      <c r="M270" s="306"/>
      <c r="N270" s="306"/>
      <c r="O270" s="306"/>
      <c r="P270" s="306"/>
      <c r="Q270" s="306"/>
      <c r="R270" s="306"/>
      <c r="S270" s="306"/>
      <c r="T270" s="306"/>
      <c r="U270" s="306"/>
      <c r="V270" s="306"/>
      <c r="W270" s="306"/>
      <c r="X270" s="306"/>
      <c r="Y270" s="306"/>
      <c r="Z270" s="306"/>
      <c r="AA270" s="306"/>
      <c r="AB270" s="306"/>
      <c r="AC270" s="306"/>
      <c r="AD270" s="306"/>
      <c r="AE270"/>
      <c r="AF270"/>
      <c r="AG270"/>
    </row>
    <row r="271" spans="1:33" ht="14.55" customHeight="1">
      <c r="A271" s="306"/>
      <c r="B271" s="306"/>
      <c r="C271" s="306"/>
      <c r="D271" s="306"/>
      <c r="E271" s="306"/>
      <c r="F271" s="306"/>
      <c r="G271" s="306"/>
      <c r="H271" s="306"/>
      <c r="I271" s="306"/>
      <c r="J271" s="306"/>
      <c r="K271" s="306"/>
      <c r="L271" s="306"/>
      <c r="M271" s="306"/>
      <c r="N271" s="306"/>
      <c r="O271" s="306"/>
      <c r="P271" s="306"/>
      <c r="Q271" s="306"/>
      <c r="R271" s="306"/>
      <c r="S271" s="306"/>
      <c r="T271" s="306"/>
      <c r="U271" s="306"/>
      <c r="V271" s="306"/>
      <c r="W271" s="306"/>
      <c r="X271" s="306"/>
      <c r="Y271" s="306"/>
      <c r="Z271" s="306"/>
      <c r="AA271" s="306"/>
      <c r="AB271" s="306"/>
      <c r="AC271" s="306"/>
      <c r="AD271" s="306"/>
      <c r="AE271"/>
      <c r="AF271"/>
      <c r="AG271"/>
    </row>
    <row r="272" spans="1:33" ht="14.55" customHeight="1">
      <c r="A272" s="306"/>
      <c r="B272" s="306"/>
      <c r="C272" s="306"/>
      <c r="D272" s="306"/>
      <c r="E272" s="306"/>
      <c r="F272" s="306"/>
      <c r="G272" s="306"/>
      <c r="H272" s="306"/>
      <c r="I272" s="306"/>
      <c r="J272" s="306"/>
      <c r="K272" s="306"/>
      <c r="L272" s="306"/>
      <c r="M272" s="306"/>
      <c r="N272" s="306" t="str">
        <f ca="1">IF(A272="", "",
 IF(AND(ISNUMBER(A272), A272 &gt;= TODAY(), A272 &lt;= TODAY() + 5), "In Progress",
 IF(AND(ISNUMBER(A272), A272 &lt; TODAY()), "Completed",
 IF(OR(A272="TBD", AND(ISNUMBER(A272), A272 &gt; TODAY() + 5)), "Not Started", ""))))</f>
        <v/>
      </c>
      <c r="O272" s="306"/>
      <c r="P272" s="306"/>
      <c r="Q272" s="306"/>
      <c r="R272" s="306"/>
      <c r="S272" s="306"/>
      <c r="T272" s="306"/>
      <c r="U272" s="306"/>
      <c r="V272" s="306"/>
      <c r="W272" s="306"/>
      <c r="X272" s="306"/>
      <c r="Y272" s="306"/>
      <c r="Z272" s="306"/>
      <c r="AA272" s="306"/>
      <c r="AB272" s="306"/>
      <c r="AC272" s="306" t="str">
        <f ca="1">IF(P272="", "",
 IF(AND(ISNUMBER(P272), P272 &gt;= TODAY(), P272 &lt;= TODAY() + 5), "In Progress",
 IF(AND(ISNUMBER(P272), P272 &lt; TODAY()), "Completed",
 IF(OR(P272="TBD", AND(ISNUMBER(P272), P272 &gt; TODAY() + 5)), "Not Started", ""))))</f>
        <v/>
      </c>
      <c r="AD272" s="306"/>
      <c r="AE272"/>
      <c r="AF272"/>
      <c r="AG272"/>
    </row>
    <row r="273" spans="1:33" ht="14.55" customHeight="1">
      <c r="A273" s="306"/>
      <c r="B273" s="306"/>
      <c r="C273" s="306"/>
      <c r="D273" s="306"/>
      <c r="E273" s="306"/>
      <c r="F273" s="306"/>
      <c r="G273" s="306"/>
      <c r="H273" s="306"/>
      <c r="I273" s="306"/>
      <c r="J273" s="306"/>
      <c r="K273" s="306"/>
      <c r="L273" s="306"/>
      <c r="M273" s="306"/>
      <c r="N273" s="306"/>
      <c r="O273" s="306"/>
      <c r="P273" s="306"/>
      <c r="Q273" s="306"/>
      <c r="R273" s="306"/>
      <c r="S273" s="306"/>
      <c r="T273" s="306"/>
      <c r="U273" s="306"/>
      <c r="V273" s="306"/>
      <c r="W273" s="306"/>
      <c r="X273" s="306"/>
      <c r="Y273" s="306"/>
      <c r="Z273" s="306"/>
      <c r="AA273" s="306"/>
      <c r="AB273" s="306"/>
      <c r="AC273" s="306"/>
      <c r="AD273" s="306"/>
      <c r="AE273"/>
      <c r="AF273"/>
      <c r="AG273"/>
    </row>
    <row r="274" spans="1:33" ht="14.55" customHeight="1">
      <c r="A274" s="306"/>
      <c r="B274" s="306"/>
      <c r="C274" s="306"/>
      <c r="D274" s="306"/>
      <c r="E274" s="306"/>
      <c r="F274" s="306"/>
      <c r="G274" s="306"/>
      <c r="H274" s="306"/>
      <c r="I274" s="306"/>
      <c r="J274" s="306"/>
      <c r="K274" s="306"/>
      <c r="L274" s="306"/>
      <c r="M274" s="306"/>
      <c r="N274" s="306"/>
      <c r="O274" s="306"/>
      <c r="P274" s="306"/>
      <c r="Q274" s="306"/>
      <c r="R274" s="306"/>
      <c r="S274" s="306"/>
      <c r="T274" s="306"/>
      <c r="U274" s="306"/>
      <c r="V274" s="306"/>
      <c r="W274" s="306"/>
      <c r="X274" s="306"/>
      <c r="Y274" s="306"/>
      <c r="Z274" s="306"/>
      <c r="AA274" s="306"/>
      <c r="AB274" s="306"/>
      <c r="AC274" s="306"/>
      <c r="AD274" s="306"/>
      <c r="AE274"/>
      <c r="AF274"/>
      <c r="AG274"/>
    </row>
    <row r="275" spans="1:33" ht="14.55" customHeight="1">
      <c r="A275" s="306"/>
      <c r="B275" s="306"/>
      <c r="C275" s="306"/>
      <c r="D275" s="306"/>
      <c r="E275" s="306"/>
      <c r="F275" s="306"/>
      <c r="G275" s="306"/>
      <c r="H275" s="306"/>
      <c r="I275" s="306"/>
      <c r="J275" s="306"/>
      <c r="K275" s="306"/>
      <c r="L275" s="306"/>
      <c r="M275" s="306"/>
      <c r="N275" s="306" t="str">
        <f ca="1">IF(A275="", "",
 IF(AND(ISNUMBER(A275), A275 &gt;= TODAY(), A275 &lt;= TODAY() + 5), "In Progress",
 IF(AND(ISNUMBER(A275), A275 &lt; TODAY()), "Completed",
 IF(OR(A275="TBD", AND(ISNUMBER(A275), A275 &gt; TODAY() + 5)), "Not Started", ""))))</f>
        <v/>
      </c>
      <c r="O275" s="306"/>
      <c r="P275" s="306"/>
      <c r="Q275" s="306"/>
      <c r="R275" s="306"/>
      <c r="S275" s="306"/>
      <c r="T275" s="306"/>
      <c r="U275" s="306"/>
      <c r="V275" s="306"/>
      <c r="W275" s="306"/>
      <c r="X275" s="306"/>
      <c r="Y275" s="306"/>
      <c r="Z275" s="306"/>
      <c r="AA275" s="306"/>
      <c r="AB275" s="306"/>
      <c r="AC275" s="306" t="str">
        <f ca="1">IF(P275="", "",
 IF(AND(ISNUMBER(P275), P275 &gt;= TODAY(), P275 &lt;= TODAY() + 5), "In Progress",
 IF(AND(ISNUMBER(P275), P275 &lt; TODAY()), "Completed",
 IF(OR(P275="TBD", AND(ISNUMBER(P275), P275 &gt; TODAY() + 5)), "Not Started", ""))))</f>
        <v/>
      </c>
      <c r="AD275" s="306"/>
      <c r="AE275"/>
      <c r="AF275"/>
      <c r="AG275"/>
    </row>
    <row r="276" spans="1:33" ht="14.55" customHeight="1">
      <c r="A276" s="306"/>
      <c r="B276" s="306"/>
      <c r="C276" s="306"/>
      <c r="D276" s="306"/>
      <c r="E276" s="306"/>
      <c r="F276" s="306"/>
      <c r="G276" s="306"/>
      <c r="H276" s="306"/>
      <c r="I276" s="306"/>
      <c r="J276" s="306"/>
      <c r="K276" s="306"/>
      <c r="L276" s="306"/>
      <c r="M276" s="306"/>
      <c r="N276" s="306"/>
      <c r="O276" s="306"/>
      <c r="P276" s="306"/>
      <c r="Q276" s="306"/>
      <c r="R276" s="306"/>
      <c r="S276" s="306"/>
      <c r="T276" s="306"/>
      <c r="U276" s="306"/>
      <c r="V276" s="306"/>
      <c r="W276" s="306"/>
      <c r="X276" s="306"/>
      <c r="Y276" s="306"/>
      <c r="Z276" s="306"/>
      <c r="AA276" s="306"/>
      <c r="AB276" s="306"/>
      <c r="AC276" s="306"/>
      <c r="AD276" s="306"/>
      <c r="AE276"/>
      <c r="AF276"/>
      <c r="AG276"/>
    </row>
    <row r="277" spans="1:33" ht="14.55" customHeight="1">
      <c r="A277" s="306"/>
      <c r="B277" s="306"/>
      <c r="C277" s="306"/>
      <c r="D277" s="306"/>
      <c r="E277" s="306"/>
      <c r="F277" s="306"/>
      <c r="G277" s="306"/>
      <c r="H277" s="306"/>
      <c r="I277" s="306"/>
      <c r="J277" s="306"/>
      <c r="K277" s="306"/>
      <c r="L277" s="306"/>
      <c r="M277" s="306"/>
      <c r="N277" s="306"/>
      <c r="O277" s="306"/>
      <c r="P277" s="306"/>
      <c r="Q277" s="306"/>
      <c r="R277" s="306"/>
      <c r="S277" s="306"/>
      <c r="T277" s="306"/>
      <c r="U277" s="306"/>
      <c r="V277" s="306"/>
      <c r="W277" s="306"/>
      <c r="X277" s="306"/>
      <c r="Y277" s="306"/>
      <c r="Z277" s="306"/>
      <c r="AA277" s="306"/>
      <c r="AB277" s="306"/>
      <c r="AC277" s="306"/>
      <c r="AD277" s="306"/>
      <c r="AE277"/>
      <c r="AF277"/>
      <c r="AG277"/>
    </row>
    <row r="278" spans="1:33" ht="14.55" customHeight="1">
      <c r="A278" s="306"/>
      <c r="B278" s="306"/>
      <c r="C278" s="306"/>
      <c r="D278" s="306"/>
      <c r="E278" s="306"/>
      <c r="F278" s="306"/>
      <c r="G278" s="306"/>
      <c r="H278" s="306"/>
      <c r="I278" s="306"/>
      <c r="J278" s="306"/>
      <c r="K278" s="306"/>
      <c r="L278" s="306"/>
      <c r="M278" s="306"/>
      <c r="N278" s="306" t="str">
        <f ca="1">IF(A278="", "",
 IF(AND(ISNUMBER(A278), A278 &gt;= TODAY(), A278 &lt;= TODAY() + 5), "In Progress",
 IF(AND(ISNUMBER(A278), A278 &lt; TODAY()), "Completed",
 IF(OR(A278="TBD", AND(ISNUMBER(A278), A278 &gt; TODAY() + 5)), "Not Started", ""))))</f>
        <v/>
      </c>
      <c r="O278" s="306"/>
      <c r="P278" s="306"/>
      <c r="Q278" s="306"/>
      <c r="R278" s="306"/>
      <c r="S278" s="306"/>
      <c r="T278" s="306"/>
      <c r="U278" s="306"/>
      <c r="V278" s="306"/>
      <c r="W278" s="306"/>
      <c r="X278" s="306"/>
      <c r="Y278" s="306"/>
      <c r="Z278" s="306"/>
      <c r="AA278" s="306"/>
      <c r="AB278" s="306"/>
      <c r="AC278" s="306" t="str">
        <f ca="1">IF(P278="", "",
 IF(AND(ISNUMBER(P278), P278 &gt;= TODAY(), P278 &lt;= TODAY() + 5), "In Progress",
 IF(AND(ISNUMBER(P278), P278 &lt; TODAY()), "Completed",
 IF(OR(P278="TBD", AND(ISNUMBER(P278), P278 &gt; TODAY() + 5)), "Not Started", ""))))</f>
        <v/>
      </c>
      <c r="AD278" s="306"/>
      <c r="AE278"/>
      <c r="AF278"/>
      <c r="AG278"/>
    </row>
    <row r="279" spans="1:33" ht="14.55" customHeight="1">
      <c r="A279" s="306"/>
      <c r="B279" s="306"/>
      <c r="C279" s="306"/>
      <c r="D279" s="306"/>
      <c r="E279" s="306"/>
      <c r="F279" s="306"/>
      <c r="G279" s="306"/>
      <c r="H279" s="306"/>
      <c r="I279" s="306"/>
      <c r="J279" s="306"/>
      <c r="K279" s="306"/>
      <c r="L279" s="306"/>
      <c r="M279" s="306"/>
      <c r="N279" s="306"/>
      <c r="O279" s="306"/>
      <c r="P279" s="306"/>
      <c r="Q279" s="306"/>
      <c r="R279" s="306"/>
      <c r="S279" s="306"/>
      <c r="T279" s="306"/>
      <c r="U279" s="306"/>
      <c r="V279" s="306"/>
      <c r="W279" s="306"/>
      <c r="X279" s="306"/>
      <c r="Y279" s="306"/>
      <c r="Z279" s="306"/>
      <c r="AA279" s="306"/>
      <c r="AB279" s="306"/>
      <c r="AC279" s="306"/>
      <c r="AD279" s="306"/>
      <c r="AE279"/>
      <c r="AF279"/>
      <c r="AG279"/>
    </row>
    <row r="280" spans="1:33" ht="14.55" customHeight="1">
      <c r="A280" s="306"/>
      <c r="B280" s="306"/>
      <c r="C280" s="306"/>
      <c r="D280" s="306"/>
      <c r="E280" s="306"/>
      <c r="F280" s="306"/>
      <c r="G280" s="306"/>
      <c r="H280" s="306"/>
      <c r="I280" s="306"/>
      <c r="J280" s="306"/>
      <c r="K280" s="306"/>
      <c r="L280" s="306"/>
      <c r="M280" s="306"/>
      <c r="N280" s="306"/>
      <c r="O280" s="306"/>
      <c r="P280" s="306"/>
      <c r="Q280" s="306"/>
      <c r="R280" s="306"/>
      <c r="S280" s="306"/>
      <c r="T280" s="306"/>
      <c r="U280" s="306"/>
      <c r="V280" s="306"/>
      <c r="W280" s="306"/>
      <c r="X280" s="306"/>
      <c r="Y280" s="306"/>
      <c r="Z280" s="306"/>
      <c r="AA280" s="306"/>
      <c r="AB280" s="306"/>
      <c r="AC280" s="306"/>
      <c r="AD280" s="306"/>
      <c r="AE280"/>
      <c r="AF280"/>
      <c r="AG280"/>
    </row>
    <row r="281" spans="1:33" ht="14.55" customHeight="1">
      <c r="A281" s="306"/>
      <c r="B281" s="306"/>
      <c r="C281" s="306"/>
      <c r="D281" s="306"/>
      <c r="E281" s="306"/>
      <c r="F281" s="306"/>
      <c r="G281" s="306"/>
      <c r="H281" s="306"/>
      <c r="I281" s="306"/>
      <c r="J281" s="306"/>
      <c r="K281" s="306"/>
      <c r="L281" s="306"/>
      <c r="M281" s="306"/>
      <c r="N281" s="306" t="str">
        <f ca="1">IF(A281="", "",
 IF(AND(ISNUMBER(A281), A281 &gt;= TODAY(), A281 &lt;= TODAY() + 5), "In Progress",
 IF(AND(ISNUMBER(A281), A281 &lt; TODAY()), "Completed",
 IF(OR(A281="TBD", AND(ISNUMBER(A281), A281 &gt; TODAY() + 5)), "Not Started", ""))))</f>
        <v/>
      </c>
      <c r="O281" s="306"/>
      <c r="P281" s="306"/>
      <c r="Q281" s="306"/>
      <c r="R281" s="306"/>
      <c r="S281" s="306"/>
      <c r="T281" s="306"/>
      <c r="U281" s="306"/>
      <c r="V281" s="306"/>
      <c r="W281" s="306"/>
      <c r="X281" s="306"/>
      <c r="Y281" s="306"/>
      <c r="Z281" s="306"/>
      <c r="AA281" s="306"/>
      <c r="AB281" s="306"/>
      <c r="AC281" s="306" t="str">
        <f ca="1">IF(P281="", "",
 IF(AND(ISNUMBER(P281), P281 &gt;= TODAY(), P281 &lt;= TODAY() + 5), "In Progress",
 IF(AND(ISNUMBER(P281), P281 &lt; TODAY()), "Completed",
 IF(OR(P281="TBD", AND(ISNUMBER(P281), P281 &gt; TODAY() + 5)), "Not Started", ""))))</f>
        <v/>
      </c>
      <c r="AD281" s="306"/>
      <c r="AE281"/>
      <c r="AF281"/>
      <c r="AG281"/>
    </row>
    <row r="282" spans="1:33" ht="14.55" customHeight="1">
      <c r="A282" s="306"/>
      <c r="B282" s="306"/>
      <c r="C282" s="306"/>
      <c r="D282" s="306"/>
      <c r="E282" s="306"/>
      <c r="F282" s="306"/>
      <c r="G282" s="306"/>
      <c r="H282" s="306"/>
      <c r="I282" s="306"/>
      <c r="J282" s="306"/>
      <c r="K282" s="306"/>
      <c r="L282" s="306"/>
      <c r="M282" s="306"/>
      <c r="N282" s="306"/>
      <c r="O282" s="306"/>
      <c r="P282" s="306"/>
      <c r="Q282" s="306"/>
      <c r="R282" s="306"/>
      <c r="S282" s="306"/>
      <c r="T282" s="306"/>
      <c r="U282" s="306"/>
      <c r="V282" s="306"/>
      <c r="W282" s="306"/>
      <c r="X282" s="306"/>
      <c r="Y282" s="306"/>
      <c r="Z282" s="306"/>
      <c r="AA282" s="306"/>
      <c r="AB282" s="306"/>
      <c r="AC282" s="306"/>
      <c r="AD282" s="306"/>
      <c r="AE282"/>
      <c r="AF282"/>
      <c r="AG282"/>
    </row>
    <row r="283" spans="1:33" ht="14.55" customHeight="1">
      <c r="A283" s="306"/>
      <c r="B283" s="306"/>
      <c r="C283" s="306"/>
      <c r="D283" s="306"/>
      <c r="E283" s="306"/>
      <c r="F283" s="306"/>
      <c r="G283" s="306"/>
      <c r="H283" s="306"/>
      <c r="I283" s="306"/>
      <c r="J283" s="306"/>
      <c r="K283" s="306"/>
      <c r="L283" s="306"/>
      <c r="M283" s="306"/>
      <c r="N283" s="306"/>
      <c r="O283" s="306"/>
      <c r="P283" s="306"/>
      <c r="Q283" s="306"/>
      <c r="R283" s="306"/>
      <c r="S283" s="306"/>
      <c r="T283" s="306"/>
      <c r="U283" s="306"/>
      <c r="V283" s="306"/>
      <c r="W283" s="306"/>
      <c r="X283" s="306"/>
      <c r="Y283" s="306"/>
      <c r="Z283" s="306"/>
      <c r="AA283" s="306"/>
      <c r="AB283" s="306"/>
      <c r="AC283" s="306"/>
      <c r="AD283" s="306"/>
      <c r="AE283"/>
      <c r="AF283"/>
      <c r="AG283"/>
    </row>
    <row r="284" spans="1:33" ht="14.55" customHeight="1">
      <c r="A284" s="306"/>
      <c r="B284" s="306"/>
      <c r="C284" s="306"/>
      <c r="D284" s="306"/>
      <c r="E284" s="306"/>
      <c r="F284" s="306"/>
      <c r="G284" s="306"/>
      <c r="H284" s="306"/>
      <c r="I284" s="306"/>
      <c r="J284" s="306"/>
      <c r="K284" s="306"/>
      <c r="L284" s="306"/>
      <c r="M284" s="306"/>
      <c r="N284" s="306" t="str">
        <f ca="1">IF(A284="", "",
 IF(AND(ISNUMBER(A284), A284 &gt;= TODAY(), A284 &lt;= TODAY() + 5), "In Progress",
 IF(AND(ISNUMBER(A284), A284 &lt; TODAY()), "Completed",
 IF(OR(A284="TBD", AND(ISNUMBER(A284), A284 &gt; TODAY() + 5)), "Not Started", ""))))</f>
        <v/>
      </c>
      <c r="O284" s="306"/>
      <c r="P284" s="306"/>
      <c r="Q284" s="306"/>
      <c r="R284" s="306"/>
      <c r="S284" s="306"/>
      <c r="T284" s="306"/>
      <c r="U284" s="306"/>
      <c r="V284" s="306"/>
      <c r="W284" s="306"/>
      <c r="X284" s="306"/>
      <c r="Y284" s="306"/>
      <c r="Z284" s="306"/>
      <c r="AA284" s="306"/>
      <c r="AB284" s="306"/>
      <c r="AC284" s="306" t="str">
        <f ca="1">IF(P284="", "",
 IF(AND(ISNUMBER(P284), P284 &gt;= TODAY(), P284 &lt;= TODAY() + 5), "In Progress",
 IF(AND(ISNUMBER(P284), P284 &lt; TODAY()), "Completed",
 IF(OR(P284="TBD", AND(ISNUMBER(P284), P284 &gt; TODAY() + 5)), "Not Started", ""))))</f>
        <v/>
      </c>
      <c r="AD284" s="306"/>
      <c r="AE284"/>
      <c r="AF284"/>
      <c r="AG284"/>
    </row>
    <row r="285" spans="1:33" ht="14.55" customHeight="1">
      <c r="A285" s="306"/>
      <c r="B285" s="306"/>
      <c r="C285" s="306"/>
      <c r="D285" s="306"/>
      <c r="E285" s="306"/>
      <c r="F285" s="306"/>
      <c r="G285" s="306"/>
      <c r="H285" s="306"/>
      <c r="I285" s="306"/>
      <c r="J285" s="306"/>
      <c r="K285" s="306"/>
      <c r="L285" s="306"/>
      <c r="M285" s="306"/>
      <c r="N285" s="306"/>
      <c r="O285" s="306"/>
      <c r="P285" s="306"/>
      <c r="Q285" s="306"/>
      <c r="R285" s="306"/>
      <c r="S285" s="306"/>
      <c r="T285" s="306"/>
      <c r="U285" s="306"/>
      <c r="V285" s="306"/>
      <c r="W285" s="306"/>
      <c r="X285" s="306"/>
      <c r="Y285" s="306"/>
      <c r="Z285" s="306"/>
      <c r="AA285" s="306"/>
      <c r="AB285" s="306"/>
      <c r="AC285" s="306"/>
      <c r="AD285" s="306"/>
      <c r="AE285"/>
      <c r="AF285"/>
      <c r="AG285"/>
    </row>
    <row r="286" spans="1:33" ht="14.55" customHeight="1">
      <c r="A286" s="306"/>
      <c r="B286" s="306"/>
      <c r="C286" s="306"/>
      <c r="D286" s="306"/>
      <c r="E286" s="306"/>
      <c r="F286" s="306"/>
      <c r="G286" s="306"/>
      <c r="H286" s="306"/>
      <c r="I286" s="306"/>
      <c r="J286" s="306"/>
      <c r="K286" s="306"/>
      <c r="L286" s="306"/>
      <c r="M286" s="306"/>
      <c r="N286" s="306"/>
      <c r="O286" s="306"/>
      <c r="P286" s="306"/>
      <c r="Q286" s="306"/>
      <c r="R286" s="306"/>
      <c r="S286" s="306"/>
      <c r="T286" s="306"/>
      <c r="U286" s="306"/>
      <c r="V286" s="306"/>
      <c r="W286" s="306"/>
      <c r="X286" s="306"/>
      <c r="Y286" s="306"/>
      <c r="Z286" s="306"/>
      <c r="AA286" s="306"/>
      <c r="AB286" s="306"/>
      <c r="AC286" s="306"/>
      <c r="AD286" s="306"/>
      <c r="AE286"/>
      <c r="AF286"/>
      <c r="AG286"/>
    </row>
    <row r="287" spans="1:33" ht="14.55" customHeight="1">
      <c r="A287" s="306"/>
      <c r="B287" s="306"/>
      <c r="C287" s="306"/>
      <c r="D287" s="306"/>
      <c r="E287" s="306"/>
      <c r="F287" s="306"/>
      <c r="G287" s="306"/>
      <c r="H287" s="306"/>
      <c r="I287" s="306"/>
      <c r="J287" s="306"/>
      <c r="K287" s="306"/>
      <c r="L287" s="306"/>
      <c r="M287" s="306"/>
      <c r="N287" s="306" t="str">
        <f ca="1">IF(A287="", "",
 IF(AND(ISNUMBER(A287), A287 &gt;= TODAY(), A287 &lt;= TODAY() + 5), "In Progress",
 IF(AND(ISNUMBER(A287), A287 &lt; TODAY()), "Completed",
 IF(OR(A287="TBD", AND(ISNUMBER(A287), A287 &gt; TODAY() + 5)), "Not Started", ""))))</f>
        <v/>
      </c>
      <c r="O287" s="306"/>
      <c r="P287" s="306"/>
      <c r="Q287" s="306"/>
      <c r="R287" s="306"/>
      <c r="S287" s="306"/>
      <c r="T287" s="306"/>
      <c r="U287" s="306"/>
      <c r="V287" s="306"/>
      <c r="W287" s="306"/>
      <c r="X287" s="306"/>
      <c r="Y287" s="306"/>
      <c r="Z287" s="306"/>
      <c r="AA287" s="306"/>
      <c r="AB287" s="306"/>
      <c r="AC287" s="306" t="str">
        <f ca="1">IF(P287="", "",
 IF(AND(ISNUMBER(P287), P287 &gt;= TODAY(), P287 &lt;= TODAY() + 5), "In Progress",
 IF(AND(ISNUMBER(P287), P287 &lt; TODAY()), "Completed",
 IF(OR(P287="TBD", AND(ISNUMBER(P287), P287 &gt; TODAY() + 5)), "Not Started", ""))))</f>
        <v/>
      </c>
      <c r="AD287" s="306"/>
      <c r="AE287"/>
      <c r="AF287"/>
      <c r="AG287"/>
    </row>
    <row r="288" spans="1:33" ht="14.55" customHeight="1">
      <c r="A288" s="306"/>
      <c r="B288" s="306"/>
      <c r="C288" s="306"/>
      <c r="D288" s="306"/>
      <c r="E288" s="306"/>
      <c r="F288" s="306"/>
      <c r="G288" s="306"/>
      <c r="H288" s="306"/>
      <c r="I288" s="306"/>
      <c r="J288" s="306"/>
      <c r="K288" s="306"/>
      <c r="L288" s="306"/>
      <c r="M288" s="306"/>
      <c r="N288" s="306"/>
      <c r="O288" s="306"/>
      <c r="P288" s="306"/>
      <c r="Q288" s="306"/>
      <c r="R288" s="306"/>
      <c r="S288" s="306"/>
      <c r="T288" s="306"/>
      <c r="U288" s="306"/>
      <c r="V288" s="306"/>
      <c r="W288" s="306"/>
      <c r="X288" s="306"/>
      <c r="Y288" s="306"/>
      <c r="Z288" s="306"/>
      <c r="AA288" s="306"/>
      <c r="AB288" s="306"/>
      <c r="AC288" s="306"/>
      <c r="AD288" s="306"/>
      <c r="AE288"/>
      <c r="AF288"/>
      <c r="AG288"/>
    </row>
    <row r="289" spans="1:33" ht="14.55" customHeight="1">
      <c r="A289" s="306"/>
      <c r="B289" s="306"/>
      <c r="C289" s="306"/>
      <c r="D289" s="306"/>
      <c r="E289" s="306"/>
      <c r="F289" s="306"/>
      <c r="G289" s="306"/>
      <c r="H289" s="306"/>
      <c r="I289" s="306"/>
      <c r="J289" s="306"/>
      <c r="K289" s="306"/>
      <c r="L289" s="306"/>
      <c r="M289" s="306"/>
      <c r="N289" s="306"/>
      <c r="O289" s="306"/>
      <c r="P289" s="306"/>
      <c r="Q289" s="306"/>
      <c r="R289" s="306"/>
      <c r="S289" s="306"/>
      <c r="T289" s="306"/>
      <c r="U289" s="306"/>
      <c r="V289" s="306"/>
      <c r="W289" s="306"/>
      <c r="X289" s="306"/>
      <c r="Y289" s="306"/>
      <c r="Z289" s="306"/>
      <c r="AA289" s="306"/>
      <c r="AB289" s="306"/>
      <c r="AC289" s="306"/>
      <c r="AD289" s="306"/>
      <c r="AE289"/>
      <c r="AF289"/>
      <c r="AG289"/>
    </row>
    <row r="290" spans="1:33" ht="14.55" customHeight="1">
      <c r="A290" s="306"/>
      <c r="B290" s="306"/>
      <c r="C290" s="306"/>
      <c r="D290" s="306"/>
      <c r="E290" s="306"/>
      <c r="F290" s="306"/>
      <c r="G290" s="306"/>
      <c r="H290" s="306"/>
      <c r="I290" s="306"/>
      <c r="J290" s="306"/>
      <c r="K290" s="306"/>
      <c r="L290" s="306"/>
      <c r="M290" s="306"/>
      <c r="N290" s="306" t="str">
        <f ca="1">IF(A290="", "",
 IF(AND(ISNUMBER(A290), A290 &gt;= TODAY(), A290 &lt;= TODAY() + 5), "In Progress",
 IF(AND(ISNUMBER(A290), A290 &lt; TODAY()), "Completed",
 IF(OR(A290="TBD", AND(ISNUMBER(A290), A290 &gt; TODAY() + 5)), "Not Started", ""))))</f>
        <v/>
      </c>
      <c r="O290" s="306"/>
      <c r="P290" s="306"/>
      <c r="Q290" s="306"/>
      <c r="R290" s="306"/>
      <c r="S290" s="306"/>
      <c r="T290" s="306"/>
      <c r="U290" s="306"/>
      <c r="V290" s="306"/>
      <c r="W290" s="306"/>
      <c r="X290" s="306"/>
      <c r="Y290" s="306"/>
      <c r="Z290" s="306"/>
      <c r="AA290" s="306"/>
      <c r="AB290" s="306"/>
      <c r="AC290" s="306" t="str">
        <f ca="1">IF(P290="", "",
 IF(AND(ISNUMBER(P290), P290 &gt;= TODAY(), P290 &lt;= TODAY() + 5), "In Progress",
 IF(AND(ISNUMBER(P290), P290 &lt; TODAY()), "Completed",
 IF(OR(P290="TBD", AND(ISNUMBER(P290), P290 &gt; TODAY() + 5)), "Not Started", ""))))</f>
        <v/>
      </c>
      <c r="AD290" s="306"/>
      <c r="AE290"/>
      <c r="AF290"/>
      <c r="AG290"/>
    </row>
    <row r="291" spans="1:33" ht="14.55" customHeight="1">
      <c r="A291" s="306"/>
      <c r="B291" s="306"/>
      <c r="C291" s="306"/>
      <c r="D291" s="306"/>
      <c r="E291" s="306"/>
      <c r="F291" s="306"/>
      <c r="G291" s="306"/>
      <c r="H291" s="306"/>
      <c r="I291" s="306"/>
      <c r="J291" s="306"/>
      <c r="K291" s="306"/>
      <c r="L291" s="306"/>
      <c r="M291" s="306"/>
      <c r="N291" s="306"/>
      <c r="O291" s="306"/>
      <c r="P291" s="306"/>
      <c r="Q291" s="306"/>
      <c r="R291" s="306"/>
      <c r="S291" s="306"/>
      <c r="T291" s="306"/>
      <c r="U291" s="306"/>
      <c r="V291" s="306"/>
      <c r="W291" s="306"/>
      <c r="X291" s="306"/>
      <c r="Y291" s="306"/>
      <c r="Z291" s="306"/>
      <c r="AA291" s="306"/>
      <c r="AB291" s="306"/>
      <c r="AC291" s="306"/>
      <c r="AD291" s="306"/>
      <c r="AE291"/>
      <c r="AF291"/>
      <c r="AG291"/>
    </row>
    <row r="292" spans="1:33" ht="14.55" customHeight="1">
      <c r="A292" s="306"/>
      <c r="B292" s="306"/>
      <c r="C292" s="306"/>
      <c r="D292" s="306"/>
      <c r="E292" s="306"/>
      <c r="F292" s="306"/>
      <c r="G292" s="306"/>
      <c r="H292" s="306"/>
      <c r="I292" s="306"/>
      <c r="J292" s="306"/>
      <c r="K292" s="306"/>
      <c r="L292" s="306"/>
      <c r="M292" s="306"/>
      <c r="N292" s="306"/>
      <c r="O292" s="306"/>
      <c r="P292" s="306"/>
      <c r="Q292" s="306"/>
      <c r="R292" s="306"/>
      <c r="S292" s="306"/>
      <c r="T292" s="306"/>
      <c r="U292" s="306"/>
      <c r="V292" s="306"/>
      <c r="W292" s="306"/>
      <c r="X292" s="306"/>
      <c r="Y292" s="306"/>
      <c r="Z292" s="306"/>
      <c r="AA292" s="306"/>
      <c r="AB292" s="306"/>
      <c r="AC292" s="306"/>
      <c r="AD292" s="306"/>
      <c r="AE292"/>
      <c r="AF292"/>
      <c r="AG292"/>
    </row>
    <row r="293" spans="1:33" ht="14.55" customHeight="1">
      <c r="A293" s="306"/>
      <c r="B293" s="306"/>
      <c r="C293" s="306"/>
      <c r="D293" s="306"/>
      <c r="E293" s="306"/>
      <c r="F293" s="306"/>
      <c r="G293" s="306"/>
      <c r="H293" s="306"/>
      <c r="I293" s="306"/>
      <c r="J293" s="306"/>
      <c r="K293" s="306"/>
      <c r="L293" s="306"/>
      <c r="M293" s="306"/>
      <c r="N293" s="306" t="str">
        <f ca="1">IF(A293="", "",
 IF(AND(ISNUMBER(A293), A293 &gt;= TODAY(), A293 &lt;= TODAY() + 5), "In Progress",
 IF(AND(ISNUMBER(A293), A293 &lt; TODAY()), "Completed",
 IF(OR(A293="TBD", AND(ISNUMBER(A293), A293 &gt; TODAY() + 5)), "Not Started", ""))))</f>
        <v/>
      </c>
      <c r="O293" s="306"/>
      <c r="P293" s="306"/>
      <c r="Q293" s="306"/>
      <c r="R293" s="306"/>
      <c r="S293" s="306"/>
      <c r="T293" s="306"/>
      <c r="U293" s="306"/>
      <c r="V293" s="306"/>
      <c r="W293" s="306"/>
      <c r="X293" s="306"/>
      <c r="Y293" s="306"/>
      <c r="Z293" s="306"/>
      <c r="AA293" s="306"/>
      <c r="AB293" s="306"/>
      <c r="AC293" s="306" t="str">
        <f ca="1">IF(P293="", "",
 IF(AND(ISNUMBER(P293), P293 &gt;= TODAY(), P293 &lt;= TODAY() + 5), "In Progress",
 IF(AND(ISNUMBER(P293), P293 &lt; TODAY()), "Completed",
 IF(OR(P293="TBD", AND(ISNUMBER(P293), P293 &gt; TODAY() + 5)), "Not Started", ""))))</f>
        <v/>
      </c>
      <c r="AD293" s="306"/>
      <c r="AE293"/>
      <c r="AF293"/>
      <c r="AG293"/>
    </row>
    <row r="294" spans="1:33">
      <c r="A294" s="306"/>
      <c r="B294" s="306"/>
      <c r="C294" s="306"/>
      <c r="D294" s="306"/>
      <c r="E294" s="306"/>
      <c r="F294" s="306"/>
      <c r="G294" s="306"/>
      <c r="H294" s="306"/>
      <c r="I294" s="306"/>
      <c r="J294" s="306"/>
      <c r="K294" s="306"/>
      <c r="L294" s="306"/>
      <c r="M294" s="306"/>
      <c r="N294" s="306"/>
      <c r="O294" s="306"/>
      <c r="P294" s="306"/>
      <c r="Q294" s="306"/>
      <c r="R294" s="306"/>
      <c r="S294" s="306"/>
      <c r="T294" s="306"/>
      <c r="U294" s="306"/>
      <c r="V294" s="306"/>
      <c r="W294" s="306"/>
      <c r="X294" s="306"/>
      <c r="Y294" s="306"/>
      <c r="Z294" s="306"/>
      <c r="AA294" s="306"/>
      <c r="AB294" s="306"/>
      <c r="AC294" s="306"/>
      <c r="AD294" s="306"/>
      <c r="AE294"/>
      <c r="AF294"/>
      <c r="AG294"/>
    </row>
    <row r="295" spans="1:33">
      <c r="A295" s="306"/>
      <c r="B295" s="306"/>
      <c r="C295" s="306"/>
      <c r="D295" s="306"/>
      <c r="E295" s="306"/>
      <c r="F295" s="306"/>
      <c r="G295" s="306"/>
      <c r="H295" s="306"/>
      <c r="I295" s="306"/>
      <c r="J295" s="306"/>
      <c r="K295" s="306"/>
      <c r="L295" s="306"/>
      <c r="M295" s="306"/>
      <c r="N295" s="306"/>
      <c r="O295" s="306"/>
      <c r="P295" s="306"/>
      <c r="Q295" s="306"/>
      <c r="R295" s="306"/>
      <c r="S295" s="306"/>
      <c r="T295" s="306"/>
      <c r="U295" s="306"/>
      <c r="V295" s="306"/>
      <c r="W295" s="306"/>
      <c r="X295" s="306"/>
      <c r="Y295" s="306"/>
      <c r="Z295" s="306"/>
      <c r="AA295" s="306"/>
      <c r="AB295" s="306"/>
      <c r="AC295" s="306"/>
      <c r="AD295" s="306"/>
      <c r="AE295"/>
      <c r="AF295"/>
      <c r="AG295"/>
    </row>
    <row r="296" spans="1:33">
      <c r="A296" s="306"/>
      <c r="B296" s="306"/>
      <c r="C296" s="306"/>
      <c r="D296" s="306"/>
      <c r="E296" s="306"/>
      <c r="F296" s="306"/>
      <c r="G296" s="306"/>
      <c r="H296" s="306"/>
      <c r="I296" s="306"/>
      <c r="J296" s="306"/>
      <c r="K296" s="306"/>
      <c r="L296" s="306"/>
      <c r="M296" s="306"/>
      <c r="N296" s="306" t="str">
        <f ca="1">IF(A296="", "",
 IF(AND(ISNUMBER(A296), A296 &gt;= TODAY(), A296 &lt;= TODAY() + 5), "In Progress",
 IF(AND(ISNUMBER(A296), A296 &lt; TODAY()), "Completed",
 IF(OR(A296="TBD", AND(ISNUMBER(A296), A296 &gt; TODAY() + 5)), "Not Started", ""))))</f>
        <v/>
      </c>
      <c r="O296" s="306"/>
      <c r="P296" s="306"/>
      <c r="Q296" s="306"/>
      <c r="R296" s="306"/>
      <c r="S296" s="306"/>
      <c r="T296" s="306"/>
      <c r="U296" s="306"/>
      <c r="V296" s="306"/>
      <c r="W296" s="306"/>
      <c r="X296" s="306"/>
      <c r="Y296" s="306"/>
      <c r="Z296" s="306"/>
      <c r="AA296" s="306"/>
      <c r="AB296" s="306"/>
      <c r="AC296" s="306" t="str">
        <f ca="1">IF(P296="", "",
 IF(AND(ISNUMBER(P296), P296 &gt;= TODAY(), P296 &lt;= TODAY() + 5), "In Progress",
 IF(AND(ISNUMBER(P296), P296 &lt; TODAY()), "Completed",
 IF(OR(P296="TBD", AND(ISNUMBER(P296), P296 &gt; TODAY() + 5)), "Not Started", ""))))</f>
        <v/>
      </c>
      <c r="AD296" s="306"/>
      <c r="AE296"/>
      <c r="AF296"/>
      <c r="AG296"/>
    </row>
    <row r="297" spans="1:33">
      <c r="A297" s="306"/>
      <c r="B297" s="306"/>
      <c r="C297" s="306"/>
      <c r="D297" s="306"/>
      <c r="E297" s="306"/>
      <c r="F297" s="306"/>
      <c r="G297" s="306"/>
      <c r="H297" s="306"/>
      <c r="I297" s="306"/>
      <c r="J297" s="306"/>
      <c r="K297" s="306"/>
      <c r="L297" s="306"/>
      <c r="M297" s="306"/>
      <c r="N297" s="306"/>
      <c r="O297" s="306"/>
      <c r="P297" s="306"/>
      <c r="Q297" s="306"/>
      <c r="R297" s="306"/>
      <c r="S297" s="306"/>
      <c r="T297" s="306"/>
      <c r="U297" s="306"/>
      <c r="V297" s="306"/>
      <c r="W297" s="306"/>
      <c r="X297" s="306"/>
      <c r="Y297" s="306"/>
      <c r="Z297" s="306"/>
      <c r="AA297" s="306"/>
      <c r="AB297" s="306"/>
      <c r="AC297" s="306"/>
      <c r="AD297" s="306"/>
      <c r="AE297"/>
      <c r="AF297"/>
      <c r="AG297"/>
    </row>
    <row r="298" spans="1:33">
      <c r="A298" s="306"/>
      <c r="B298" s="306"/>
      <c r="C298" s="306"/>
      <c r="D298" s="306"/>
      <c r="E298" s="306"/>
      <c r="F298" s="306"/>
      <c r="G298" s="306"/>
      <c r="H298" s="306"/>
      <c r="I298" s="306"/>
      <c r="J298" s="306"/>
      <c r="K298" s="306"/>
      <c r="L298" s="306"/>
      <c r="M298" s="306"/>
      <c r="N298" s="306"/>
      <c r="O298" s="306"/>
      <c r="P298" s="306"/>
      <c r="Q298" s="306"/>
      <c r="R298" s="306"/>
      <c r="S298" s="306"/>
      <c r="T298" s="306"/>
      <c r="U298" s="306"/>
      <c r="V298" s="306"/>
      <c r="W298" s="306"/>
      <c r="X298" s="306"/>
      <c r="Y298" s="306"/>
      <c r="Z298" s="306"/>
      <c r="AA298" s="306"/>
      <c r="AB298" s="306"/>
      <c r="AC298" s="306"/>
      <c r="AD298" s="306"/>
      <c r="AE298"/>
      <c r="AF298"/>
      <c r="AG298"/>
    </row>
    <row r="299" spans="1:33">
      <c r="A299" s="306"/>
      <c r="B299" s="306"/>
      <c r="C299" s="306"/>
      <c r="D299" s="306"/>
      <c r="E299" s="306"/>
      <c r="F299" s="306"/>
      <c r="G299" s="306"/>
      <c r="H299" s="306"/>
      <c r="I299" s="306"/>
      <c r="J299" s="306"/>
      <c r="K299" s="306"/>
      <c r="L299" s="306"/>
      <c r="M299" s="306"/>
      <c r="N299" s="306" t="str">
        <f ca="1">IF(A299="", "",
 IF(AND(ISNUMBER(A299), A299 &gt;= TODAY(), A299 &lt;= TODAY() + 5), "In Progress",
 IF(AND(ISNUMBER(A299), A299 &lt; TODAY()), "Completed",
 IF(OR(A299="TBD", AND(ISNUMBER(A299), A299 &gt; TODAY() + 5)), "Not Started", ""))))</f>
        <v/>
      </c>
      <c r="O299" s="306"/>
      <c r="P299" s="306"/>
      <c r="Q299" s="306"/>
      <c r="R299" s="306"/>
      <c r="S299" s="306"/>
      <c r="T299" s="306"/>
      <c r="U299" s="306"/>
      <c r="V299" s="306"/>
      <c r="W299" s="306"/>
      <c r="X299" s="306"/>
      <c r="Y299" s="306"/>
      <c r="Z299" s="306"/>
      <c r="AA299" s="306"/>
      <c r="AB299" s="306"/>
      <c r="AC299" s="306" t="str">
        <f ca="1">IF(P299="", "",
 IF(AND(ISNUMBER(P299), P299 &gt;= TODAY(), P299 &lt;= TODAY() + 5), "In Progress",
 IF(AND(ISNUMBER(P299), P299 &lt; TODAY()), "Completed",
 IF(OR(P299="TBD", AND(ISNUMBER(P299), P299 &gt; TODAY() + 5)), "Not Started", ""))))</f>
        <v/>
      </c>
      <c r="AD299" s="306"/>
      <c r="AE299"/>
      <c r="AF299"/>
      <c r="AG299"/>
    </row>
    <row r="300" spans="1:33">
      <c r="A300" s="306"/>
      <c r="B300" s="306"/>
      <c r="C300" s="306"/>
      <c r="D300" s="306"/>
      <c r="E300" s="306"/>
      <c r="F300" s="306"/>
      <c r="G300" s="306"/>
      <c r="H300" s="306"/>
      <c r="I300" s="306"/>
      <c r="J300" s="306"/>
      <c r="K300" s="306"/>
      <c r="L300" s="306"/>
      <c r="M300" s="306"/>
      <c r="N300" s="306"/>
      <c r="O300" s="306"/>
      <c r="P300" s="306"/>
      <c r="Q300" s="306"/>
      <c r="R300" s="306"/>
      <c r="S300" s="306"/>
      <c r="T300" s="306"/>
      <c r="U300" s="306"/>
      <c r="V300" s="306"/>
      <c r="W300" s="306"/>
      <c r="X300" s="306"/>
      <c r="Y300" s="306"/>
      <c r="Z300" s="306"/>
      <c r="AA300" s="306"/>
      <c r="AB300" s="306"/>
      <c r="AC300" s="306"/>
      <c r="AD300" s="306"/>
      <c r="AE300"/>
      <c r="AF300"/>
      <c r="AG300"/>
    </row>
    <row r="301" spans="1:33">
      <c r="A301" s="306"/>
      <c r="B301" s="306"/>
      <c r="C301" s="306"/>
      <c r="D301" s="306"/>
      <c r="E301" s="306"/>
      <c r="F301" s="306"/>
      <c r="G301" s="306"/>
      <c r="H301" s="306"/>
      <c r="I301" s="306"/>
      <c r="J301" s="306"/>
      <c r="K301" s="306"/>
      <c r="L301" s="306"/>
      <c r="M301" s="306"/>
      <c r="N301" s="306"/>
      <c r="O301" s="306"/>
      <c r="P301" s="306"/>
      <c r="Q301" s="306"/>
      <c r="R301" s="306"/>
      <c r="S301" s="306"/>
      <c r="T301" s="306"/>
      <c r="U301" s="306"/>
      <c r="V301" s="306"/>
      <c r="W301" s="306"/>
      <c r="X301" s="306"/>
      <c r="Y301" s="306"/>
      <c r="Z301" s="306"/>
      <c r="AA301" s="306"/>
      <c r="AB301" s="306"/>
      <c r="AC301" s="306"/>
      <c r="AD301" s="306"/>
      <c r="AE301"/>
      <c r="AF301"/>
      <c r="AG301"/>
    </row>
    <row r="302" spans="1:33">
      <c r="A302"/>
      <c r="B302"/>
      <c r="C302"/>
      <c r="D302"/>
      <c r="E302"/>
      <c r="F302"/>
      <c r="G302"/>
      <c r="H302"/>
      <c r="I302"/>
      <c r="J302"/>
      <c r="K302"/>
      <c r="L302"/>
      <c r="M302"/>
      <c r="N302"/>
      <c r="O302"/>
      <c r="P302"/>
      <c r="Q302"/>
      <c r="R302"/>
      <c r="S302"/>
      <c r="T302"/>
      <c r="U302"/>
      <c r="V302"/>
      <c r="W302"/>
      <c r="X302"/>
      <c r="Y302"/>
      <c r="Z302"/>
      <c r="AA302"/>
      <c r="AB302"/>
      <c r="AC302"/>
      <c r="AD302"/>
      <c r="AE302"/>
      <c r="AF302"/>
      <c r="AG302"/>
    </row>
    <row r="303" spans="1:33">
      <c r="A303"/>
      <c r="B303"/>
      <c r="C303"/>
      <c r="D303"/>
      <c r="E303"/>
      <c r="F303"/>
      <c r="G303"/>
      <c r="H303"/>
      <c r="I303"/>
      <c r="J303"/>
      <c r="K303"/>
      <c r="L303"/>
      <c r="M303"/>
      <c r="N303"/>
      <c r="O303"/>
      <c r="P303"/>
      <c r="Q303"/>
      <c r="R303"/>
      <c r="S303"/>
      <c r="T303"/>
      <c r="U303"/>
      <c r="V303"/>
      <c r="W303"/>
      <c r="X303"/>
      <c r="Y303"/>
      <c r="Z303"/>
      <c r="AA303"/>
      <c r="AB303"/>
      <c r="AC303"/>
      <c r="AD303"/>
      <c r="AE303"/>
      <c r="AF303"/>
      <c r="AG303"/>
    </row>
    <row r="304" spans="1:33">
      <c r="A304"/>
      <c r="B304"/>
      <c r="C304"/>
      <c r="D304"/>
      <c r="E304"/>
      <c r="F304"/>
      <c r="G304"/>
      <c r="H304"/>
      <c r="I304"/>
      <c r="J304"/>
      <c r="K304"/>
      <c r="L304"/>
      <c r="M304"/>
      <c r="N304"/>
      <c r="O304"/>
      <c r="P304"/>
      <c r="Q304"/>
      <c r="R304"/>
      <c r="S304"/>
      <c r="T304"/>
      <c r="U304"/>
      <c r="V304"/>
      <c r="W304"/>
      <c r="X304"/>
      <c r="Y304"/>
      <c r="Z304"/>
      <c r="AA304"/>
      <c r="AB304"/>
      <c r="AC304"/>
      <c r="AD304"/>
      <c r="AE304"/>
      <c r="AF304"/>
      <c r="AG304"/>
    </row>
    <row r="305" spans="1:33">
      <c r="A305"/>
      <c r="B305"/>
      <c r="C305"/>
      <c r="D305"/>
      <c r="E305"/>
      <c r="F305"/>
      <c r="G305"/>
      <c r="H305"/>
      <c r="I305"/>
      <c r="J305"/>
      <c r="K305"/>
      <c r="L305"/>
      <c r="M305"/>
      <c r="N305"/>
      <c r="O305"/>
      <c r="P305"/>
      <c r="Q305"/>
      <c r="R305"/>
      <c r="S305"/>
      <c r="T305"/>
      <c r="U305"/>
      <c r="V305"/>
      <c r="W305"/>
      <c r="X305"/>
      <c r="Y305"/>
      <c r="Z305"/>
      <c r="AA305"/>
      <c r="AB305"/>
      <c r="AC305"/>
      <c r="AD305"/>
      <c r="AE305"/>
      <c r="AF305"/>
      <c r="AG305"/>
    </row>
    <row r="306" spans="1:33">
      <c r="A306"/>
      <c r="B306"/>
      <c r="C306"/>
      <c r="D306"/>
      <c r="E306"/>
      <c r="F306"/>
      <c r="G306"/>
      <c r="H306"/>
      <c r="I306"/>
      <c r="J306"/>
      <c r="K306"/>
      <c r="L306"/>
      <c r="M306"/>
      <c r="N306"/>
      <c r="O306"/>
      <c r="P306"/>
      <c r="Q306"/>
      <c r="R306"/>
      <c r="S306"/>
      <c r="T306"/>
      <c r="U306"/>
      <c r="V306"/>
      <c r="W306"/>
      <c r="X306"/>
      <c r="Y306"/>
      <c r="Z306"/>
      <c r="AA306"/>
      <c r="AB306"/>
      <c r="AC306"/>
      <c r="AD306"/>
      <c r="AE306"/>
      <c r="AF306"/>
      <c r="AG306"/>
    </row>
    <row r="307" spans="1:33">
      <c r="A307"/>
      <c r="B307"/>
      <c r="C307"/>
      <c r="D307"/>
      <c r="E307"/>
      <c r="F307"/>
      <c r="G307"/>
      <c r="H307"/>
      <c r="I307"/>
      <c r="J307"/>
      <c r="K307"/>
      <c r="L307"/>
      <c r="M307"/>
      <c r="N307"/>
      <c r="O307"/>
      <c r="P307"/>
      <c r="Q307"/>
      <c r="R307"/>
      <c r="S307"/>
      <c r="T307"/>
      <c r="U307"/>
      <c r="V307"/>
      <c r="W307"/>
      <c r="X307"/>
      <c r="Y307"/>
      <c r="Z307"/>
      <c r="AA307"/>
      <c r="AB307"/>
      <c r="AC307"/>
      <c r="AD307"/>
      <c r="AE307"/>
      <c r="AF307"/>
      <c r="AG307"/>
    </row>
    <row r="308" spans="1:33">
      <c r="A308"/>
      <c r="B308"/>
      <c r="C308"/>
      <c r="D308"/>
      <c r="E308"/>
      <c r="F308"/>
      <c r="G308"/>
      <c r="H308"/>
      <c r="I308"/>
      <c r="J308"/>
      <c r="K308"/>
      <c r="L308"/>
      <c r="M308"/>
      <c r="N308"/>
      <c r="O308"/>
      <c r="P308"/>
      <c r="Q308"/>
      <c r="R308"/>
      <c r="S308"/>
      <c r="T308"/>
      <c r="U308"/>
      <c r="V308"/>
      <c r="W308"/>
      <c r="X308"/>
      <c r="Y308"/>
      <c r="Z308"/>
      <c r="AA308"/>
      <c r="AB308"/>
      <c r="AC308"/>
      <c r="AD308"/>
      <c r="AE308"/>
      <c r="AF308"/>
      <c r="AG308"/>
    </row>
    <row r="309" spans="1:33">
      <c r="A309"/>
      <c r="B309"/>
      <c r="C309"/>
      <c r="D309"/>
      <c r="E309"/>
      <c r="F309"/>
      <c r="G309"/>
      <c r="H309"/>
      <c r="I309"/>
      <c r="J309"/>
      <c r="K309"/>
      <c r="L309"/>
      <c r="M309"/>
      <c r="N309"/>
      <c r="O309"/>
      <c r="P309"/>
      <c r="Q309"/>
      <c r="R309"/>
      <c r="S309"/>
      <c r="T309"/>
      <c r="U309"/>
      <c r="V309"/>
      <c r="W309"/>
      <c r="X309"/>
      <c r="Y309"/>
      <c r="Z309"/>
      <c r="AA309"/>
      <c r="AB309"/>
      <c r="AC309"/>
      <c r="AD309"/>
      <c r="AE309"/>
      <c r="AF309"/>
      <c r="AG309"/>
    </row>
    <row r="310" spans="1:33">
      <c r="A310"/>
      <c r="B310"/>
      <c r="C310"/>
      <c r="D310"/>
      <c r="E310"/>
      <c r="F310"/>
      <c r="G310"/>
      <c r="H310"/>
      <c r="I310"/>
      <c r="J310"/>
      <c r="K310"/>
      <c r="L310"/>
      <c r="M310"/>
      <c r="N310"/>
      <c r="O310"/>
      <c r="P310"/>
      <c r="Q310"/>
      <c r="R310"/>
      <c r="S310"/>
      <c r="T310"/>
      <c r="U310"/>
      <c r="V310"/>
      <c r="W310"/>
      <c r="X310"/>
      <c r="Y310"/>
      <c r="Z310"/>
      <c r="AA310"/>
      <c r="AB310"/>
      <c r="AC310"/>
      <c r="AD310"/>
      <c r="AE310"/>
      <c r="AF310"/>
      <c r="AG310"/>
    </row>
    <row r="311" spans="1:33">
      <c r="A311"/>
      <c r="B311"/>
      <c r="C311"/>
      <c r="D311"/>
      <c r="E311"/>
      <c r="F311"/>
      <c r="G311"/>
      <c r="H311"/>
      <c r="I311"/>
      <c r="J311"/>
      <c r="K311"/>
      <c r="L311"/>
      <c r="M311"/>
      <c r="N311"/>
      <c r="O311"/>
      <c r="P311"/>
      <c r="Q311"/>
      <c r="R311"/>
      <c r="S311"/>
      <c r="T311"/>
      <c r="U311"/>
      <c r="V311"/>
      <c r="W311"/>
      <c r="X311"/>
      <c r="Y311"/>
      <c r="Z311"/>
      <c r="AA311"/>
      <c r="AB311"/>
      <c r="AC311"/>
      <c r="AD311"/>
      <c r="AE311"/>
      <c r="AF311"/>
      <c r="AG311"/>
    </row>
    <row r="312" spans="1:33">
      <c r="A312"/>
      <c r="B312"/>
      <c r="C312"/>
      <c r="D312"/>
      <c r="E312"/>
      <c r="F312"/>
      <c r="G312"/>
      <c r="H312"/>
      <c r="I312"/>
      <c r="J312"/>
      <c r="K312"/>
      <c r="L312"/>
      <c r="M312"/>
      <c r="N312"/>
      <c r="O312"/>
      <c r="P312"/>
      <c r="Q312"/>
      <c r="R312"/>
      <c r="S312"/>
      <c r="T312"/>
      <c r="U312"/>
      <c r="V312"/>
      <c r="W312"/>
      <c r="X312"/>
      <c r="Y312"/>
      <c r="Z312"/>
      <c r="AA312"/>
      <c r="AB312"/>
      <c r="AC312"/>
      <c r="AD312"/>
      <c r="AE312"/>
      <c r="AF312"/>
      <c r="AG312"/>
    </row>
    <row r="313" spans="1:33">
      <c r="A313"/>
      <c r="B313"/>
      <c r="C313"/>
      <c r="D313"/>
      <c r="E313"/>
      <c r="F313"/>
      <c r="G313"/>
      <c r="H313"/>
      <c r="I313"/>
      <c r="J313"/>
      <c r="K313"/>
      <c r="L313"/>
      <c r="M313"/>
      <c r="N313"/>
      <c r="O313"/>
      <c r="P313"/>
      <c r="Q313"/>
      <c r="R313"/>
      <c r="S313"/>
      <c r="T313"/>
      <c r="U313"/>
      <c r="V313"/>
      <c r="W313"/>
      <c r="X313"/>
      <c r="Y313"/>
      <c r="Z313"/>
      <c r="AA313"/>
      <c r="AB313"/>
      <c r="AC313"/>
      <c r="AD313"/>
      <c r="AE313"/>
      <c r="AF313"/>
      <c r="AG313"/>
    </row>
    <row r="314" spans="1:33">
      <c r="A314"/>
      <c r="B314"/>
      <c r="C314"/>
      <c r="D314"/>
      <c r="E314"/>
      <c r="F314"/>
      <c r="G314"/>
      <c r="H314"/>
      <c r="I314"/>
      <c r="J314"/>
      <c r="K314"/>
      <c r="L314"/>
      <c r="M314"/>
      <c r="N314"/>
      <c r="O314"/>
      <c r="P314"/>
      <c r="Q314"/>
      <c r="R314"/>
      <c r="S314"/>
      <c r="T314"/>
      <c r="U314"/>
      <c r="V314"/>
      <c r="W314"/>
      <c r="X314"/>
      <c r="Y314"/>
      <c r="Z314"/>
      <c r="AA314"/>
      <c r="AB314"/>
      <c r="AC314"/>
      <c r="AD314"/>
      <c r="AE314"/>
      <c r="AF314"/>
      <c r="AG314"/>
    </row>
    <row r="315" spans="1:33">
      <c r="A315"/>
      <c r="B315"/>
      <c r="C315"/>
      <c r="D315"/>
      <c r="E315"/>
      <c r="F315"/>
      <c r="G315"/>
      <c r="H315"/>
      <c r="I315"/>
      <c r="J315"/>
      <c r="K315"/>
      <c r="L315"/>
      <c r="M315"/>
      <c r="N315"/>
      <c r="O315"/>
      <c r="P315"/>
      <c r="Q315"/>
      <c r="R315"/>
      <c r="S315"/>
      <c r="T315"/>
      <c r="U315"/>
      <c r="V315"/>
      <c r="W315"/>
      <c r="X315"/>
      <c r="Y315"/>
      <c r="Z315"/>
      <c r="AA315"/>
      <c r="AB315"/>
      <c r="AC315"/>
      <c r="AD315"/>
      <c r="AE315"/>
      <c r="AF315"/>
      <c r="AG315"/>
    </row>
    <row r="316" spans="1:33">
      <c r="A316"/>
      <c r="B316"/>
      <c r="C316"/>
      <c r="D316"/>
      <c r="E316"/>
      <c r="F316"/>
      <c r="G316"/>
      <c r="H316"/>
      <c r="I316"/>
      <c r="J316"/>
      <c r="K316"/>
      <c r="L316"/>
      <c r="M316"/>
      <c r="N316"/>
      <c r="O316"/>
      <c r="P316"/>
      <c r="Q316"/>
      <c r="R316"/>
      <c r="S316"/>
      <c r="T316"/>
      <c r="U316"/>
      <c r="V316"/>
      <c r="W316"/>
      <c r="X316"/>
      <c r="Y316"/>
      <c r="Z316"/>
      <c r="AA316"/>
      <c r="AB316"/>
      <c r="AC316"/>
      <c r="AD316"/>
      <c r="AE316"/>
      <c r="AF316"/>
      <c r="AG316"/>
    </row>
    <row r="317" spans="1:33">
      <c r="A317"/>
      <c r="B317"/>
      <c r="C317"/>
      <c r="D317"/>
      <c r="E317"/>
      <c r="F317"/>
      <c r="G317"/>
      <c r="H317"/>
      <c r="I317"/>
      <c r="J317"/>
      <c r="K317"/>
      <c r="L317"/>
      <c r="M317"/>
      <c r="N317"/>
      <c r="O317"/>
      <c r="P317"/>
      <c r="Q317"/>
      <c r="R317"/>
      <c r="S317"/>
      <c r="T317"/>
      <c r="U317"/>
      <c r="V317"/>
      <c r="W317"/>
      <c r="X317"/>
      <c r="Y317"/>
      <c r="Z317"/>
      <c r="AA317"/>
      <c r="AB317"/>
      <c r="AC317"/>
      <c r="AD317"/>
      <c r="AE317"/>
      <c r="AF317"/>
      <c r="AG317"/>
    </row>
    <row r="318" spans="1:33">
      <c r="A318"/>
      <c r="B318"/>
      <c r="C318"/>
      <c r="D318"/>
      <c r="E318"/>
      <c r="F318"/>
      <c r="G318"/>
      <c r="H318"/>
      <c r="I318"/>
      <c r="J318"/>
      <c r="K318"/>
      <c r="L318"/>
      <c r="M318"/>
      <c r="N318"/>
      <c r="O318"/>
      <c r="P318"/>
      <c r="Q318"/>
      <c r="R318"/>
      <c r="S318"/>
      <c r="T318"/>
      <c r="U318"/>
      <c r="V318"/>
      <c r="W318"/>
      <c r="X318"/>
      <c r="Y318"/>
      <c r="Z318"/>
      <c r="AA318"/>
      <c r="AB318"/>
      <c r="AC318"/>
      <c r="AD318"/>
      <c r="AE318"/>
      <c r="AF318"/>
      <c r="AG318"/>
    </row>
    <row r="319" spans="1:33">
      <c r="A319"/>
      <c r="B319"/>
      <c r="C319"/>
      <c r="D319"/>
      <c r="E319"/>
      <c r="F319"/>
      <c r="G319"/>
      <c r="H319"/>
      <c r="I319"/>
      <c r="J319"/>
      <c r="K319"/>
      <c r="L319"/>
      <c r="M319"/>
      <c r="N319"/>
      <c r="O319"/>
      <c r="P319"/>
      <c r="Q319"/>
      <c r="R319"/>
      <c r="S319"/>
      <c r="T319"/>
      <c r="U319"/>
      <c r="V319"/>
      <c r="W319"/>
      <c r="X319"/>
      <c r="Y319"/>
      <c r="Z319"/>
      <c r="AA319"/>
      <c r="AB319"/>
      <c r="AC319"/>
      <c r="AD319"/>
      <c r="AE319"/>
      <c r="AF319"/>
      <c r="AG319"/>
    </row>
    <row r="320" spans="1:33">
      <c r="A320"/>
      <c r="B320"/>
      <c r="C320"/>
      <c r="D320"/>
      <c r="E320"/>
      <c r="F320"/>
      <c r="G320"/>
      <c r="H320"/>
      <c r="I320"/>
      <c r="J320"/>
      <c r="K320"/>
      <c r="L320"/>
      <c r="M320"/>
      <c r="N320"/>
      <c r="O320"/>
      <c r="P320"/>
      <c r="Q320"/>
      <c r="R320"/>
      <c r="S320"/>
      <c r="T320"/>
      <c r="U320"/>
      <c r="V320"/>
      <c r="W320"/>
      <c r="X320"/>
      <c r="Y320"/>
      <c r="Z320"/>
      <c r="AA320"/>
      <c r="AB320"/>
      <c r="AC320"/>
      <c r="AD320"/>
      <c r="AE320"/>
      <c r="AF320"/>
      <c r="AG320"/>
    </row>
    <row r="321" spans="1:33">
      <c r="A321"/>
      <c r="B321"/>
      <c r="C321"/>
      <c r="D321"/>
      <c r="E321"/>
      <c r="F321"/>
      <c r="G321"/>
      <c r="H321"/>
      <c r="I321"/>
      <c r="J321"/>
      <c r="K321"/>
      <c r="L321"/>
      <c r="M321"/>
      <c r="N321"/>
      <c r="O321"/>
      <c r="P321"/>
      <c r="Q321"/>
      <c r="R321"/>
      <c r="S321"/>
      <c r="T321"/>
      <c r="U321"/>
      <c r="V321"/>
      <c r="W321"/>
      <c r="X321"/>
      <c r="Y321"/>
      <c r="Z321"/>
      <c r="AA321"/>
      <c r="AB321"/>
      <c r="AC321"/>
      <c r="AD321"/>
      <c r="AE321"/>
      <c r="AF321"/>
      <c r="AG321"/>
    </row>
    <row r="322" spans="1:33">
      <c r="A322"/>
      <c r="B322"/>
      <c r="C322"/>
      <c r="D322"/>
      <c r="E322"/>
      <c r="F322"/>
      <c r="G322"/>
      <c r="H322"/>
      <c r="I322"/>
      <c r="J322"/>
      <c r="K322"/>
      <c r="L322"/>
      <c r="M322"/>
      <c r="N322"/>
      <c r="O322"/>
      <c r="P322"/>
      <c r="Q322"/>
      <c r="R322"/>
      <c r="S322"/>
      <c r="T322"/>
      <c r="U322"/>
      <c r="V322"/>
      <c r="W322"/>
      <c r="X322"/>
      <c r="Y322"/>
      <c r="Z322"/>
      <c r="AA322"/>
      <c r="AB322"/>
      <c r="AC322"/>
      <c r="AD322"/>
      <c r="AE322"/>
      <c r="AF322"/>
      <c r="AG322"/>
    </row>
    <row r="323" spans="1:33">
      <c r="A323"/>
      <c r="B323"/>
      <c r="C323"/>
      <c r="D323"/>
      <c r="E323"/>
      <c r="F323"/>
      <c r="G323"/>
      <c r="H323"/>
      <c r="I323"/>
      <c r="J323"/>
      <c r="K323"/>
      <c r="L323"/>
      <c r="M323"/>
      <c r="N323"/>
      <c r="O323"/>
      <c r="P323"/>
      <c r="Q323"/>
      <c r="R323"/>
      <c r="S323"/>
      <c r="T323"/>
      <c r="U323"/>
      <c r="V323"/>
      <c r="W323"/>
      <c r="X323"/>
      <c r="Y323"/>
      <c r="Z323"/>
      <c r="AA323"/>
      <c r="AB323"/>
      <c r="AC323"/>
      <c r="AD323"/>
      <c r="AE323"/>
      <c r="AF323"/>
      <c r="AG323"/>
    </row>
    <row r="324" spans="1:33">
      <c r="A324"/>
      <c r="B324"/>
      <c r="C324"/>
      <c r="D324"/>
      <c r="E324"/>
      <c r="F324"/>
      <c r="G324"/>
      <c r="H324"/>
      <c r="I324"/>
      <c r="J324"/>
      <c r="K324"/>
      <c r="L324"/>
      <c r="M324"/>
      <c r="N324"/>
      <c r="O324"/>
      <c r="P324"/>
      <c r="Q324"/>
      <c r="R324"/>
      <c r="S324"/>
      <c r="T324"/>
      <c r="U324"/>
      <c r="V324"/>
      <c r="W324"/>
      <c r="X324"/>
      <c r="Y324"/>
      <c r="Z324"/>
      <c r="AA324"/>
      <c r="AB324"/>
      <c r="AC324"/>
      <c r="AD324"/>
      <c r="AE324"/>
      <c r="AF324"/>
      <c r="AG324"/>
    </row>
    <row r="325" spans="1:33">
      <c r="A325"/>
      <c r="B325"/>
      <c r="C325"/>
      <c r="D325"/>
      <c r="E325"/>
      <c r="F325"/>
      <c r="G325"/>
      <c r="H325"/>
      <c r="I325"/>
      <c r="J325"/>
      <c r="K325"/>
      <c r="L325"/>
      <c r="M325"/>
      <c r="N325"/>
      <c r="O325"/>
      <c r="P325"/>
      <c r="Q325"/>
      <c r="R325"/>
      <c r="S325"/>
      <c r="T325"/>
      <c r="U325"/>
      <c r="V325"/>
      <c r="W325"/>
      <c r="X325"/>
      <c r="Y325"/>
      <c r="Z325"/>
      <c r="AA325"/>
      <c r="AB325"/>
      <c r="AC325"/>
      <c r="AD325"/>
      <c r="AE325"/>
      <c r="AF325"/>
      <c r="AG325"/>
    </row>
    <row r="326" spans="1:33">
      <c r="A326"/>
      <c r="B326"/>
      <c r="C326"/>
      <c r="D326"/>
      <c r="E326"/>
      <c r="F326"/>
      <c r="G326"/>
      <c r="H326"/>
      <c r="I326"/>
      <c r="J326"/>
      <c r="K326"/>
      <c r="L326"/>
      <c r="M326"/>
      <c r="N326"/>
      <c r="O326"/>
      <c r="P326"/>
      <c r="Q326"/>
      <c r="R326"/>
      <c r="S326"/>
      <c r="T326"/>
      <c r="U326"/>
      <c r="V326"/>
      <c r="W326"/>
      <c r="X326"/>
      <c r="Y326"/>
      <c r="Z326"/>
      <c r="AA326"/>
      <c r="AB326"/>
      <c r="AC326"/>
      <c r="AD326"/>
      <c r="AE326"/>
      <c r="AF326"/>
      <c r="AG326"/>
    </row>
    <row r="327" spans="1:33">
      <c r="A327"/>
      <c r="B327"/>
      <c r="C327"/>
      <c r="D327"/>
      <c r="E327"/>
      <c r="F327"/>
      <c r="G327"/>
      <c r="H327"/>
      <c r="I327"/>
      <c r="J327"/>
      <c r="K327"/>
      <c r="L327"/>
      <c r="M327"/>
      <c r="N327"/>
      <c r="O327"/>
      <c r="P327"/>
      <c r="Q327"/>
      <c r="R327"/>
      <c r="S327"/>
      <c r="T327"/>
      <c r="U327"/>
      <c r="V327"/>
      <c r="W327"/>
      <c r="X327"/>
      <c r="Y327"/>
      <c r="Z327"/>
      <c r="AA327"/>
      <c r="AB327"/>
      <c r="AC327"/>
      <c r="AD327"/>
      <c r="AE327"/>
      <c r="AF327"/>
      <c r="AG327"/>
    </row>
    <row r="328" spans="1:33">
      <c r="A328"/>
      <c r="B328"/>
      <c r="C328"/>
      <c r="D328"/>
      <c r="E328"/>
      <c r="F328"/>
      <c r="G328"/>
      <c r="H328"/>
      <c r="I328"/>
      <c r="J328"/>
      <c r="K328"/>
      <c r="L328"/>
      <c r="M328"/>
      <c r="N328"/>
      <c r="O328"/>
      <c r="P328"/>
      <c r="Q328"/>
      <c r="R328"/>
      <c r="S328"/>
      <c r="T328"/>
      <c r="U328"/>
      <c r="V328"/>
      <c r="W328"/>
      <c r="X328"/>
      <c r="Y328"/>
      <c r="Z328"/>
      <c r="AA328"/>
      <c r="AB328"/>
      <c r="AC328"/>
      <c r="AD328"/>
      <c r="AE328"/>
      <c r="AF328"/>
      <c r="AG328"/>
    </row>
    <row r="329" spans="1:33">
      <c r="A329"/>
      <c r="B329"/>
      <c r="C329"/>
      <c r="D329"/>
      <c r="E329"/>
      <c r="F329"/>
      <c r="G329"/>
      <c r="H329"/>
      <c r="I329"/>
      <c r="J329"/>
      <c r="K329"/>
      <c r="L329"/>
      <c r="M329"/>
      <c r="N329"/>
      <c r="O329"/>
      <c r="P329"/>
      <c r="Q329"/>
      <c r="R329"/>
      <c r="S329"/>
      <c r="T329"/>
      <c r="U329"/>
      <c r="V329"/>
      <c r="W329"/>
      <c r="X329"/>
      <c r="Y329"/>
      <c r="Z329"/>
      <c r="AA329"/>
      <c r="AB329"/>
      <c r="AC329"/>
      <c r="AD329"/>
      <c r="AE329"/>
      <c r="AF329"/>
      <c r="AG329"/>
    </row>
    <row r="330" spans="1:33">
      <c r="A330"/>
      <c r="B330"/>
      <c r="C330"/>
      <c r="D330"/>
      <c r="E330"/>
      <c r="F330"/>
      <c r="G330"/>
      <c r="H330"/>
      <c r="I330"/>
      <c r="J330"/>
      <c r="K330"/>
      <c r="L330"/>
      <c r="M330"/>
      <c r="N330"/>
      <c r="O330"/>
      <c r="P330"/>
      <c r="Q330"/>
      <c r="R330"/>
      <c r="S330"/>
      <c r="T330"/>
      <c r="U330"/>
      <c r="V330"/>
      <c r="W330"/>
      <c r="X330"/>
      <c r="Y330"/>
      <c r="Z330"/>
      <c r="AA330"/>
      <c r="AB330"/>
      <c r="AC330"/>
      <c r="AD330"/>
      <c r="AE330"/>
      <c r="AF330"/>
      <c r="AG330"/>
    </row>
    <row r="331" spans="1:33">
      <c r="Q331"/>
      <c r="R331"/>
      <c r="S331"/>
      <c r="T331"/>
      <c r="U331"/>
      <c r="V331"/>
      <c r="W331"/>
      <c r="X331"/>
      <c r="Y331"/>
      <c r="Z331"/>
      <c r="AA331"/>
      <c r="AB331"/>
      <c r="AC331"/>
      <c r="AD331"/>
      <c r="AE331"/>
      <c r="AF331"/>
      <c r="AG331"/>
    </row>
    <row r="332" spans="1:33">
      <c r="Q332"/>
      <c r="R332"/>
      <c r="S332"/>
      <c r="T332"/>
      <c r="U332"/>
      <c r="V332"/>
      <c r="W332"/>
      <c r="X332"/>
      <c r="Y332"/>
      <c r="Z332"/>
      <c r="AA332"/>
      <c r="AB332"/>
      <c r="AC332"/>
      <c r="AD332"/>
      <c r="AE332"/>
      <c r="AF332"/>
      <c r="AG332"/>
    </row>
    <row r="333" spans="1:33">
      <c r="Q333"/>
      <c r="R333"/>
      <c r="S333"/>
      <c r="T333"/>
      <c r="U333"/>
      <c r="V333"/>
      <c r="W333"/>
      <c r="X333"/>
      <c r="Y333"/>
      <c r="Z333"/>
      <c r="AA333"/>
      <c r="AB333"/>
      <c r="AC333"/>
      <c r="AD333"/>
      <c r="AE333"/>
      <c r="AF333"/>
      <c r="AG333"/>
    </row>
    <row r="334" spans="1:33">
      <c r="Q334"/>
      <c r="R334"/>
      <c r="S334"/>
      <c r="T334"/>
      <c r="U334"/>
      <c r="V334"/>
      <c r="W334"/>
      <c r="X334"/>
      <c r="Y334"/>
      <c r="Z334"/>
      <c r="AA334"/>
      <c r="AB334"/>
      <c r="AC334"/>
      <c r="AD334"/>
      <c r="AE334"/>
      <c r="AF334"/>
      <c r="AG334"/>
    </row>
    <row r="335" spans="1:33">
      <c r="Q335"/>
      <c r="R335"/>
      <c r="S335"/>
      <c r="T335"/>
      <c r="U335"/>
      <c r="V335"/>
      <c r="W335"/>
      <c r="X335"/>
      <c r="Y335"/>
      <c r="Z335"/>
      <c r="AA335"/>
      <c r="AB335"/>
      <c r="AC335"/>
      <c r="AD335"/>
      <c r="AE335"/>
      <c r="AF335"/>
      <c r="AG335"/>
    </row>
    <row r="336" spans="1:33">
      <c r="Q336"/>
      <c r="R336"/>
      <c r="S336"/>
      <c r="T336"/>
      <c r="U336"/>
      <c r="V336"/>
      <c r="W336"/>
      <c r="X336"/>
      <c r="Y336"/>
      <c r="Z336"/>
      <c r="AA336"/>
      <c r="AB336"/>
      <c r="AC336"/>
      <c r="AD336"/>
      <c r="AE336"/>
      <c r="AF336"/>
      <c r="AG336"/>
    </row>
    <row r="337" spans="17:33">
      <c r="Q337"/>
      <c r="R337"/>
      <c r="S337"/>
      <c r="T337"/>
      <c r="U337"/>
      <c r="V337"/>
      <c r="W337"/>
      <c r="X337"/>
      <c r="Y337"/>
      <c r="Z337"/>
      <c r="AA337"/>
      <c r="AB337"/>
      <c r="AC337"/>
      <c r="AD337"/>
      <c r="AE337"/>
      <c r="AF337"/>
      <c r="AG337"/>
    </row>
    <row r="338" spans="17:33">
      <c r="Q338"/>
      <c r="R338"/>
      <c r="S338"/>
      <c r="T338"/>
      <c r="U338"/>
      <c r="V338"/>
      <c r="W338"/>
      <c r="X338"/>
      <c r="Y338"/>
      <c r="Z338"/>
      <c r="AA338"/>
      <c r="AB338"/>
      <c r="AC338"/>
      <c r="AD338"/>
      <c r="AE338"/>
      <c r="AF338"/>
      <c r="AG338"/>
    </row>
    <row r="339" spans="17:33">
      <c r="Q339"/>
      <c r="R339"/>
      <c r="S339"/>
      <c r="T339"/>
      <c r="U339"/>
      <c r="V339"/>
      <c r="W339"/>
      <c r="X339"/>
      <c r="Y339"/>
      <c r="Z339"/>
      <c r="AA339"/>
      <c r="AB339"/>
      <c r="AC339"/>
      <c r="AD339"/>
      <c r="AE339"/>
      <c r="AF339"/>
      <c r="AG339"/>
    </row>
    <row r="340" spans="17:33">
      <c r="Q340"/>
      <c r="R340"/>
      <c r="S340"/>
      <c r="T340"/>
      <c r="U340"/>
      <c r="V340"/>
      <c r="W340"/>
      <c r="X340"/>
      <c r="Y340"/>
      <c r="Z340"/>
      <c r="AA340"/>
      <c r="AB340"/>
      <c r="AC340"/>
      <c r="AD340"/>
      <c r="AE340"/>
      <c r="AF340"/>
      <c r="AG340"/>
    </row>
    <row r="341" spans="17:33">
      <c r="Q341"/>
      <c r="R341"/>
      <c r="S341"/>
      <c r="T341"/>
      <c r="U341"/>
      <c r="V341"/>
      <c r="W341"/>
      <c r="X341"/>
      <c r="Y341"/>
      <c r="Z341"/>
      <c r="AA341"/>
      <c r="AB341"/>
      <c r="AC341"/>
      <c r="AD341"/>
      <c r="AE341"/>
      <c r="AF341"/>
      <c r="AG341"/>
    </row>
    <row r="342" spans="17:33">
      <c r="Q342"/>
      <c r="R342"/>
      <c r="S342"/>
      <c r="T342"/>
      <c r="U342"/>
      <c r="V342"/>
      <c r="W342"/>
      <c r="X342"/>
      <c r="Y342"/>
      <c r="Z342"/>
      <c r="AA342"/>
      <c r="AB342"/>
      <c r="AC342"/>
      <c r="AD342"/>
      <c r="AE342"/>
      <c r="AF342"/>
      <c r="AG342"/>
    </row>
    <row r="343" spans="17:33">
      <c r="Q343"/>
      <c r="R343"/>
      <c r="S343"/>
      <c r="T343"/>
      <c r="U343"/>
      <c r="V343"/>
      <c r="W343"/>
      <c r="X343"/>
      <c r="Y343"/>
      <c r="Z343"/>
      <c r="AA343"/>
      <c r="AB343"/>
      <c r="AC343"/>
      <c r="AD343"/>
      <c r="AE343"/>
      <c r="AF343"/>
      <c r="AG343"/>
    </row>
    <row r="344" spans="17:33">
      <c r="Q344"/>
      <c r="R344"/>
      <c r="S344"/>
      <c r="T344"/>
      <c r="U344"/>
      <c r="V344"/>
      <c r="W344"/>
      <c r="X344"/>
      <c r="Y344"/>
      <c r="Z344"/>
      <c r="AA344"/>
      <c r="AB344"/>
      <c r="AC344"/>
      <c r="AD344"/>
      <c r="AE344"/>
      <c r="AF344"/>
      <c r="AG344"/>
    </row>
    <row r="345" spans="17:33">
      <c r="Q345"/>
      <c r="R345"/>
      <c r="S345"/>
      <c r="T345"/>
      <c r="U345"/>
      <c r="V345"/>
      <c r="W345"/>
      <c r="X345"/>
      <c r="Y345"/>
      <c r="Z345"/>
      <c r="AA345"/>
      <c r="AB345"/>
      <c r="AC345"/>
      <c r="AD345"/>
      <c r="AE345"/>
      <c r="AF345"/>
      <c r="AG345"/>
    </row>
    <row r="346" spans="17:33">
      <c r="Q346"/>
      <c r="R346"/>
      <c r="S346"/>
      <c r="T346"/>
      <c r="U346"/>
      <c r="V346"/>
      <c r="W346"/>
      <c r="X346"/>
      <c r="Y346"/>
      <c r="Z346"/>
      <c r="AA346"/>
      <c r="AB346"/>
      <c r="AC346"/>
      <c r="AD346"/>
      <c r="AE346"/>
      <c r="AF346"/>
      <c r="AG346"/>
    </row>
    <row r="347" spans="17:33">
      <c r="Q347"/>
      <c r="R347"/>
      <c r="S347"/>
      <c r="T347"/>
      <c r="U347"/>
      <c r="V347"/>
      <c r="W347"/>
      <c r="X347"/>
      <c r="Y347"/>
      <c r="Z347"/>
      <c r="AA347"/>
      <c r="AB347"/>
      <c r="AC347"/>
      <c r="AD347"/>
      <c r="AE347"/>
      <c r="AF347"/>
      <c r="AG347"/>
    </row>
    <row r="348" spans="17:33">
      <c r="Q348"/>
      <c r="R348"/>
      <c r="S348"/>
      <c r="T348"/>
      <c r="U348"/>
      <c r="V348"/>
      <c r="W348"/>
      <c r="X348"/>
      <c r="Y348"/>
      <c r="Z348"/>
      <c r="AA348"/>
      <c r="AB348"/>
      <c r="AC348"/>
      <c r="AD348"/>
      <c r="AE348"/>
      <c r="AF348"/>
      <c r="AG348"/>
    </row>
    <row r="349" spans="17:33">
      <c r="Q349"/>
      <c r="R349"/>
      <c r="S349"/>
      <c r="T349"/>
      <c r="U349"/>
      <c r="V349"/>
      <c r="W349"/>
      <c r="X349"/>
      <c r="Y349"/>
      <c r="Z349"/>
      <c r="AA349"/>
      <c r="AB349"/>
      <c r="AC349"/>
      <c r="AD349"/>
      <c r="AE349"/>
      <c r="AF349"/>
      <c r="AG349"/>
    </row>
    <row r="350" spans="17:33">
      <c r="Q350"/>
      <c r="R350"/>
      <c r="S350"/>
      <c r="T350"/>
      <c r="U350"/>
      <c r="V350"/>
      <c r="W350"/>
      <c r="X350"/>
      <c r="Y350"/>
      <c r="Z350"/>
      <c r="AA350"/>
      <c r="AB350"/>
      <c r="AC350"/>
      <c r="AD350"/>
      <c r="AE350"/>
      <c r="AF350"/>
      <c r="AG350"/>
    </row>
    <row r="351" spans="17:33">
      <c r="Q351"/>
      <c r="R351"/>
      <c r="S351"/>
      <c r="T351"/>
      <c r="U351"/>
      <c r="V351"/>
      <c r="W351"/>
      <c r="X351"/>
      <c r="Y351"/>
      <c r="Z351"/>
      <c r="AA351"/>
      <c r="AB351"/>
      <c r="AC351"/>
      <c r="AD351"/>
      <c r="AE351"/>
      <c r="AF351"/>
      <c r="AG351"/>
    </row>
    <row r="352" spans="17:33">
      <c r="Q352"/>
      <c r="R352"/>
      <c r="S352"/>
      <c r="T352"/>
      <c r="U352"/>
      <c r="V352"/>
      <c r="W352"/>
      <c r="X352"/>
      <c r="Y352"/>
      <c r="Z352"/>
      <c r="AA352"/>
      <c r="AB352"/>
      <c r="AC352"/>
      <c r="AD352"/>
      <c r="AE352"/>
      <c r="AF352"/>
      <c r="AG352"/>
    </row>
    <row r="353" spans="17:33">
      <c r="Q353"/>
      <c r="R353"/>
      <c r="S353"/>
      <c r="T353"/>
      <c r="U353"/>
      <c r="V353"/>
      <c r="W353"/>
      <c r="X353"/>
      <c r="Y353"/>
      <c r="Z353"/>
      <c r="AA353"/>
      <c r="AB353"/>
      <c r="AC353"/>
      <c r="AD353"/>
      <c r="AE353"/>
      <c r="AF353"/>
      <c r="AG353"/>
    </row>
    <row r="354" spans="17:33">
      <c r="Q354"/>
      <c r="R354"/>
      <c r="S354"/>
      <c r="T354"/>
      <c r="U354"/>
      <c r="V354"/>
      <c r="W354"/>
      <c r="X354"/>
      <c r="Y354"/>
      <c r="Z354"/>
      <c r="AA354"/>
      <c r="AB354"/>
      <c r="AC354"/>
      <c r="AD354"/>
      <c r="AE354"/>
      <c r="AF354"/>
      <c r="AG354"/>
    </row>
    <row r="355" spans="17:33">
      <c r="Q355"/>
      <c r="R355"/>
      <c r="S355"/>
      <c r="T355"/>
      <c r="U355"/>
      <c r="V355"/>
      <c r="W355"/>
      <c r="X355"/>
      <c r="Y355"/>
      <c r="Z355"/>
      <c r="AA355"/>
      <c r="AB355"/>
      <c r="AC355"/>
      <c r="AD355"/>
      <c r="AE355"/>
      <c r="AF355"/>
      <c r="AG355"/>
    </row>
    <row r="356" spans="17:33">
      <c r="Q356"/>
      <c r="R356"/>
      <c r="S356"/>
      <c r="T356"/>
      <c r="U356"/>
      <c r="V356"/>
      <c r="W356"/>
      <c r="X356"/>
      <c r="Y356"/>
      <c r="Z356"/>
      <c r="AA356"/>
      <c r="AB356"/>
      <c r="AC356"/>
      <c r="AD356"/>
      <c r="AE356"/>
      <c r="AF356"/>
      <c r="AG356"/>
    </row>
  </sheetData>
  <mergeCells count="1270">
    <mergeCell ref="P296:Q298"/>
    <mergeCell ref="R296:S298"/>
    <mergeCell ref="T296:V298"/>
    <mergeCell ref="W296:Y298"/>
    <mergeCell ref="Z296:AB298"/>
    <mergeCell ref="AC296:AD298"/>
    <mergeCell ref="P299:Q301"/>
    <mergeCell ref="R299:S301"/>
    <mergeCell ref="T299:V301"/>
    <mergeCell ref="W299:Y301"/>
    <mergeCell ref="Z299:AB301"/>
    <mergeCell ref="AC299:AD301"/>
    <mergeCell ref="P290:Q292"/>
    <mergeCell ref="R290:S292"/>
    <mergeCell ref="T290:V292"/>
    <mergeCell ref="W290:Y292"/>
    <mergeCell ref="Z290:AB292"/>
    <mergeCell ref="AC290:AD292"/>
    <mergeCell ref="P293:Q295"/>
    <mergeCell ref="R293:S295"/>
    <mergeCell ref="T293:V295"/>
    <mergeCell ref="W293:Y295"/>
    <mergeCell ref="Z293:AB295"/>
    <mergeCell ref="AC293:AD295"/>
    <mergeCell ref="P284:Q286"/>
    <mergeCell ref="R284:S286"/>
    <mergeCell ref="T284:V286"/>
    <mergeCell ref="W284:Y286"/>
    <mergeCell ref="Z284:AB286"/>
    <mergeCell ref="AC284:AD286"/>
    <mergeCell ref="P287:Q289"/>
    <mergeCell ref="R287:S289"/>
    <mergeCell ref="T287:V289"/>
    <mergeCell ref="W287:Y289"/>
    <mergeCell ref="Z287:AB289"/>
    <mergeCell ref="AC287:AD289"/>
    <mergeCell ref="P278:Q280"/>
    <mergeCell ref="R278:S280"/>
    <mergeCell ref="T278:V280"/>
    <mergeCell ref="W278:Y280"/>
    <mergeCell ref="Z278:AB280"/>
    <mergeCell ref="AC278:AD280"/>
    <mergeCell ref="P281:Q283"/>
    <mergeCell ref="R281:S283"/>
    <mergeCell ref="T281:V283"/>
    <mergeCell ref="W281:Y283"/>
    <mergeCell ref="Z281:AB283"/>
    <mergeCell ref="AC281:AD283"/>
    <mergeCell ref="P272:Q274"/>
    <mergeCell ref="R272:S274"/>
    <mergeCell ref="T272:V274"/>
    <mergeCell ref="W272:Y274"/>
    <mergeCell ref="Z272:AB274"/>
    <mergeCell ref="AC272:AD274"/>
    <mergeCell ref="P275:Q277"/>
    <mergeCell ref="R275:S277"/>
    <mergeCell ref="T275:V277"/>
    <mergeCell ref="W275:Y277"/>
    <mergeCell ref="Z275:AB277"/>
    <mergeCell ref="AC275:AD277"/>
    <mergeCell ref="P266:Q268"/>
    <mergeCell ref="R266:S268"/>
    <mergeCell ref="T266:V268"/>
    <mergeCell ref="W266:Y268"/>
    <mergeCell ref="Z266:AB268"/>
    <mergeCell ref="AC266:AD268"/>
    <mergeCell ref="P269:Q271"/>
    <mergeCell ref="R269:S271"/>
    <mergeCell ref="T269:V271"/>
    <mergeCell ref="W269:Y271"/>
    <mergeCell ref="Z269:AB271"/>
    <mergeCell ref="AC269:AD271"/>
    <mergeCell ref="P260:Q262"/>
    <mergeCell ref="R260:S262"/>
    <mergeCell ref="T260:V262"/>
    <mergeCell ref="W260:Y262"/>
    <mergeCell ref="Z260:AB262"/>
    <mergeCell ref="AC260:AD262"/>
    <mergeCell ref="P263:Q265"/>
    <mergeCell ref="R263:S265"/>
    <mergeCell ref="T263:V265"/>
    <mergeCell ref="W263:Y265"/>
    <mergeCell ref="Z263:AB265"/>
    <mergeCell ref="AC263:AD265"/>
    <mergeCell ref="P254:Q256"/>
    <mergeCell ref="R254:S256"/>
    <mergeCell ref="T254:V256"/>
    <mergeCell ref="W254:Y256"/>
    <mergeCell ref="Z254:AB256"/>
    <mergeCell ref="AC254:AD256"/>
    <mergeCell ref="P257:Q259"/>
    <mergeCell ref="R257:S259"/>
    <mergeCell ref="T257:V259"/>
    <mergeCell ref="W257:Y259"/>
    <mergeCell ref="Z257:AB259"/>
    <mergeCell ref="AC257:AD259"/>
    <mergeCell ref="P248:Q250"/>
    <mergeCell ref="R248:S250"/>
    <mergeCell ref="T248:V250"/>
    <mergeCell ref="W248:Y250"/>
    <mergeCell ref="Z248:AB250"/>
    <mergeCell ref="AC248:AD250"/>
    <mergeCell ref="P251:Q253"/>
    <mergeCell ref="R251:S253"/>
    <mergeCell ref="T251:V253"/>
    <mergeCell ref="W251:Y253"/>
    <mergeCell ref="Z251:AB253"/>
    <mergeCell ref="AC251:AD253"/>
    <mergeCell ref="P242:Q244"/>
    <mergeCell ref="R242:S244"/>
    <mergeCell ref="T242:V244"/>
    <mergeCell ref="W242:Y244"/>
    <mergeCell ref="Z242:AB244"/>
    <mergeCell ref="AC242:AD244"/>
    <mergeCell ref="P245:Q247"/>
    <mergeCell ref="R245:S247"/>
    <mergeCell ref="T245:V247"/>
    <mergeCell ref="W245:Y247"/>
    <mergeCell ref="Z245:AB247"/>
    <mergeCell ref="AC245:AD247"/>
    <mergeCell ref="P236:Q238"/>
    <mergeCell ref="R236:S238"/>
    <mergeCell ref="T236:V238"/>
    <mergeCell ref="W236:Y238"/>
    <mergeCell ref="Z236:AB238"/>
    <mergeCell ref="AC236:AD238"/>
    <mergeCell ref="P239:Q241"/>
    <mergeCell ref="R239:S241"/>
    <mergeCell ref="T239:V241"/>
    <mergeCell ref="W239:Y241"/>
    <mergeCell ref="Z239:AB241"/>
    <mergeCell ref="AC239:AD241"/>
    <mergeCell ref="P230:Q232"/>
    <mergeCell ref="R230:S232"/>
    <mergeCell ref="T230:V232"/>
    <mergeCell ref="W230:Y232"/>
    <mergeCell ref="Z230:AB232"/>
    <mergeCell ref="AC230:AD232"/>
    <mergeCell ref="P233:Q235"/>
    <mergeCell ref="R233:S235"/>
    <mergeCell ref="T233:V235"/>
    <mergeCell ref="W233:Y235"/>
    <mergeCell ref="Z233:AB235"/>
    <mergeCell ref="AC233:AD235"/>
    <mergeCell ref="P224:Q226"/>
    <mergeCell ref="R224:S226"/>
    <mergeCell ref="T224:V226"/>
    <mergeCell ref="W224:Y226"/>
    <mergeCell ref="Z224:AB226"/>
    <mergeCell ref="AC224:AD226"/>
    <mergeCell ref="P227:Q229"/>
    <mergeCell ref="R227:S229"/>
    <mergeCell ref="T227:V229"/>
    <mergeCell ref="W227:Y229"/>
    <mergeCell ref="Z227:AB229"/>
    <mergeCell ref="AC227:AD229"/>
    <mergeCell ref="P218:Q220"/>
    <mergeCell ref="R218:S220"/>
    <mergeCell ref="T218:V220"/>
    <mergeCell ref="W218:Y220"/>
    <mergeCell ref="Z218:AB220"/>
    <mergeCell ref="AC218:AD220"/>
    <mergeCell ref="P221:Q223"/>
    <mergeCell ref="R221:S223"/>
    <mergeCell ref="T221:V223"/>
    <mergeCell ref="W221:Y223"/>
    <mergeCell ref="Z221:AB223"/>
    <mergeCell ref="AC221:AD223"/>
    <mergeCell ref="P212:Q214"/>
    <mergeCell ref="R212:S214"/>
    <mergeCell ref="T212:V214"/>
    <mergeCell ref="W212:Y214"/>
    <mergeCell ref="Z212:AB214"/>
    <mergeCell ref="AC212:AD214"/>
    <mergeCell ref="P215:Q217"/>
    <mergeCell ref="R215:S217"/>
    <mergeCell ref="T215:V217"/>
    <mergeCell ref="W215:Y217"/>
    <mergeCell ref="Z215:AB217"/>
    <mergeCell ref="AC215:AD217"/>
    <mergeCell ref="P206:Q208"/>
    <mergeCell ref="R206:S208"/>
    <mergeCell ref="T206:V208"/>
    <mergeCell ref="W206:Y208"/>
    <mergeCell ref="Z206:AB208"/>
    <mergeCell ref="AC206:AD208"/>
    <mergeCell ref="P209:Q211"/>
    <mergeCell ref="R209:S211"/>
    <mergeCell ref="T209:V211"/>
    <mergeCell ref="W209:Y211"/>
    <mergeCell ref="Z209:AB211"/>
    <mergeCell ref="AC209:AD211"/>
    <mergeCell ref="P200:Q202"/>
    <mergeCell ref="R200:S202"/>
    <mergeCell ref="T200:V202"/>
    <mergeCell ref="W200:Y202"/>
    <mergeCell ref="Z200:AB202"/>
    <mergeCell ref="AC200:AD202"/>
    <mergeCell ref="P203:Q205"/>
    <mergeCell ref="R203:S205"/>
    <mergeCell ref="T203:V205"/>
    <mergeCell ref="W203:Y205"/>
    <mergeCell ref="Z203:AB205"/>
    <mergeCell ref="AC203:AD205"/>
    <mergeCell ref="P194:Q196"/>
    <mergeCell ref="R194:S196"/>
    <mergeCell ref="T194:V196"/>
    <mergeCell ref="W194:Y196"/>
    <mergeCell ref="Z194:AB196"/>
    <mergeCell ref="AC194:AD196"/>
    <mergeCell ref="P197:Q199"/>
    <mergeCell ref="R197:S199"/>
    <mergeCell ref="T197:V199"/>
    <mergeCell ref="W197:Y199"/>
    <mergeCell ref="Z197:AB199"/>
    <mergeCell ref="AC197:AD199"/>
    <mergeCell ref="AC188:AD190"/>
    <mergeCell ref="P191:Q193"/>
    <mergeCell ref="R191:S193"/>
    <mergeCell ref="T191:V193"/>
    <mergeCell ref="W191:Y193"/>
    <mergeCell ref="Z191:AB193"/>
    <mergeCell ref="AC191:AD193"/>
    <mergeCell ref="P182:Q184"/>
    <mergeCell ref="R182:S184"/>
    <mergeCell ref="T182:V184"/>
    <mergeCell ref="W182:Y184"/>
    <mergeCell ref="Z182:AB184"/>
    <mergeCell ref="AC182:AD184"/>
    <mergeCell ref="P185:Q187"/>
    <mergeCell ref="R185:S187"/>
    <mergeCell ref="T185:V187"/>
    <mergeCell ref="W185:Y187"/>
    <mergeCell ref="Z185:AB187"/>
    <mergeCell ref="AC185:AD187"/>
    <mergeCell ref="AC176:AD178"/>
    <mergeCell ref="P179:Q181"/>
    <mergeCell ref="R179:S181"/>
    <mergeCell ref="T179:V181"/>
    <mergeCell ref="W179:Y181"/>
    <mergeCell ref="Z179:AB181"/>
    <mergeCell ref="AC179:AD181"/>
    <mergeCell ref="A296:B298"/>
    <mergeCell ref="C296:D298"/>
    <mergeCell ref="E296:G298"/>
    <mergeCell ref="H296:J298"/>
    <mergeCell ref="K296:M298"/>
    <mergeCell ref="N296:O298"/>
    <mergeCell ref="A284:B286"/>
    <mergeCell ref="C284:D286"/>
    <mergeCell ref="E284:G286"/>
    <mergeCell ref="H284:J286"/>
    <mergeCell ref="K284:M286"/>
    <mergeCell ref="N284:O286"/>
    <mergeCell ref="A287:B289"/>
    <mergeCell ref="C287:D289"/>
    <mergeCell ref="E287:G289"/>
    <mergeCell ref="H287:J289"/>
    <mergeCell ref="K287:M289"/>
    <mergeCell ref="N287:O289"/>
    <mergeCell ref="A278:B280"/>
    <mergeCell ref="C278:D280"/>
    <mergeCell ref="P188:Q190"/>
    <mergeCell ref="R188:S190"/>
    <mergeCell ref="T188:V190"/>
    <mergeCell ref="W188:Y190"/>
    <mergeCell ref="Z188:AB190"/>
    <mergeCell ref="A299:B301"/>
    <mergeCell ref="C299:D301"/>
    <mergeCell ref="E299:G301"/>
    <mergeCell ref="H299:J301"/>
    <mergeCell ref="K299:M301"/>
    <mergeCell ref="N299:O301"/>
    <mergeCell ref="A290:B292"/>
    <mergeCell ref="C290:D292"/>
    <mergeCell ref="E290:G292"/>
    <mergeCell ref="H290:J292"/>
    <mergeCell ref="K290:M292"/>
    <mergeCell ref="N290:O292"/>
    <mergeCell ref="A293:B295"/>
    <mergeCell ref="C293:D295"/>
    <mergeCell ref="E293:G295"/>
    <mergeCell ref="H293:J295"/>
    <mergeCell ref="K293:M295"/>
    <mergeCell ref="N293:O295"/>
    <mergeCell ref="E278:G280"/>
    <mergeCell ref="H278:J280"/>
    <mergeCell ref="K278:M280"/>
    <mergeCell ref="N278:O280"/>
    <mergeCell ref="A281:B283"/>
    <mergeCell ref="C281:D283"/>
    <mergeCell ref="E281:G283"/>
    <mergeCell ref="H281:J283"/>
    <mergeCell ref="K281:M283"/>
    <mergeCell ref="N281:O283"/>
    <mergeCell ref="A272:B274"/>
    <mergeCell ref="C272:D274"/>
    <mergeCell ref="E272:G274"/>
    <mergeCell ref="H272:J274"/>
    <mergeCell ref="K272:M274"/>
    <mergeCell ref="N272:O274"/>
    <mergeCell ref="A275:B277"/>
    <mergeCell ref="C275:D277"/>
    <mergeCell ref="E275:G277"/>
    <mergeCell ref="H275:J277"/>
    <mergeCell ref="K275:M277"/>
    <mergeCell ref="N275:O277"/>
    <mergeCell ref="A266:B268"/>
    <mergeCell ref="C266:D268"/>
    <mergeCell ref="E266:G268"/>
    <mergeCell ref="H266:J268"/>
    <mergeCell ref="K266:M268"/>
    <mergeCell ref="N266:O268"/>
    <mergeCell ref="A269:B271"/>
    <mergeCell ref="C269:D271"/>
    <mergeCell ref="E269:G271"/>
    <mergeCell ref="H269:J271"/>
    <mergeCell ref="K269:M271"/>
    <mergeCell ref="N269:O271"/>
    <mergeCell ref="A260:B262"/>
    <mergeCell ref="C260:D262"/>
    <mergeCell ref="E260:G262"/>
    <mergeCell ref="H260:J262"/>
    <mergeCell ref="K260:M262"/>
    <mergeCell ref="N260:O262"/>
    <mergeCell ref="A263:B265"/>
    <mergeCell ref="C263:D265"/>
    <mergeCell ref="E263:G265"/>
    <mergeCell ref="H263:J265"/>
    <mergeCell ref="K263:M265"/>
    <mergeCell ref="N263:O265"/>
    <mergeCell ref="A254:B256"/>
    <mergeCell ref="C254:D256"/>
    <mergeCell ref="E254:G256"/>
    <mergeCell ref="H254:J256"/>
    <mergeCell ref="K254:M256"/>
    <mergeCell ref="N254:O256"/>
    <mergeCell ref="A257:B259"/>
    <mergeCell ref="C257:D259"/>
    <mergeCell ref="E257:G259"/>
    <mergeCell ref="H257:J259"/>
    <mergeCell ref="K257:M259"/>
    <mergeCell ref="N257:O259"/>
    <mergeCell ref="A248:B250"/>
    <mergeCell ref="C248:D250"/>
    <mergeCell ref="E248:G250"/>
    <mergeCell ref="H248:J250"/>
    <mergeCell ref="K248:M250"/>
    <mergeCell ref="N248:O250"/>
    <mergeCell ref="A251:B253"/>
    <mergeCell ref="C251:D253"/>
    <mergeCell ref="E251:G253"/>
    <mergeCell ref="H251:J253"/>
    <mergeCell ref="K251:M253"/>
    <mergeCell ref="N251:O253"/>
    <mergeCell ref="A242:B244"/>
    <mergeCell ref="C242:D244"/>
    <mergeCell ref="E242:G244"/>
    <mergeCell ref="H242:J244"/>
    <mergeCell ref="K242:M244"/>
    <mergeCell ref="N242:O244"/>
    <mergeCell ref="A245:B247"/>
    <mergeCell ref="C245:D247"/>
    <mergeCell ref="E245:G247"/>
    <mergeCell ref="H245:J247"/>
    <mergeCell ref="K245:M247"/>
    <mergeCell ref="N245:O247"/>
    <mergeCell ref="A236:B238"/>
    <mergeCell ref="C236:D238"/>
    <mergeCell ref="E236:G238"/>
    <mergeCell ref="H236:J238"/>
    <mergeCell ref="K236:M238"/>
    <mergeCell ref="N236:O238"/>
    <mergeCell ref="A239:B241"/>
    <mergeCell ref="C239:D241"/>
    <mergeCell ref="E239:G241"/>
    <mergeCell ref="H239:J241"/>
    <mergeCell ref="K239:M241"/>
    <mergeCell ref="N239:O241"/>
    <mergeCell ref="A230:B232"/>
    <mergeCell ref="C230:D232"/>
    <mergeCell ref="E230:G232"/>
    <mergeCell ref="H230:J232"/>
    <mergeCell ref="K230:M232"/>
    <mergeCell ref="N230:O232"/>
    <mergeCell ref="A233:B235"/>
    <mergeCell ref="C233:D235"/>
    <mergeCell ref="E233:G235"/>
    <mergeCell ref="H233:J235"/>
    <mergeCell ref="K233:M235"/>
    <mergeCell ref="N233:O235"/>
    <mergeCell ref="A224:B226"/>
    <mergeCell ref="C224:D226"/>
    <mergeCell ref="E224:G226"/>
    <mergeCell ref="H224:J226"/>
    <mergeCell ref="K224:M226"/>
    <mergeCell ref="N224:O226"/>
    <mergeCell ref="A227:B229"/>
    <mergeCell ref="C227:D229"/>
    <mergeCell ref="E227:G229"/>
    <mergeCell ref="H227:J229"/>
    <mergeCell ref="K227:M229"/>
    <mergeCell ref="N227:O229"/>
    <mergeCell ref="A218:B220"/>
    <mergeCell ref="C218:D220"/>
    <mergeCell ref="E218:G220"/>
    <mergeCell ref="H218:J220"/>
    <mergeCell ref="K218:M220"/>
    <mergeCell ref="N218:O220"/>
    <mergeCell ref="A221:B223"/>
    <mergeCell ref="C221:D223"/>
    <mergeCell ref="E221:G223"/>
    <mergeCell ref="H221:J223"/>
    <mergeCell ref="K221:M223"/>
    <mergeCell ref="N221:O223"/>
    <mergeCell ref="A212:B214"/>
    <mergeCell ref="C212:D214"/>
    <mergeCell ref="E212:G214"/>
    <mergeCell ref="H212:J214"/>
    <mergeCell ref="K212:M214"/>
    <mergeCell ref="N212:O214"/>
    <mergeCell ref="A215:B217"/>
    <mergeCell ref="C215:D217"/>
    <mergeCell ref="E215:G217"/>
    <mergeCell ref="H215:J217"/>
    <mergeCell ref="K215:M217"/>
    <mergeCell ref="N215:O217"/>
    <mergeCell ref="A206:B208"/>
    <mergeCell ref="C206:D208"/>
    <mergeCell ref="E206:G208"/>
    <mergeCell ref="H206:J208"/>
    <mergeCell ref="K206:M208"/>
    <mergeCell ref="N206:O208"/>
    <mergeCell ref="A209:B211"/>
    <mergeCell ref="C209:D211"/>
    <mergeCell ref="E209:G211"/>
    <mergeCell ref="H209:J211"/>
    <mergeCell ref="K209:M211"/>
    <mergeCell ref="N209:O211"/>
    <mergeCell ref="A200:B202"/>
    <mergeCell ref="C200:D202"/>
    <mergeCell ref="E200:G202"/>
    <mergeCell ref="H200:J202"/>
    <mergeCell ref="K200:M202"/>
    <mergeCell ref="N200:O202"/>
    <mergeCell ref="A203:B205"/>
    <mergeCell ref="C203:D205"/>
    <mergeCell ref="E203:G205"/>
    <mergeCell ref="H203:J205"/>
    <mergeCell ref="K203:M205"/>
    <mergeCell ref="N203:O205"/>
    <mergeCell ref="A194:B196"/>
    <mergeCell ref="C194:D196"/>
    <mergeCell ref="E194:G196"/>
    <mergeCell ref="H194:J196"/>
    <mergeCell ref="K194:M196"/>
    <mergeCell ref="N194:O196"/>
    <mergeCell ref="A197:B199"/>
    <mergeCell ref="C197:D199"/>
    <mergeCell ref="E197:G199"/>
    <mergeCell ref="H197:J199"/>
    <mergeCell ref="K197:M199"/>
    <mergeCell ref="N197:O199"/>
    <mergeCell ref="A188:B190"/>
    <mergeCell ref="C188:D190"/>
    <mergeCell ref="E188:G190"/>
    <mergeCell ref="H188:J190"/>
    <mergeCell ref="K188:M190"/>
    <mergeCell ref="N188:O190"/>
    <mergeCell ref="A191:B193"/>
    <mergeCell ref="C191:D193"/>
    <mergeCell ref="E191:G193"/>
    <mergeCell ref="H191:J193"/>
    <mergeCell ref="K191:M193"/>
    <mergeCell ref="N191:O193"/>
    <mergeCell ref="Z52:AB54"/>
    <mergeCell ref="Z36:AB38"/>
    <mergeCell ref="A182:B184"/>
    <mergeCell ref="C182:D184"/>
    <mergeCell ref="E182:G184"/>
    <mergeCell ref="H182:J184"/>
    <mergeCell ref="K182:M184"/>
    <mergeCell ref="N182:O184"/>
    <mergeCell ref="A185:B187"/>
    <mergeCell ref="C185:D187"/>
    <mergeCell ref="E185:G187"/>
    <mergeCell ref="H185:J187"/>
    <mergeCell ref="K185:M187"/>
    <mergeCell ref="N185:O187"/>
    <mergeCell ref="A176:B178"/>
    <mergeCell ref="C176:D178"/>
    <mergeCell ref="E176:G178"/>
    <mergeCell ref="H176:J178"/>
    <mergeCell ref="K176:M178"/>
    <mergeCell ref="N176:O178"/>
    <mergeCell ref="A179:B181"/>
    <mergeCell ref="C179:D181"/>
    <mergeCell ref="E179:G181"/>
    <mergeCell ref="H179:J181"/>
    <mergeCell ref="K179:M181"/>
    <mergeCell ref="N179:O181"/>
    <mergeCell ref="P176:Q178"/>
    <mergeCell ref="R176:S178"/>
    <mergeCell ref="T176:V178"/>
    <mergeCell ref="W176:Y178"/>
    <mergeCell ref="Z176:AB178"/>
    <mergeCell ref="Z158:AB160"/>
    <mergeCell ref="AC158:AD160"/>
    <mergeCell ref="W152:Y154"/>
    <mergeCell ref="Z152:AB154"/>
    <mergeCell ref="AC152:AD154"/>
    <mergeCell ref="W149:Y151"/>
    <mergeCell ref="Z149:AB151"/>
    <mergeCell ref="AC149:AD151"/>
    <mergeCell ref="X48:Y50"/>
    <mergeCell ref="X52:Y54"/>
    <mergeCell ref="AC12:AD14"/>
    <mergeCell ref="AC16:AD18"/>
    <mergeCell ref="AC20:AD22"/>
    <mergeCell ref="AC24:AD26"/>
    <mergeCell ref="AC28:AD30"/>
    <mergeCell ref="AC32:AD34"/>
    <mergeCell ref="AC36:AD38"/>
    <mergeCell ref="AC40:AD42"/>
    <mergeCell ref="AC44:AD46"/>
    <mergeCell ref="AC48:AD50"/>
    <mergeCell ref="AC52:AD54"/>
    <mergeCell ref="X43:Y43"/>
    <mergeCell ref="Z39:AB39"/>
    <mergeCell ref="AC39:AD39"/>
    <mergeCell ref="Z40:AB42"/>
    <mergeCell ref="X39:Y39"/>
    <mergeCell ref="Z43:AB43"/>
    <mergeCell ref="AC43:AD43"/>
    <mergeCell ref="Z44:AB46"/>
    <mergeCell ref="Z48:AB50"/>
    <mergeCell ref="Z51:AB51"/>
    <mergeCell ref="AC51:AD51"/>
    <mergeCell ref="W83:Y85"/>
    <mergeCell ref="T143:V145"/>
    <mergeCell ref="P173:Q175"/>
    <mergeCell ref="R173:S175"/>
    <mergeCell ref="T173:V175"/>
    <mergeCell ref="W173:Y175"/>
    <mergeCell ref="Z173:AB175"/>
    <mergeCell ref="AC173:AD175"/>
    <mergeCell ref="P167:Q169"/>
    <mergeCell ref="R167:S169"/>
    <mergeCell ref="T167:V169"/>
    <mergeCell ref="W167:Y169"/>
    <mergeCell ref="Z167:AB169"/>
    <mergeCell ref="P161:Q163"/>
    <mergeCell ref="R161:S163"/>
    <mergeCell ref="T161:V163"/>
    <mergeCell ref="W161:Y163"/>
    <mergeCell ref="Z161:AB163"/>
    <mergeCell ref="AC161:AD163"/>
    <mergeCell ref="W164:Y166"/>
    <mergeCell ref="Z164:AB166"/>
    <mergeCell ref="AC164:AD166"/>
    <mergeCell ref="AC167:AD169"/>
    <mergeCell ref="W170:Y172"/>
    <mergeCell ref="Z170:AB172"/>
    <mergeCell ref="AC170:AD172"/>
    <mergeCell ref="P170:Q172"/>
    <mergeCell ref="R170:S172"/>
    <mergeCell ref="T170:V172"/>
    <mergeCell ref="W155:Y157"/>
    <mergeCell ref="Z155:AB157"/>
    <mergeCell ref="AC155:AD157"/>
    <mergeCell ref="W158:Y160"/>
    <mergeCell ref="A164:B166"/>
    <mergeCell ref="C164:D166"/>
    <mergeCell ref="E164:G166"/>
    <mergeCell ref="H164:J166"/>
    <mergeCell ref="K164:M166"/>
    <mergeCell ref="N164:O166"/>
    <mergeCell ref="P164:Q166"/>
    <mergeCell ref="R164:S166"/>
    <mergeCell ref="T164:V166"/>
    <mergeCell ref="A161:B163"/>
    <mergeCell ref="C161:D163"/>
    <mergeCell ref="E161:G163"/>
    <mergeCell ref="H161:J163"/>
    <mergeCell ref="K161:M163"/>
    <mergeCell ref="N161:O163"/>
    <mergeCell ref="P155:Q157"/>
    <mergeCell ref="R155:S157"/>
    <mergeCell ref="T155:V157"/>
    <mergeCell ref="A158:B160"/>
    <mergeCell ref="C158:D160"/>
    <mergeCell ref="E158:G160"/>
    <mergeCell ref="H158:J160"/>
    <mergeCell ref="K158:M160"/>
    <mergeCell ref="N158:O160"/>
    <mergeCell ref="P158:Q160"/>
    <mergeCell ref="R158:S160"/>
    <mergeCell ref="T158:V160"/>
    <mergeCell ref="A155:B157"/>
    <mergeCell ref="C155:D157"/>
    <mergeCell ref="E155:G157"/>
    <mergeCell ref="H155:J157"/>
    <mergeCell ref="K155:M157"/>
    <mergeCell ref="N155:O157"/>
    <mergeCell ref="A152:B154"/>
    <mergeCell ref="C152:D154"/>
    <mergeCell ref="E152:G154"/>
    <mergeCell ref="H152:J154"/>
    <mergeCell ref="K152:M154"/>
    <mergeCell ref="N152:O154"/>
    <mergeCell ref="P152:Q154"/>
    <mergeCell ref="R152:S154"/>
    <mergeCell ref="T152:V154"/>
    <mergeCell ref="E149:G151"/>
    <mergeCell ref="H149:J151"/>
    <mergeCell ref="K149:M151"/>
    <mergeCell ref="N149:O151"/>
    <mergeCell ref="W143:Y145"/>
    <mergeCell ref="Z143:AB145"/>
    <mergeCell ref="AC143:AD145"/>
    <mergeCell ref="A146:B148"/>
    <mergeCell ref="C146:D148"/>
    <mergeCell ref="E146:G148"/>
    <mergeCell ref="H146:J148"/>
    <mergeCell ref="K146:M148"/>
    <mergeCell ref="N146:O148"/>
    <mergeCell ref="P146:Q148"/>
    <mergeCell ref="R146:S148"/>
    <mergeCell ref="T146:V148"/>
    <mergeCell ref="W146:Y148"/>
    <mergeCell ref="Z146:AB148"/>
    <mergeCell ref="AC146:AD148"/>
    <mergeCell ref="P149:Q151"/>
    <mergeCell ref="R149:S151"/>
    <mergeCell ref="T149:V151"/>
    <mergeCell ref="A173:B175"/>
    <mergeCell ref="C173:D175"/>
    <mergeCell ref="E173:G175"/>
    <mergeCell ref="H173:J175"/>
    <mergeCell ref="K173:M175"/>
    <mergeCell ref="N173:O175"/>
    <mergeCell ref="A170:B172"/>
    <mergeCell ref="C170:D172"/>
    <mergeCell ref="N170:O172"/>
    <mergeCell ref="E170:G172"/>
    <mergeCell ref="H170:J172"/>
    <mergeCell ref="K170:M172"/>
    <mergeCell ref="A31:C31"/>
    <mergeCell ref="D31:E31"/>
    <mergeCell ref="P31:R31"/>
    <mergeCell ref="S31:T31"/>
    <mergeCell ref="F31:H31"/>
    <mergeCell ref="I31:J31"/>
    <mergeCell ref="N32:O34"/>
    <mergeCell ref="A167:B169"/>
    <mergeCell ref="C167:D169"/>
    <mergeCell ref="E167:G169"/>
    <mergeCell ref="H167:J169"/>
    <mergeCell ref="K167:M169"/>
    <mergeCell ref="N167:O169"/>
    <mergeCell ref="A137:B139"/>
    <mergeCell ref="C137:D139"/>
    <mergeCell ref="E137:G139"/>
    <mergeCell ref="H137:J139"/>
    <mergeCell ref="K137:M139"/>
    <mergeCell ref="N137:O139"/>
    <mergeCell ref="P137:Q139"/>
    <mergeCell ref="A149:B151"/>
    <mergeCell ref="C149:D151"/>
    <mergeCell ref="X51:Y51"/>
    <mergeCell ref="U44:W46"/>
    <mergeCell ref="D39:E39"/>
    <mergeCell ref="F39:H39"/>
    <mergeCell ref="I39:J39"/>
    <mergeCell ref="K39:M39"/>
    <mergeCell ref="A27:C27"/>
    <mergeCell ref="D27:E27"/>
    <mergeCell ref="S27:T27"/>
    <mergeCell ref="P28:R30"/>
    <mergeCell ref="X28:Y30"/>
    <mergeCell ref="X32:Y34"/>
    <mergeCell ref="X36:Y38"/>
    <mergeCell ref="A28:C30"/>
    <mergeCell ref="D28:E30"/>
    <mergeCell ref="P40:R42"/>
    <mergeCell ref="S40:T42"/>
    <mergeCell ref="N47:O47"/>
    <mergeCell ref="K48:M50"/>
    <mergeCell ref="A35:C35"/>
    <mergeCell ref="D35:E35"/>
    <mergeCell ref="A40:C42"/>
    <mergeCell ref="D40:E42"/>
    <mergeCell ref="A43:C43"/>
    <mergeCell ref="N35:O35"/>
    <mergeCell ref="F35:H35"/>
    <mergeCell ref="I35:J35"/>
    <mergeCell ref="P36:R38"/>
    <mergeCell ref="P143:Q145"/>
    <mergeCell ref="R143:S145"/>
    <mergeCell ref="A1:AD3"/>
    <mergeCell ref="Z47:AB47"/>
    <mergeCell ref="AC47:AD47"/>
    <mergeCell ref="A24:C26"/>
    <mergeCell ref="AC8:AD10"/>
    <mergeCell ref="X12:Y14"/>
    <mergeCell ref="X16:Y18"/>
    <mergeCell ref="X20:Y22"/>
    <mergeCell ref="X24:Y26"/>
    <mergeCell ref="AC23:AD23"/>
    <mergeCell ref="Z12:AB14"/>
    <mergeCell ref="Z15:AB15"/>
    <mergeCell ref="AC15:AD15"/>
    <mergeCell ref="Z16:AB18"/>
    <mergeCell ref="Z31:AB31"/>
    <mergeCell ref="AC31:AD31"/>
    <mergeCell ref="Z32:AB34"/>
    <mergeCell ref="X8:Y10"/>
    <mergeCell ref="N12:O14"/>
    <mergeCell ref="Z35:AB35"/>
    <mergeCell ref="AC35:AD35"/>
    <mergeCell ref="Z24:AB26"/>
    <mergeCell ref="Z27:AB27"/>
    <mergeCell ref="AC27:AD27"/>
    <mergeCell ref="F47:H47"/>
    <mergeCell ref="K44:M46"/>
    <mergeCell ref="P47:R47"/>
    <mergeCell ref="S47:T47"/>
    <mergeCell ref="I40:J42"/>
    <mergeCell ref="K40:M42"/>
    <mergeCell ref="N40:O42"/>
    <mergeCell ref="K35:M35"/>
    <mergeCell ref="A44:C46"/>
    <mergeCell ref="D44:E46"/>
    <mergeCell ref="F44:H46"/>
    <mergeCell ref="I44:J46"/>
    <mergeCell ref="N44:O46"/>
    <mergeCell ref="P44:R46"/>
    <mergeCell ref="S44:T46"/>
    <mergeCell ref="Z28:AB30"/>
    <mergeCell ref="X11:Y11"/>
    <mergeCell ref="X40:Y42"/>
    <mergeCell ref="X44:Y46"/>
    <mergeCell ref="I32:J34"/>
    <mergeCell ref="F28:H30"/>
    <mergeCell ref="I28:J30"/>
    <mergeCell ref="S28:T30"/>
    <mergeCell ref="U43:W43"/>
    <mergeCell ref="U40:W42"/>
    <mergeCell ref="P32:R34"/>
    <mergeCell ref="S32:T34"/>
    <mergeCell ref="A32:C34"/>
    <mergeCell ref="D32:E34"/>
    <mergeCell ref="K27:M27"/>
    <mergeCell ref="N27:O27"/>
    <mergeCell ref="K28:M30"/>
    <mergeCell ref="D43:E43"/>
    <mergeCell ref="F43:H43"/>
    <mergeCell ref="I43:J43"/>
    <mergeCell ref="K43:M43"/>
    <mergeCell ref="N43:O43"/>
    <mergeCell ref="P43:R43"/>
    <mergeCell ref="S43:T43"/>
    <mergeCell ref="N28:O30"/>
    <mergeCell ref="K31:M31"/>
    <mergeCell ref="N31:O31"/>
    <mergeCell ref="K32:M34"/>
    <mergeCell ref="S39:T39"/>
    <mergeCell ref="P35:R35"/>
    <mergeCell ref="S35:T35"/>
    <mergeCell ref="F36:H38"/>
    <mergeCell ref="I36:J38"/>
    <mergeCell ref="K36:M38"/>
    <mergeCell ref="N36:O38"/>
    <mergeCell ref="F32:H34"/>
    <mergeCell ref="D36:E38"/>
    <mergeCell ref="U28:W30"/>
    <mergeCell ref="U39:W39"/>
    <mergeCell ref="A36:C38"/>
    <mergeCell ref="A39:C39"/>
    <mergeCell ref="N39:O39"/>
    <mergeCell ref="P39:R39"/>
    <mergeCell ref="S36:T38"/>
    <mergeCell ref="F40:H42"/>
    <mergeCell ref="D7:E7"/>
    <mergeCell ref="D8:E10"/>
    <mergeCell ref="I7:J7"/>
    <mergeCell ref="I8:J10"/>
    <mergeCell ref="I11:J11"/>
    <mergeCell ref="A11:C11"/>
    <mergeCell ref="D11:E11"/>
    <mergeCell ref="F7:H7"/>
    <mergeCell ref="F8:H10"/>
    <mergeCell ref="F11:H11"/>
    <mergeCell ref="K12:M14"/>
    <mergeCell ref="N7:O7"/>
    <mergeCell ref="K8:M10"/>
    <mergeCell ref="N8:O10"/>
    <mergeCell ref="U8:W10"/>
    <mergeCell ref="K11:M11"/>
    <mergeCell ref="P8:R10"/>
    <mergeCell ref="A8:C10"/>
    <mergeCell ref="P11:R11"/>
    <mergeCell ref="F27:H27"/>
    <mergeCell ref="I27:J27"/>
    <mergeCell ref="F24:H26"/>
    <mergeCell ref="I24:J26"/>
    <mergeCell ref="S8:T10"/>
    <mergeCell ref="D20:E22"/>
    <mergeCell ref="F19:H19"/>
    <mergeCell ref="I19:J19"/>
    <mergeCell ref="F20:H22"/>
    <mergeCell ref="K19:M19"/>
    <mergeCell ref="N19:O19"/>
    <mergeCell ref="N20:O22"/>
    <mergeCell ref="K20:M22"/>
    <mergeCell ref="S19:T19"/>
    <mergeCell ref="P20:R22"/>
    <mergeCell ref="S20:T22"/>
    <mergeCell ref="S15:T15"/>
    <mergeCell ref="P16:R18"/>
    <mergeCell ref="S16:T18"/>
    <mergeCell ref="P19:R19"/>
    <mergeCell ref="S11:T11"/>
    <mergeCell ref="N11:O11"/>
    <mergeCell ref="K24:M26"/>
    <mergeCell ref="N24:O26"/>
    <mergeCell ref="I12:J14"/>
    <mergeCell ref="F15:H15"/>
    <mergeCell ref="I15:J15"/>
    <mergeCell ref="P15:R15"/>
    <mergeCell ref="P12:R14"/>
    <mergeCell ref="K15:M15"/>
    <mergeCell ref="N15:O15"/>
    <mergeCell ref="P23:R23"/>
    <mergeCell ref="F48:H50"/>
    <mergeCell ref="I48:J50"/>
    <mergeCell ref="A51:C51"/>
    <mergeCell ref="D51:E51"/>
    <mergeCell ref="A60:B61"/>
    <mergeCell ref="C60:D61"/>
    <mergeCell ref="N60:O61"/>
    <mergeCell ref="K60:M61"/>
    <mergeCell ref="E60:G61"/>
    <mergeCell ref="H60:J61"/>
    <mergeCell ref="F51:H51"/>
    <mergeCell ref="I51:J51"/>
    <mergeCell ref="K51:M51"/>
    <mergeCell ref="N51:O51"/>
    <mergeCell ref="AC83:AD85"/>
    <mergeCell ref="AC86:AD88"/>
    <mergeCell ref="U47:W47"/>
    <mergeCell ref="AC65:AD67"/>
    <mergeCell ref="W65:Y67"/>
    <mergeCell ref="X47:Y47"/>
    <mergeCell ref="U51:W51"/>
    <mergeCell ref="Z68:AB70"/>
    <mergeCell ref="AC68:AD70"/>
    <mergeCell ref="W60:Y61"/>
    <mergeCell ref="Z60:AB61"/>
    <mergeCell ref="AC60:AD61"/>
    <mergeCell ref="W62:Y64"/>
    <mergeCell ref="Z62:AB64"/>
    <mergeCell ref="AC62:AD64"/>
    <mergeCell ref="Z65:AB67"/>
    <mergeCell ref="A55:AD57"/>
    <mergeCell ref="A47:C47"/>
    <mergeCell ref="D47:E47"/>
    <mergeCell ref="I47:J47"/>
    <mergeCell ref="K47:M47"/>
    <mergeCell ref="W68:Y70"/>
    <mergeCell ref="P65:Q67"/>
    <mergeCell ref="R65:S67"/>
    <mergeCell ref="AC80:AD82"/>
    <mergeCell ref="Z77:AB79"/>
    <mergeCell ref="AC77:AD79"/>
    <mergeCell ref="W71:Y73"/>
    <mergeCell ref="Z71:AB73"/>
    <mergeCell ref="AC71:AD73"/>
    <mergeCell ref="W74:Y76"/>
    <mergeCell ref="Z74:AB76"/>
    <mergeCell ref="AC74:AD76"/>
    <mergeCell ref="Z80:AB82"/>
    <mergeCell ref="W77:Y79"/>
    <mergeCell ref="N77:O79"/>
    <mergeCell ref="K65:M67"/>
    <mergeCell ref="N65:O67"/>
    <mergeCell ref="W80:Y82"/>
    <mergeCell ref="T65:V67"/>
    <mergeCell ref="P62:Q64"/>
    <mergeCell ref="R62:S64"/>
    <mergeCell ref="T62:V64"/>
    <mergeCell ref="P60:Q61"/>
    <mergeCell ref="R60:S61"/>
    <mergeCell ref="T60:V61"/>
    <mergeCell ref="S51:T51"/>
    <mergeCell ref="S52:T54"/>
    <mergeCell ref="P51:R51"/>
    <mergeCell ref="P52:R54"/>
    <mergeCell ref="Z83:AB85"/>
    <mergeCell ref="W86:Y88"/>
    <mergeCell ref="Z86:AB88"/>
    <mergeCell ref="P68:Q70"/>
    <mergeCell ref="P74:Q76"/>
    <mergeCell ref="R74:S76"/>
    <mergeCell ref="T74:V76"/>
    <mergeCell ref="P77:Q79"/>
    <mergeCell ref="R77:S79"/>
    <mergeCell ref="T77:V79"/>
    <mergeCell ref="P80:Q82"/>
    <mergeCell ref="R80:S82"/>
    <mergeCell ref="T80:V82"/>
    <mergeCell ref="P83:Q85"/>
    <mergeCell ref="R83:S85"/>
    <mergeCell ref="T83:V85"/>
    <mergeCell ref="P86:Q88"/>
    <mergeCell ref="R86:S88"/>
    <mergeCell ref="A4:E6"/>
    <mergeCell ref="F4:J6"/>
    <mergeCell ref="K4:O6"/>
    <mergeCell ref="P4:T6"/>
    <mergeCell ref="S24:T26"/>
    <mergeCell ref="K23:M23"/>
    <mergeCell ref="N23:O23"/>
    <mergeCell ref="I20:J22"/>
    <mergeCell ref="I16:J18"/>
    <mergeCell ref="D24:E26"/>
    <mergeCell ref="D15:E15"/>
    <mergeCell ref="A16:C18"/>
    <mergeCell ref="D16:E18"/>
    <mergeCell ref="F16:H18"/>
    <mergeCell ref="A12:C14"/>
    <mergeCell ref="D12:E14"/>
    <mergeCell ref="D23:E23"/>
    <mergeCell ref="K16:M18"/>
    <mergeCell ref="N16:O18"/>
    <mergeCell ref="A20:C22"/>
    <mergeCell ref="S7:T7"/>
    <mergeCell ref="P7:R7"/>
    <mergeCell ref="A15:C15"/>
    <mergeCell ref="F12:H14"/>
    <mergeCell ref="A23:C23"/>
    <mergeCell ref="P24:R26"/>
    <mergeCell ref="K7:M7"/>
    <mergeCell ref="F23:H23"/>
    <mergeCell ref="I23:J23"/>
    <mergeCell ref="A19:C19"/>
    <mergeCell ref="D19:E19"/>
    <mergeCell ref="A7:C7"/>
    <mergeCell ref="U4:Y6"/>
    <mergeCell ref="Z4:AD6"/>
    <mergeCell ref="U35:W35"/>
    <mergeCell ref="X35:Y35"/>
    <mergeCell ref="U36:W38"/>
    <mergeCell ref="U31:W31"/>
    <mergeCell ref="X31:Y31"/>
    <mergeCell ref="U32:W34"/>
    <mergeCell ref="Z7:AB7"/>
    <mergeCell ref="AC7:AD7"/>
    <mergeCell ref="Z8:AB10"/>
    <mergeCell ref="Z11:AB11"/>
    <mergeCell ref="AC11:AD11"/>
    <mergeCell ref="Z19:AB19"/>
    <mergeCell ref="AC19:AD19"/>
    <mergeCell ref="Z20:AB22"/>
    <mergeCell ref="U12:W14"/>
    <mergeCell ref="U15:W15"/>
    <mergeCell ref="X15:Y15"/>
    <mergeCell ref="U16:W18"/>
    <mergeCell ref="U24:W26"/>
    <mergeCell ref="U27:W27"/>
    <mergeCell ref="X27:Y27"/>
    <mergeCell ref="Z23:AB23"/>
    <mergeCell ref="U19:W19"/>
    <mergeCell ref="X19:Y19"/>
    <mergeCell ref="U20:W22"/>
    <mergeCell ref="U23:W23"/>
    <mergeCell ref="X23:Y23"/>
    <mergeCell ref="U7:W7"/>
    <mergeCell ref="X7:Y7"/>
    <mergeCell ref="U11:W11"/>
    <mergeCell ref="U52:W54"/>
    <mergeCell ref="P48:R50"/>
    <mergeCell ref="S48:T50"/>
    <mergeCell ref="P58:AD59"/>
    <mergeCell ref="S12:T14"/>
    <mergeCell ref="P27:R27"/>
    <mergeCell ref="S23:T23"/>
    <mergeCell ref="N71:O73"/>
    <mergeCell ref="A74:B76"/>
    <mergeCell ref="N48:O50"/>
    <mergeCell ref="U48:W50"/>
    <mergeCell ref="H71:J73"/>
    <mergeCell ref="K71:M73"/>
    <mergeCell ref="A52:C54"/>
    <mergeCell ref="D52:E54"/>
    <mergeCell ref="F52:H54"/>
    <mergeCell ref="I52:J54"/>
    <mergeCell ref="K52:M54"/>
    <mergeCell ref="C71:D73"/>
    <mergeCell ref="N68:O70"/>
    <mergeCell ref="E71:G73"/>
    <mergeCell ref="P71:Q73"/>
    <mergeCell ref="R71:S73"/>
    <mergeCell ref="T71:V73"/>
    <mergeCell ref="A48:C50"/>
    <mergeCell ref="R68:S70"/>
    <mergeCell ref="T68:V70"/>
    <mergeCell ref="N52:O54"/>
    <mergeCell ref="N62:O64"/>
    <mergeCell ref="A58:O59"/>
    <mergeCell ref="D48:E50"/>
    <mergeCell ref="A62:B64"/>
    <mergeCell ref="C62:D64"/>
    <mergeCell ref="E62:G64"/>
    <mergeCell ref="H62:J64"/>
    <mergeCell ref="K62:M64"/>
    <mergeCell ref="A77:B79"/>
    <mergeCell ref="C77:D79"/>
    <mergeCell ref="E77:G79"/>
    <mergeCell ref="H77:J79"/>
    <mergeCell ref="A65:B67"/>
    <mergeCell ref="C65:D67"/>
    <mergeCell ref="E65:G67"/>
    <mergeCell ref="H65:J67"/>
    <mergeCell ref="A68:B70"/>
    <mergeCell ref="H68:J70"/>
    <mergeCell ref="K77:M79"/>
    <mergeCell ref="C68:D70"/>
    <mergeCell ref="E68:G70"/>
    <mergeCell ref="K68:M70"/>
    <mergeCell ref="A71:B73"/>
    <mergeCell ref="E74:G76"/>
    <mergeCell ref="H74:J76"/>
    <mergeCell ref="K74:M76"/>
    <mergeCell ref="A83:B85"/>
    <mergeCell ref="C83:D85"/>
    <mergeCell ref="E83:G85"/>
    <mergeCell ref="H83:J85"/>
    <mergeCell ref="K83:M85"/>
    <mergeCell ref="H92:J94"/>
    <mergeCell ref="K98:M100"/>
    <mergeCell ref="N98:O100"/>
    <mergeCell ref="A101:B103"/>
    <mergeCell ref="C101:D103"/>
    <mergeCell ref="E101:G103"/>
    <mergeCell ref="H101:J103"/>
    <mergeCell ref="K101:M103"/>
    <mergeCell ref="N101:O103"/>
    <mergeCell ref="A98:B100"/>
    <mergeCell ref="C98:D100"/>
    <mergeCell ref="E98:G100"/>
    <mergeCell ref="H98:J100"/>
    <mergeCell ref="N74:O76"/>
    <mergeCell ref="N80:O82"/>
    <mergeCell ref="A95:B97"/>
    <mergeCell ref="C95:D97"/>
    <mergeCell ref="E95:G97"/>
    <mergeCell ref="H95:J97"/>
    <mergeCell ref="C74:D76"/>
    <mergeCell ref="K95:M97"/>
    <mergeCell ref="N95:O97"/>
    <mergeCell ref="A86:B88"/>
    <mergeCell ref="C86:D88"/>
    <mergeCell ref="E86:G88"/>
    <mergeCell ref="H86:J88"/>
    <mergeCell ref="K86:M88"/>
    <mergeCell ref="N86:O88"/>
    <mergeCell ref="A89:B91"/>
    <mergeCell ref="C89:D91"/>
    <mergeCell ref="E89:G91"/>
    <mergeCell ref="H89:J91"/>
    <mergeCell ref="A80:B82"/>
    <mergeCell ref="C80:D82"/>
    <mergeCell ref="E80:G82"/>
    <mergeCell ref="H80:J82"/>
    <mergeCell ref="K80:M82"/>
    <mergeCell ref="K89:M91"/>
    <mergeCell ref="N89:O91"/>
    <mergeCell ref="N83:O85"/>
    <mergeCell ref="A92:B94"/>
    <mergeCell ref="C92:D94"/>
    <mergeCell ref="E92:G94"/>
    <mergeCell ref="K92:M94"/>
    <mergeCell ref="N92:O94"/>
    <mergeCell ref="A104:B106"/>
    <mergeCell ref="C104:D106"/>
    <mergeCell ref="E104:G106"/>
    <mergeCell ref="H104:J106"/>
    <mergeCell ref="K104:M106"/>
    <mergeCell ref="N104:O106"/>
    <mergeCell ref="K107:M109"/>
    <mergeCell ref="N107:O109"/>
    <mergeCell ref="A110:B112"/>
    <mergeCell ref="C110:D112"/>
    <mergeCell ref="E110:G112"/>
    <mergeCell ref="H110:J112"/>
    <mergeCell ref="K110:M112"/>
    <mergeCell ref="N110:O112"/>
    <mergeCell ref="A107:B109"/>
    <mergeCell ref="C107:D109"/>
    <mergeCell ref="E107:G109"/>
    <mergeCell ref="H107:J109"/>
    <mergeCell ref="H113:J115"/>
    <mergeCell ref="A128:B130"/>
    <mergeCell ref="C128:D130"/>
    <mergeCell ref="E128:G130"/>
    <mergeCell ref="H128:J130"/>
    <mergeCell ref="K128:M130"/>
    <mergeCell ref="N128:O130"/>
    <mergeCell ref="A125:B127"/>
    <mergeCell ref="C125:D127"/>
    <mergeCell ref="E125:G127"/>
    <mergeCell ref="H125:J127"/>
    <mergeCell ref="K125:M127"/>
    <mergeCell ref="N125:O127"/>
    <mergeCell ref="H134:J136"/>
    <mergeCell ref="K134:M136"/>
    <mergeCell ref="N134:O136"/>
    <mergeCell ref="A122:B124"/>
    <mergeCell ref="C122:D124"/>
    <mergeCell ref="E122:G124"/>
    <mergeCell ref="H122:J124"/>
    <mergeCell ref="K113:M115"/>
    <mergeCell ref="N113:O115"/>
    <mergeCell ref="K116:M118"/>
    <mergeCell ref="N116:O118"/>
    <mergeCell ref="A119:B121"/>
    <mergeCell ref="C119:D121"/>
    <mergeCell ref="E119:G121"/>
    <mergeCell ref="H119:J121"/>
    <mergeCell ref="K119:M121"/>
    <mergeCell ref="N119:O121"/>
    <mergeCell ref="A116:B118"/>
    <mergeCell ref="C116:D118"/>
    <mergeCell ref="E116:G118"/>
    <mergeCell ref="H116:J118"/>
    <mergeCell ref="A113:B115"/>
    <mergeCell ref="C113:D115"/>
    <mergeCell ref="E113:G115"/>
    <mergeCell ref="T86:V88"/>
    <mergeCell ref="P89:Q91"/>
    <mergeCell ref="R89:S91"/>
    <mergeCell ref="P95:Q97"/>
    <mergeCell ref="R95:S97"/>
    <mergeCell ref="T95:V97"/>
    <mergeCell ref="W95:Y97"/>
    <mergeCell ref="Z95:AB97"/>
    <mergeCell ref="AC95:AD97"/>
    <mergeCell ref="T89:V91"/>
    <mergeCell ref="W89:Y91"/>
    <mergeCell ref="AC89:AD91"/>
    <mergeCell ref="P92:Q94"/>
    <mergeCell ref="R92:S94"/>
    <mergeCell ref="T92:V94"/>
    <mergeCell ref="W92:Y94"/>
    <mergeCell ref="Z92:AB94"/>
    <mergeCell ref="AC92:AD94"/>
    <mergeCell ref="Z89:AB91"/>
    <mergeCell ref="P98:Q100"/>
    <mergeCell ref="R98:S100"/>
    <mergeCell ref="T98:V100"/>
    <mergeCell ref="W98:Y100"/>
    <mergeCell ref="Z98:AB100"/>
    <mergeCell ref="AC98:AD100"/>
    <mergeCell ref="P101:Q103"/>
    <mergeCell ref="R101:S103"/>
    <mergeCell ref="T101:V103"/>
    <mergeCell ref="W101:Y103"/>
    <mergeCell ref="Z101:AB103"/>
    <mergeCell ref="AC101:AD103"/>
    <mergeCell ref="P104:Q106"/>
    <mergeCell ref="R104:S106"/>
    <mergeCell ref="T104:V106"/>
    <mergeCell ref="W104:Y106"/>
    <mergeCell ref="Z104:AB106"/>
    <mergeCell ref="AC104:AD106"/>
    <mergeCell ref="P107:Q109"/>
    <mergeCell ref="R107:S109"/>
    <mergeCell ref="T107:V109"/>
    <mergeCell ref="W107:Y109"/>
    <mergeCell ref="Z107:AB109"/>
    <mergeCell ref="AC107:AD109"/>
    <mergeCell ref="P110:Q112"/>
    <mergeCell ref="R110:S112"/>
    <mergeCell ref="T110:V112"/>
    <mergeCell ref="W110:Y112"/>
    <mergeCell ref="Z110:AB112"/>
    <mergeCell ref="AC110:AD112"/>
    <mergeCell ref="P113:Q115"/>
    <mergeCell ref="R113:S115"/>
    <mergeCell ref="T113:V115"/>
    <mergeCell ref="W113:Y115"/>
    <mergeCell ref="Z113:AB115"/>
    <mergeCell ref="AC113:AD115"/>
    <mergeCell ref="P116:Q118"/>
    <mergeCell ref="R116:S118"/>
    <mergeCell ref="T116:V118"/>
    <mergeCell ref="W116:Y118"/>
    <mergeCell ref="Z116:AB118"/>
    <mergeCell ref="AC116:AD118"/>
    <mergeCell ref="P119:Q121"/>
    <mergeCell ref="R119:S121"/>
    <mergeCell ref="T119:V121"/>
    <mergeCell ref="W119:Y121"/>
    <mergeCell ref="Z119:AB121"/>
    <mergeCell ref="AC119:AD121"/>
    <mergeCell ref="R125:S127"/>
    <mergeCell ref="T125:V127"/>
    <mergeCell ref="W125:Y127"/>
    <mergeCell ref="Z125:AB127"/>
    <mergeCell ref="AC125:AD127"/>
    <mergeCell ref="H140:J142"/>
    <mergeCell ref="K140:M142"/>
    <mergeCell ref="N140:O142"/>
    <mergeCell ref="P140:Q142"/>
    <mergeCell ref="R140:S142"/>
    <mergeCell ref="T140:V142"/>
    <mergeCell ref="P122:Q124"/>
    <mergeCell ref="R122:S124"/>
    <mergeCell ref="T122:V124"/>
    <mergeCell ref="P128:Q130"/>
    <mergeCell ref="R128:S130"/>
    <mergeCell ref="T128:V130"/>
    <mergeCell ref="W128:Y130"/>
    <mergeCell ref="Z128:AB130"/>
    <mergeCell ref="AC128:AD130"/>
    <mergeCell ref="K122:M124"/>
    <mergeCell ref="N122:O124"/>
    <mergeCell ref="AC140:AD142"/>
    <mergeCell ref="P131:Q133"/>
    <mergeCell ref="R131:S133"/>
    <mergeCell ref="T131:V133"/>
    <mergeCell ref="W131:Y133"/>
    <mergeCell ref="Z131:AB133"/>
    <mergeCell ref="AC131:AD133"/>
    <mergeCell ref="P134:Q136"/>
    <mergeCell ref="R137:S139"/>
    <mergeCell ref="T137:V139"/>
    <mergeCell ref="R134:S136"/>
    <mergeCell ref="T134:V136"/>
    <mergeCell ref="W134:Y136"/>
    <mergeCell ref="Z134:AB136"/>
    <mergeCell ref="AC134:AD136"/>
    <mergeCell ref="AC137:AD139"/>
    <mergeCell ref="W122:Y124"/>
    <mergeCell ref="Z122:AB124"/>
    <mergeCell ref="A143:B145"/>
    <mergeCell ref="C143:D145"/>
    <mergeCell ref="E143:G145"/>
    <mergeCell ref="H143:J145"/>
    <mergeCell ref="K143:M145"/>
    <mergeCell ref="N143:O145"/>
    <mergeCell ref="W137:Y139"/>
    <mergeCell ref="Z137:AB139"/>
    <mergeCell ref="A140:B142"/>
    <mergeCell ref="C140:D142"/>
    <mergeCell ref="E140:G142"/>
    <mergeCell ref="W140:Y142"/>
    <mergeCell ref="Z140:AB142"/>
    <mergeCell ref="A131:B133"/>
    <mergeCell ref="C131:D133"/>
    <mergeCell ref="E131:G133"/>
    <mergeCell ref="H131:J133"/>
    <mergeCell ref="K131:M133"/>
    <mergeCell ref="N131:O133"/>
    <mergeCell ref="A134:B136"/>
    <mergeCell ref="C134:D136"/>
    <mergeCell ref="E134:G136"/>
    <mergeCell ref="AC122:AD124"/>
    <mergeCell ref="P125:Q127"/>
  </mergeCells>
  <phoneticPr fontId="17" type="noConversion"/>
  <conditionalFormatting sqref="AC62 AC65 AC92 AC95 AC98 AC101 AC104 AC107 AC113 AC116 AC119 AC122 AC125 AC128 AC131 AC134 AC137 AC140 AC143 AC146 AC149 AC152 AC155 AC158 AC161 AC164 AC167 AC170 AC173">
    <cfRule type="cellIs" dxfId="221" priority="478" operator="equal">
      <formula>"Incomplete"</formula>
    </cfRule>
    <cfRule type="cellIs" dxfId="220" priority="479" operator="equal">
      <formula>"In Progress"</formula>
    </cfRule>
    <cfRule type="cellIs" dxfId="219" priority="480" operator="equal">
      <formula>"Completed"</formula>
    </cfRule>
  </conditionalFormatting>
  <conditionalFormatting sqref="A134 A137 A140 A143 A146 A149 A152 A155 A158 A161 A164 A167 A170 A173">
    <cfRule type="expression" dxfId="218" priority="401">
      <formula>AND(ISNUMBER(A134), A134 &gt;= TODAY(), A134 &lt;= TODAY() + 5)</formula>
    </cfRule>
  </conditionalFormatting>
  <conditionalFormatting sqref="P116 P119 P122 P125 P128 P131 P134 P137 P140 P143 P146 P149 P152 P155 P158 P161 P164 P167 P170 P173">
    <cfRule type="expression" dxfId="217" priority="399">
      <formula>AND(ISNUMBER(P116), P116 &gt;= TODAY(), P116 &lt;= TODAY() + 5)</formula>
    </cfRule>
  </conditionalFormatting>
  <conditionalFormatting sqref="I32:J34 I28:J30 I24:J26 I20:J22 I16:J18 I12:J14 I36:J38">
    <cfRule type="cellIs" dxfId="216" priority="315" operator="equal">
      <formula>"Incomplete"</formula>
    </cfRule>
    <cfRule type="cellIs" dxfId="215" priority="316" operator="equal">
      <formula>"In Progress"</formula>
    </cfRule>
    <cfRule type="cellIs" dxfId="214" priority="317" operator="equal">
      <formula>"Completed"</formula>
    </cfRule>
  </conditionalFormatting>
  <conditionalFormatting sqref="I40:J42">
    <cfRule type="cellIs" dxfId="213" priority="276" operator="equal">
      <formula>"Incomplete"</formula>
    </cfRule>
    <cfRule type="cellIs" dxfId="212" priority="277" operator="equal">
      <formula>"In Progress"</formula>
    </cfRule>
    <cfRule type="cellIs" dxfId="211" priority="278" operator="equal">
      <formula>"Completed"</formula>
    </cfRule>
  </conditionalFormatting>
  <conditionalFormatting sqref="I44:J46">
    <cfRule type="cellIs" dxfId="210" priority="273" operator="equal">
      <formula>"Incomplete"</formula>
    </cfRule>
    <cfRule type="cellIs" dxfId="209" priority="274" operator="equal">
      <formula>"In Progress"</formula>
    </cfRule>
    <cfRule type="cellIs" dxfId="208" priority="275" operator="equal">
      <formula>"Completed"</formula>
    </cfRule>
  </conditionalFormatting>
  <conditionalFormatting sqref="I48:J50">
    <cfRule type="cellIs" dxfId="207" priority="270" operator="equal">
      <formula>"Incomplete"</formula>
    </cfRule>
    <cfRule type="cellIs" dxfId="206" priority="271" operator="equal">
      <formula>"In Progress"</formula>
    </cfRule>
    <cfRule type="cellIs" dxfId="205" priority="272" operator="equal">
      <formula>"Completed"</formula>
    </cfRule>
  </conditionalFormatting>
  <conditionalFormatting sqref="I52:J54">
    <cfRule type="cellIs" dxfId="204" priority="267" operator="equal">
      <formula>"Incomplete"</formula>
    </cfRule>
    <cfRule type="cellIs" dxfId="203" priority="268" operator="equal">
      <formula>"In Progress"</formula>
    </cfRule>
    <cfRule type="cellIs" dxfId="202" priority="269" operator="equal">
      <formula>"Completed"</formula>
    </cfRule>
  </conditionalFormatting>
  <conditionalFormatting sqref="D52:E54">
    <cfRule type="cellIs" dxfId="201" priority="264" operator="equal">
      <formula>"Incomplete"</formula>
    </cfRule>
    <cfRule type="cellIs" dxfId="200" priority="265" operator="equal">
      <formula>"In Progress"</formula>
    </cfRule>
    <cfRule type="cellIs" dxfId="199" priority="266" operator="equal">
      <formula>"Completed"</formula>
    </cfRule>
  </conditionalFormatting>
  <conditionalFormatting sqref="D40:E42">
    <cfRule type="cellIs" dxfId="198" priority="255" operator="equal">
      <formula>"Incomplete"</formula>
    </cfRule>
    <cfRule type="cellIs" dxfId="197" priority="256" operator="equal">
      <formula>"In Progress"</formula>
    </cfRule>
    <cfRule type="cellIs" dxfId="196" priority="257" operator="equal">
      <formula>"Completed"</formula>
    </cfRule>
  </conditionalFormatting>
  <conditionalFormatting sqref="D36:E38">
    <cfRule type="cellIs" dxfId="195" priority="252" operator="equal">
      <formula>"Incomplete"</formula>
    </cfRule>
    <cfRule type="cellIs" dxfId="194" priority="253" operator="equal">
      <formula>"In Progress"</formula>
    </cfRule>
    <cfRule type="cellIs" dxfId="193" priority="254" operator="equal">
      <formula>"Completed"</formula>
    </cfRule>
  </conditionalFormatting>
  <conditionalFormatting sqref="D32:E34">
    <cfRule type="cellIs" dxfId="192" priority="249" operator="equal">
      <formula>"Incomplete"</formula>
    </cfRule>
    <cfRule type="cellIs" dxfId="191" priority="250" operator="equal">
      <formula>"In Progress"</formula>
    </cfRule>
    <cfRule type="cellIs" dxfId="190" priority="251" operator="equal">
      <formula>"Completed"</formula>
    </cfRule>
  </conditionalFormatting>
  <conditionalFormatting sqref="D28:E30">
    <cfRule type="cellIs" dxfId="189" priority="246" operator="equal">
      <formula>"Incomplete"</formula>
    </cfRule>
    <cfRule type="cellIs" dxfId="188" priority="247" operator="equal">
      <formula>"In Progress"</formula>
    </cfRule>
    <cfRule type="cellIs" dxfId="187" priority="248" operator="equal">
      <formula>"Completed"</formula>
    </cfRule>
  </conditionalFormatting>
  <conditionalFormatting sqref="D24:E26">
    <cfRule type="cellIs" dxfId="186" priority="243" operator="equal">
      <formula>"Incomplete"</formula>
    </cfRule>
    <cfRule type="cellIs" dxfId="185" priority="244" operator="equal">
      <formula>"In Progress"</formula>
    </cfRule>
    <cfRule type="cellIs" dxfId="184" priority="245" operator="equal">
      <formula>"Completed"</formula>
    </cfRule>
  </conditionalFormatting>
  <conditionalFormatting sqref="D20:E22">
    <cfRule type="cellIs" dxfId="183" priority="240" operator="equal">
      <formula>"Incomplete"</formula>
    </cfRule>
    <cfRule type="cellIs" dxfId="182" priority="241" operator="equal">
      <formula>"In Progress"</formula>
    </cfRule>
    <cfRule type="cellIs" dxfId="181" priority="242" operator="equal">
      <formula>"Completed"</formula>
    </cfRule>
  </conditionalFormatting>
  <conditionalFormatting sqref="D12:E14">
    <cfRule type="cellIs" dxfId="180" priority="231" operator="equal">
      <formula>"Incomplete"</formula>
    </cfRule>
    <cfRule type="cellIs" dxfId="179" priority="232" operator="equal">
      <formula>"In Progress"</formula>
    </cfRule>
    <cfRule type="cellIs" dxfId="178" priority="233" operator="equal">
      <formula>"Completed"</formula>
    </cfRule>
  </conditionalFormatting>
  <conditionalFormatting sqref="D8:E10">
    <cfRule type="cellIs" dxfId="177" priority="228" operator="equal">
      <formula>"Incomplete"</formula>
    </cfRule>
    <cfRule type="cellIs" dxfId="176" priority="229" operator="equal">
      <formula>"In Progress"</formula>
    </cfRule>
    <cfRule type="cellIs" dxfId="175" priority="230" operator="equal">
      <formula>"Completed"</formula>
    </cfRule>
  </conditionalFormatting>
  <conditionalFormatting sqref="D16:E18">
    <cfRule type="cellIs" dxfId="174" priority="225" operator="equal">
      <formula>"Incomplete"</formula>
    </cfRule>
    <cfRule type="cellIs" dxfId="173" priority="226" operator="equal">
      <formula>"In Progress"</formula>
    </cfRule>
    <cfRule type="cellIs" dxfId="172" priority="227" operator="equal">
      <formula>"Completed"</formula>
    </cfRule>
  </conditionalFormatting>
  <conditionalFormatting sqref="N52:O54 S52:T54 S48:T50 N48:O50 N44:O46 S44:T46 S40:T42 N40:O42 N36:O38 S36:T38 S32:T34 N32:O34 N28:O30 S28:T30 S24:T26 N24:O26 N20:O22 S20:T22 N16:O18 N12:O14 N8:O10">
    <cfRule type="cellIs" dxfId="171" priority="219" operator="equal">
      <formula>"Incomplete"</formula>
    </cfRule>
    <cfRule type="cellIs" dxfId="170" priority="220" operator="equal">
      <formula>"In Progress"</formula>
    </cfRule>
    <cfRule type="cellIs" dxfId="169" priority="221" operator="equal">
      <formula>"Completed"</formula>
    </cfRule>
  </conditionalFormatting>
  <conditionalFormatting sqref="AC110">
    <cfRule type="cellIs" dxfId="168" priority="208" operator="equal">
      <formula>"Incomplete"</formula>
    </cfRule>
    <cfRule type="cellIs" dxfId="167" priority="209" operator="equal">
      <formula>"In Progress"</formula>
    </cfRule>
    <cfRule type="cellIs" dxfId="166" priority="210" operator="equal">
      <formula>"Completed"</formula>
    </cfRule>
  </conditionalFormatting>
  <conditionalFormatting sqref="AC110">
    <cfRule type="expression" dxfId="165" priority="207">
      <formula>AND(ISNUMBER(P110), P110 - TODAY() &gt;= 0, P110 - TODAY() &lt;= 5)</formula>
    </cfRule>
  </conditionalFormatting>
  <conditionalFormatting sqref="P110">
    <cfRule type="expression" dxfId="164" priority="206">
      <formula>AND(ISNUMBER(P110), P110 &gt;= TODAY(), P110 &lt;= TODAY() + 5)</formula>
    </cfRule>
  </conditionalFormatting>
  <conditionalFormatting sqref="A122 A125 A128 A116 A119">
    <cfRule type="expression" dxfId="163" priority="204">
      <formula>AND(ISNUMBER(A116), A116 &gt;= TODAY(), A116 &lt;= TODAY() + 5)</formula>
    </cfRule>
  </conditionalFormatting>
  <conditionalFormatting sqref="AC68 AC71 AC74 AC77 AC80 AC83 AC86 AC89">
    <cfRule type="cellIs" dxfId="162" priority="197" operator="equal">
      <formula>"Incomplete"</formula>
    </cfRule>
    <cfRule type="cellIs" dxfId="161" priority="198" operator="equal">
      <formula>"In Progress"</formula>
    </cfRule>
    <cfRule type="cellIs" dxfId="160" priority="199" operator="equal">
      <formula>"Completed"</formula>
    </cfRule>
  </conditionalFormatting>
  <conditionalFormatting sqref="AC68 AC71 AC74 AC77 AC80 AC83 AC86 AC89">
    <cfRule type="expression" dxfId="159" priority="196">
      <formula>AND(ISNUMBER(P68), P68 - TODAY() &gt;= 0, P68 - TODAY() &lt;= 5)</formula>
    </cfRule>
  </conditionalFormatting>
  <conditionalFormatting sqref="D44:E46">
    <cfRule type="cellIs" dxfId="158" priority="184" operator="equal">
      <formula>"Incomplete"</formula>
    </cfRule>
    <cfRule type="cellIs" dxfId="157" priority="185" operator="equal">
      <formula>"In Progress"</formula>
    </cfRule>
    <cfRule type="cellIs" dxfId="156" priority="186" operator="equal">
      <formula>"Completed"</formula>
    </cfRule>
  </conditionalFormatting>
  <conditionalFormatting sqref="D48:E50">
    <cfRule type="cellIs" dxfId="155" priority="181" operator="equal">
      <formula>"Incomplete"</formula>
    </cfRule>
    <cfRule type="cellIs" dxfId="154" priority="182" operator="equal">
      <formula>"In Progress"</formula>
    </cfRule>
    <cfRule type="cellIs" dxfId="153" priority="183" operator="equal">
      <formula>"Completed"</formula>
    </cfRule>
  </conditionalFormatting>
  <conditionalFormatting sqref="S12:T14">
    <cfRule type="cellIs" dxfId="152" priority="170" operator="equal">
      <formula>"Incomplete"</formula>
    </cfRule>
    <cfRule type="cellIs" dxfId="151" priority="171" operator="equal">
      <formula>"In Progress"</formula>
    </cfRule>
    <cfRule type="cellIs" dxfId="150" priority="172" operator="equal">
      <formula>"Completed"</formula>
    </cfRule>
  </conditionalFormatting>
  <conditionalFormatting sqref="S16:T18">
    <cfRule type="cellIs" dxfId="149" priority="167" operator="equal">
      <formula>"Incomplete"</formula>
    </cfRule>
    <cfRule type="cellIs" dxfId="148" priority="168" operator="equal">
      <formula>"In Progress"</formula>
    </cfRule>
    <cfRule type="cellIs" dxfId="147" priority="169" operator="equal">
      <formula>"Completed"</formula>
    </cfRule>
  </conditionalFormatting>
  <conditionalFormatting sqref="X8:Y10">
    <cfRule type="cellIs" dxfId="146" priority="161" operator="equal">
      <formula>"Incomplete"</formula>
    </cfRule>
    <cfRule type="cellIs" dxfId="145" priority="162" operator="equal">
      <formula>"In Progress"</formula>
    </cfRule>
    <cfRule type="cellIs" dxfId="144" priority="163" operator="equal">
      <formula>"Completed"</formula>
    </cfRule>
  </conditionalFormatting>
  <conditionalFormatting sqref="AC8:AD10">
    <cfRule type="cellIs" dxfId="143" priority="158" operator="equal">
      <formula>"Incomplete"</formula>
    </cfRule>
    <cfRule type="cellIs" dxfId="142" priority="159" operator="equal">
      <formula>"In Progress"</formula>
    </cfRule>
    <cfRule type="cellIs" dxfId="141" priority="160" operator="equal">
      <formula>"Completed"</formula>
    </cfRule>
  </conditionalFormatting>
  <conditionalFormatting sqref="X12:Y14">
    <cfRule type="cellIs" dxfId="140" priority="155" operator="equal">
      <formula>"Incomplete"</formula>
    </cfRule>
    <cfRule type="cellIs" dxfId="139" priority="156" operator="equal">
      <formula>"In Progress"</formula>
    </cfRule>
    <cfRule type="cellIs" dxfId="138" priority="157" operator="equal">
      <formula>"Completed"</formula>
    </cfRule>
  </conditionalFormatting>
  <conditionalFormatting sqref="X16:Y18">
    <cfRule type="cellIs" dxfId="137" priority="152" operator="equal">
      <formula>"Incomplete"</formula>
    </cfRule>
    <cfRule type="cellIs" dxfId="136" priority="153" operator="equal">
      <formula>"In Progress"</formula>
    </cfRule>
    <cfRule type="cellIs" dxfId="135" priority="154" operator="equal">
      <formula>"Completed"</formula>
    </cfRule>
  </conditionalFormatting>
  <conditionalFormatting sqref="X20:Y22">
    <cfRule type="cellIs" dxfId="134" priority="149" operator="equal">
      <formula>"Incomplete"</formula>
    </cfRule>
    <cfRule type="cellIs" dxfId="133" priority="150" operator="equal">
      <formula>"In Progress"</formula>
    </cfRule>
    <cfRule type="cellIs" dxfId="132" priority="151" operator="equal">
      <formula>"Completed"</formula>
    </cfRule>
  </conditionalFormatting>
  <conditionalFormatting sqref="X24:Y26">
    <cfRule type="cellIs" dxfId="131" priority="146" operator="equal">
      <formula>"Incomplete"</formula>
    </cfRule>
    <cfRule type="cellIs" dxfId="130" priority="147" operator="equal">
      <formula>"In Progress"</formula>
    </cfRule>
    <cfRule type="cellIs" dxfId="129" priority="148" operator="equal">
      <formula>"Completed"</formula>
    </cfRule>
  </conditionalFormatting>
  <conditionalFormatting sqref="X28:Y30">
    <cfRule type="cellIs" dxfId="128" priority="143" operator="equal">
      <formula>"Incomplete"</formula>
    </cfRule>
    <cfRule type="cellIs" dxfId="127" priority="144" operator="equal">
      <formula>"In Progress"</formula>
    </cfRule>
    <cfRule type="cellIs" dxfId="126" priority="145" operator="equal">
      <formula>"Completed"</formula>
    </cfRule>
  </conditionalFormatting>
  <conditionalFormatting sqref="X32:Y34">
    <cfRule type="cellIs" dxfId="125" priority="140" operator="equal">
      <formula>"Incomplete"</formula>
    </cfRule>
    <cfRule type="cellIs" dxfId="124" priority="141" operator="equal">
      <formula>"In Progress"</formula>
    </cfRule>
    <cfRule type="cellIs" dxfId="123" priority="142" operator="equal">
      <formula>"Completed"</formula>
    </cfRule>
  </conditionalFormatting>
  <conditionalFormatting sqref="X36:Y38">
    <cfRule type="cellIs" dxfId="122" priority="137" operator="equal">
      <formula>"Incomplete"</formula>
    </cfRule>
    <cfRule type="cellIs" dxfId="121" priority="138" operator="equal">
      <formula>"In Progress"</formula>
    </cfRule>
    <cfRule type="cellIs" dxfId="120" priority="139" operator="equal">
      <formula>"Completed"</formula>
    </cfRule>
  </conditionalFormatting>
  <conditionalFormatting sqref="X40:Y42">
    <cfRule type="cellIs" dxfId="119" priority="134" operator="equal">
      <formula>"Incomplete"</formula>
    </cfRule>
    <cfRule type="cellIs" dxfId="118" priority="135" operator="equal">
      <formula>"In Progress"</formula>
    </cfRule>
    <cfRule type="cellIs" dxfId="117" priority="136" operator="equal">
      <formula>"Completed"</formula>
    </cfRule>
  </conditionalFormatting>
  <conditionalFormatting sqref="X44:Y46">
    <cfRule type="cellIs" dxfId="116" priority="131" operator="equal">
      <formula>"Incomplete"</formula>
    </cfRule>
    <cfRule type="cellIs" dxfId="115" priority="132" operator="equal">
      <formula>"In Progress"</formula>
    </cfRule>
    <cfRule type="cellIs" dxfId="114" priority="133" operator="equal">
      <formula>"Completed"</formula>
    </cfRule>
  </conditionalFormatting>
  <conditionalFormatting sqref="X48:Y50">
    <cfRule type="cellIs" dxfId="113" priority="128" operator="equal">
      <formula>"Incomplete"</formula>
    </cfRule>
    <cfRule type="cellIs" dxfId="112" priority="129" operator="equal">
      <formula>"In Progress"</formula>
    </cfRule>
    <cfRule type="cellIs" dxfId="111" priority="130" operator="equal">
      <formula>"Completed"</formula>
    </cfRule>
  </conditionalFormatting>
  <conditionalFormatting sqref="X52:Y54">
    <cfRule type="cellIs" dxfId="110" priority="125" operator="equal">
      <formula>"Incomplete"</formula>
    </cfRule>
    <cfRule type="cellIs" dxfId="109" priority="126" operator="equal">
      <formula>"In Progress"</formula>
    </cfRule>
    <cfRule type="cellIs" dxfId="108" priority="127" operator="equal">
      <formula>"Completed"</formula>
    </cfRule>
  </conditionalFormatting>
  <conditionalFormatting sqref="AC12:AD14">
    <cfRule type="cellIs" dxfId="107" priority="122" operator="equal">
      <formula>"Incomplete"</formula>
    </cfRule>
    <cfRule type="cellIs" dxfId="106" priority="123" operator="equal">
      <formula>"In Progress"</formula>
    </cfRule>
    <cfRule type="cellIs" dxfId="105" priority="124" operator="equal">
      <formula>"Completed"</formula>
    </cfRule>
  </conditionalFormatting>
  <conditionalFormatting sqref="AC16:AD18">
    <cfRule type="cellIs" dxfId="104" priority="119" operator="equal">
      <formula>"Incomplete"</formula>
    </cfRule>
    <cfRule type="cellIs" dxfId="103" priority="120" operator="equal">
      <formula>"In Progress"</formula>
    </cfRule>
    <cfRule type="cellIs" dxfId="102" priority="121" operator="equal">
      <formula>"Completed"</formula>
    </cfRule>
  </conditionalFormatting>
  <conditionalFormatting sqref="AC20:AD22">
    <cfRule type="cellIs" dxfId="101" priority="116" operator="equal">
      <formula>"Incomplete"</formula>
    </cfRule>
    <cfRule type="cellIs" dxfId="100" priority="117" operator="equal">
      <formula>"In Progress"</formula>
    </cfRule>
    <cfRule type="cellIs" dxfId="99" priority="118" operator="equal">
      <formula>"Completed"</formula>
    </cfRule>
  </conditionalFormatting>
  <conditionalFormatting sqref="AC24:AD26">
    <cfRule type="cellIs" dxfId="98" priority="113" operator="equal">
      <formula>"Incomplete"</formula>
    </cfRule>
    <cfRule type="cellIs" dxfId="97" priority="114" operator="equal">
      <formula>"In Progress"</formula>
    </cfRule>
    <cfRule type="cellIs" dxfId="96" priority="115" operator="equal">
      <formula>"Completed"</formula>
    </cfRule>
  </conditionalFormatting>
  <conditionalFormatting sqref="AC28:AD30">
    <cfRule type="cellIs" dxfId="95" priority="110" operator="equal">
      <formula>"Incomplete"</formula>
    </cfRule>
    <cfRule type="cellIs" dxfId="94" priority="111" operator="equal">
      <formula>"In Progress"</formula>
    </cfRule>
    <cfRule type="cellIs" dxfId="93" priority="112" operator="equal">
      <formula>"Completed"</formula>
    </cfRule>
  </conditionalFormatting>
  <conditionalFormatting sqref="AC32:AD34">
    <cfRule type="cellIs" dxfId="92" priority="107" operator="equal">
      <formula>"Incomplete"</formula>
    </cfRule>
    <cfRule type="cellIs" dxfId="91" priority="108" operator="equal">
      <formula>"In Progress"</formula>
    </cfRule>
    <cfRule type="cellIs" dxfId="90" priority="109" operator="equal">
      <formula>"Completed"</formula>
    </cfRule>
  </conditionalFormatting>
  <conditionalFormatting sqref="AC36:AD38">
    <cfRule type="cellIs" dxfId="89" priority="104" operator="equal">
      <formula>"Incomplete"</formula>
    </cfRule>
    <cfRule type="cellIs" dxfId="88" priority="105" operator="equal">
      <formula>"In Progress"</formula>
    </cfRule>
    <cfRule type="cellIs" dxfId="87" priority="106" operator="equal">
      <formula>"Completed"</formula>
    </cfRule>
  </conditionalFormatting>
  <conditionalFormatting sqref="AC40:AD42">
    <cfRule type="cellIs" dxfId="86" priority="101" operator="equal">
      <formula>"Incomplete"</formula>
    </cfRule>
    <cfRule type="cellIs" dxfId="85" priority="102" operator="equal">
      <formula>"In Progress"</formula>
    </cfRule>
    <cfRule type="cellIs" dxfId="84" priority="103" operator="equal">
      <formula>"Completed"</formula>
    </cfRule>
  </conditionalFormatting>
  <conditionalFormatting sqref="AC44:AD46">
    <cfRule type="cellIs" dxfId="83" priority="98" operator="equal">
      <formula>"Incomplete"</formula>
    </cfRule>
    <cfRule type="cellIs" dxfId="82" priority="99" operator="equal">
      <formula>"In Progress"</formula>
    </cfRule>
    <cfRule type="cellIs" dxfId="81" priority="100" operator="equal">
      <formula>"Completed"</formula>
    </cfRule>
  </conditionalFormatting>
  <conditionalFormatting sqref="AC48:AD50">
    <cfRule type="cellIs" dxfId="80" priority="95" operator="equal">
      <formula>"Incomplete"</formula>
    </cfRule>
    <cfRule type="cellIs" dxfId="79" priority="96" operator="equal">
      <formula>"In Progress"</formula>
    </cfRule>
    <cfRule type="cellIs" dxfId="78" priority="97" operator="equal">
      <formula>"Completed"</formula>
    </cfRule>
  </conditionalFormatting>
  <conditionalFormatting sqref="AC52:AD54">
    <cfRule type="cellIs" dxfId="77" priority="92" operator="equal">
      <formula>"Incomplete"</formula>
    </cfRule>
    <cfRule type="cellIs" dxfId="76" priority="93" operator="equal">
      <formula>"In Progress"</formula>
    </cfRule>
    <cfRule type="cellIs" dxfId="75" priority="94" operator="equal">
      <formula>"Completed"</formula>
    </cfRule>
  </conditionalFormatting>
  <conditionalFormatting sqref="A131">
    <cfRule type="expression" dxfId="74" priority="89">
      <formula>AND(ISNUMBER(A131), A131 &gt;= TODAY(), A131 &lt;= TODAY() + 5)</formula>
    </cfRule>
  </conditionalFormatting>
  <conditionalFormatting sqref="P101">
    <cfRule type="expression" dxfId="73" priority="88">
      <formula>AND(ISNUMBER(P101), P101 &gt;= TODAY(), P101 &lt;= TODAY() + 5)</formula>
    </cfRule>
  </conditionalFormatting>
  <conditionalFormatting sqref="P98">
    <cfRule type="expression" dxfId="72" priority="86">
      <formula>AND(ISNUMBER(P98), P98 &gt;= TODAY(), P98 &lt;= TODAY() + 5)</formula>
    </cfRule>
  </conditionalFormatting>
  <conditionalFormatting sqref="P89 P95 P92">
    <cfRule type="expression" dxfId="71" priority="72">
      <formula>AND(ISNUMBER(P89), P89 &gt;= TODAY(), P89 &lt;= TODAY() + 5)</formula>
    </cfRule>
  </conditionalFormatting>
  <conditionalFormatting sqref="P86">
    <cfRule type="expression" dxfId="70" priority="71">
      <formula>AND(ISNUMBER(P86), P86 &gt;= TODAY(), P86 &lt;= TODAY() + 5)</formula>
    </cfRule>
  </conditionalFormatting>
  <conditionalFormatting sqref="S8:T10">
    <cfRule type="cellIs" dxfId="69" priority="64" operator="equal">
      <formula>"Incomplete"</formula>
    </cfRule>
    <cfRule type="cellIs" dxfId="68" priority="65" operator="equal">
      <formula>"In Progress"</formula>
    </cfRule>
    <cfRule type="cellIs" dxfId="67" priority="66" operator="equal">
      <formula>"Completed"</formula>
    </cfRule>
  </conditionalFormatting>
  <conditionalFormatting sqref="P104">
    <cfRule type="expression" dxfId="66" priority="63">
      <formula>AND(ISNUMBER(P104), P104 &gt;= TODAY(), P104 &lt;= TODAY() + 5)</formula>
    </cfRule>
  </conditionalFormatting>
  <conditionalFormatting sqref="P107">
    <cfRule type="expression" dxfId="65" priority="62">
      <formula>AND(ISNUMBER(P107), P107 &gt;= TODAY(), P107 &lt;= TODAY() + 5)</formula>
    </cfRule>
  </conditionalFormatting>
  <conditionalFormatting sqref="P113">
    <cfRule type="expression" dxfId="64" priority="61">
      <formula>AND(ISNUMBER(P113), P113 &gt;= TODAY(), P113 &lt;= TODAY() + 5)</formula>
    </cfRule>
  </conditionalFormatting>
  <conditionalFormatting sqref="A110">
    <cfRule type="expression" dxfId="63" priority="60">
      <formula>AND(ISNUMBER(A110), A110 &gt;= TODAY(), A110 &lt;= TODAY() + 5)</formula>
    </cfRule>
  </conditionalFormatting>
  <conditionalFormatting sqref="A101">
    <cfRule type="expression" dxfId="62" priority="58">
      <formula>AND(ISNUMBER(A101), A101 &gt;= TODAY(), A101 &lt;= TODAY() + 5)</formula>
    </cfRule>
  </conditionalFormatting>
  <conditionalFormatting sqref="A98">
    <cfRule type="expression" dxfId="61" priority="57">
      <formula>AND(ISNUMBER(A98), A98 &gt;= TODAY(), A98 &lt;= TODAY() + 5)</formula>
    </cfRule>
  </conditionalFormatting>
  <conditionalFormatting sqref="A89 A95 A92">
    <cfRule type="expression" dxfId="60" priority="54">
      <formula>AND(ISNUMBER(A89), A89 &gt;= TODAY(), A89 &lt;= TODAY() + 5)</formula>
    </cfRule>
  </conditionalFormatting>
  <conditionalFormatting sqref="A104">
    <cfRule type="expression" dxfId="59" priority="49">
      <formula>AND(ISNUMBER(A104), A104 &gt;= TODAY(), A104 &lt;= TODAY() + 5)</formula>
    </cfRule>
  </conditionalFormatting>
  <conditionalFormatting sqref="A107">
    <cfRule type="expression" dxfId="58" priority="48">
      <formula>AND(ISNUMBER(A107), A107 &gt;= TODAY(), A107 &lt;= TODAY() + 5)</formula>
    </cfRule>
  </conditionalFormatting>
  <conditionalFormatting sqref="A113">
    <cfRule type="expression" dxfId="57" priority="47">
      <formula>AND(ISNUMBER(A113), A113 &gt;= TODAY(), A113 &lt;= TODAY() + 5)</formula>
    </cfRule>
  </conditionalFormatting>
  <conditionalFormatting sqref="P83">
    <cfRule type="expression" dxfId="56" priority="39">
      <formula>AND(ISNUMBER(P83), P83 &gt;= TODAY(), P83 &lt;= TODAY() + 5)</formula>
    </cfRule>
  </conditionalFormatting>
  <conditionalFormatting sqref="N62 N65 N92 N95 N98 N101 N104 N107 N113 N116 N119 N122 N125 N128 N131 N134 N137 N140 N143 N146 N149 N152 N155 N158 N161 N164 N167 N170 N173">
    <cfRule type="cellIs" dxfId="55" priority="22" operator="equal">
      <formula>"Incomplete"</formula>
    </cfRule>
    <cfRule type="cellIs" dxfId="54" priority="23" operator="equal">
      <formula>"In Progress"</formula>
    </cfRule>
    <cfRule type="cellIs" dxfId="53" priority="24" operator="equal">
      <formula>"Completed"</formula>
    </cfRule>
  </conditionalFormatting>
  <conditionalFormatting sqref="N110">
    <cfRule type="cellIs" dxfId="52" priority="19" operator="equal">
      <formula>"Incomplete"</formula>
    </cfRule>
    <cfRule type="cellIs" dxfId="51" priority="20" operator="equal">
      <formula>"In Progress"</formula>
    </cfRule>
    <cfRule type="cellIs" dxfId="50" priority="21" operator="equal">
      <formula>"Completed"</formula>
    </cfRule>
  </conditionalFormatting>
  <conditionalFormatting sqref="N110">
    <cfRule type="expression" dxfId="49" priority="18">
      <formula>AND(ISNUMBER(A110), A110 - TODAY() &gt;= 0, A110 - TODAY() &lt;= 5)</formula>
    </cfRule>
  </conditionalFormatting>
  <conditionalFormatting sqref="N68 N71 N74 N77 N80 N83 N86 N89">
    <cfRule type="cellIs" dxfId="48" priority="15" operator="equal">
      <formula>"Incomplete"</formula>
    </cfRule>
    <cfRule type="cellIs" dxfId="47" priority="16" operator="equal">
      <formula>"In Progress"</formula>
    </cfRule>
    <cfRule type="cellIs" dxfId="46" priority="17" operator="equal">
      <formula>"Completed"</formula>
    </cfRule>
  </conditionalFormatting>
  <conditionalFormatting sqref="N68 N71 N74 N77 N80 N83 N86 N89">
    <cfRule type="expression" dxfId="45" priority="14">
      <formula>AND(ISNUMBER(A68), A68 - TODAY() &gt;= 0, A68 - TODAY() &lt;= 5)</formula>
    </cfRule>
  </conditionalFormatting>
  <conditionalFormatting sqref="A74 A77 A80 A83 A86">
    <cfRule type="expression" dxfId="44" priority="12">
      <formula>AND(ISNUMBER(A74), A74 &gt;= TODAY(), A74 &lt;= TODAY() + 5)</formula>
    </cfRule>
  </conditionalFormatting>
  <conditionalFormatting sqref="A71">
    <cfRule type="expression" dxfId="43" priority="9">
      <formula>AND(ISNUMBER(A71), A71 &gt;= TODAY(), A71 &lt;= TODAY() + 5)</formula>
    </cfRule>
  </conditionalFormatting>
  <conditionalFormatting sqref="A65">
    <cfRule type="expression" dxfId="42" priority="7">
      <formula>AND(ISNUMBER(A65), A65 &gt;= TODAY(), A65 &lt;= TODAY() + 5)</formula>
    </cfRule>
  </conditionalFormatting>
  <conditionalFormatting sqref="A68">
    <cfRule type="expression" dxfId="41" priority="6">
      <formula>AND(ISNUMBER(A68), A68 &gt;= TODAY(), A68 &lt;= TODAY() + 5)</formula>
    </cfRule>
  </conditionalFormatting>
  <conditionalFormatting sqref="I8:J10">
    <cfRule type="cellIs" dxfId="40" priority="3" operator="equal">
      <formula>"Incomplete"</formula>
    </cfRule>
    <cfRule type="cellIs" dxfId="39" priority="4" operator="equal">
      <formula>"In Progress"</formula>
    </cfRule>
    <cfRule type="cellIs" dxfId="38" priority="5" operator="equal">
      <formula>"Completed"</formula>
    </cfRule>
  </conditionalFormatting>
  <conditionalFormatting sqref="A62">
    <cfRule type="expression" dxfId="37" priority="2">
      <formula>AND(ISNUMBER(A62), A62 &gt;= TODAY(), A62 &lt;= TODAY() + 5)</formula>
    </cfRule>
  </conditionalFormatting>
  <conditionalFormatting sqref="P62 P65 P68 P71 P74 P77 P80">
    <cfRule type="expression" dxfId="36" priority="1">
      <formula>AND(ISNUMBER(P62), P62 &gt;= TODAY(), P62 &lt;= TODAY() + 5)</formula>
    </cfRule>
  </conditionalFormatting>
  <dataValidations count="1">
    <dataValidation type="list" allowBlank="1" showInputMessage="1" sqref="AC161 AC164 AC167 AC170 AC173 S7:S61 D7:D61 I7:I61 N7:N62 N65 N68 N71 N74 N77 N80 N83 N86 N89 N92 N95 N98 N101 N104 N107 N110 N113 N116 N119 N122 N125 N128 N131 N134 N137 N140 N143 N146 N149 N152 N155 N158 N161 N164 N167 N170 N173 X7:X61 AC7:AC62 AC65 AC68 AC71 AC74 AC77 AC80 AC83 AC86 AC89 AC92 AC95 AC98 AC101 AC104 AC107 AC110 AC113 AC116 AC119 AC122 AC125 AC128 AC131 AC134 AC137 AC140 AC143 AC146 AC149 AC152 AC155 AC158" xr:uid="{72AC0B39-3BD3-4CB1-B63D-655183231062}">
      <formula1>"Not Started,In Progress,Completed,Behind,Cancelled,N/A"</formula1>
    </dataValidation>
  </dataValidations>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868C33-7239-4190-B323-06F6DD11E79C}">
  <sheetPr codeName="Sheet2">
    <tabColor theme="4" tint="0.59999389629810485"/>
  </sheetPr>
  <dimension ref="A1:W186"/>
  <sheetViews>
    <sheetView topLeftCell="A168" zoomScale="115" zoomScaleNormal="115" workbookViewId="0">
      <selection activeCell="A94" sqref="A94:O97"/>
    </sheetView>
  </sheetViews>
  <sheetFormatPr defaultRowHeight="13.8"/>
  <cols>
    <col min="18" max="18" width="9.21875" customWidth="1"/>
    <col min="21" max="21" width="9.77734375" customWidth="1"/>
  </cols>
  <sheetData>
    <row r="1" spans="1:23" ht="14.55" customHeight="1">
      <c r="A1" s="422"/>
      <c r="B1" s="423"/>
      <c r="C1" s="423"/>
      <c r="D1" s="423"/>
      <c r="E1" s="423"/>
      <c r="F1" s="423"/>
      <c r="G1" s="423"/>
      <c r="H1" s="423"/>
      <c r="I1" s="423"/>
      <c r="J1" s="423"/>
      <c r="K1" s="423"/>
      <c r="L1" s="423"/>
      <c r="M1" s="423"/>
      <c r="N1" s="423"/>
      <c r="O1" s="423"/>
      <c r="P1" s="426" t="s">
        <v>52</v>
      </c>
      <c r="Q1" s="426"/>
      <c r="R1" s="428">
        <f>SUM(M7:O28)</f>
        <v>0</v>
      </c>
      <c r="S1" s="429"/>
      <c r="T1" s="431" t="s">
        <v>34</v>
      </c>
      <c r="U1" s="431"/>
      <c r="V1" s="433"/>
      <c r="W1" s="434"/>
    </row>
    <row r="2" spans="1:23" ht="14.55" customHeight="1">
      <c r="A2" s="424"/>
      <c r="B2" s="425"/>
      <c r="C2" s="425"/>
      <c r="D2" s="425"/>
      <c r="E2" s="425"/>
      <c r="F2" s="425"/>
      <c r="G2" s="425"/>
      <c r="H2" s="425"/>
      <c r="I2" s="425"/>
      <c r="J2" s="425"/>
      <c r="K2" s="425"/>
      <c r="L2" s="425"/>
      <c r="M2" s="425"/>
      <c r="N2" s="425"/>
      <c r="O2" s="425"/>
      <c r="P2" s="427"/>
      <c r="Q2" s="427"/>
      <c r="R2" s="430"/>
      <c r="S2" s="430"/>
      <c r="T2" s="432"/>
      <c r="U2" s="432"/>
      <c r="V2" s="435"/>
      <c r="W2" s="436"/>
    </row>
    <row r="3" spans="1:23" ht="14.55" customHeight="1">
      <c r="A3" s="424"/>
      <c r="B3" s="425"/>
      <c r="C3" s="425"/>
      <c r="D3" s="425"/>
      <c r="E3" s="425"/>
      <c r="F3" s="425"/>
      <c r="G3" s="425"/>
      <c r="H3" s="425"/>
      <c r="I3" s="425"/>
      <c r="J3" s="425"/>
      <c r="K3" s="425"/>
      <c r="L3" s="425"/>
      <c r="M3" s="425"/>
      <c r="N3" s="425"/>
      <c r="O3" s="425"/>
      <c r="P3" s="427"/>
      <c r="Q3" s="427"/>
      <c r="R3" s="430"/>
      <c r="S3" s="430"/>
      <c r="T3" s="432"/>
      <c r="U3" s="432"/>
      <c r="V3" s="435"/>
      <c r="W3" s="436"/>
    </row>
    <row r="4" spans="1:23" ht="14.55" customHeight="1">
      <c r="A4" s="424"/>
      <c r="B4" s="425"/>
      <c r="C4" s="425"/>
      <c r="D4" s="425"/>
      <c r="E4" s="425"/>
      <c r="F4" s="425"/>
      <c r="G4" s="425"/>
      <c r="H4" s="425"/>
      <c r="I4" s="425"/>
      <c r="J4" s="425"/>
      <c r="K4" s="425"/>
      <c r="L4" s="425"/>
      <c r="M4" s="425"/>
      <c r="N4" s="425"/>
      <c r="O4" s="425"/>
      <c r="P4" s="427"/>
      <c r="Q4" s="427"/>
      <c r="R4" s="430"/>
      <c r="S4" s="430"/>
      <c r="T4" s="432"/>
      <c r="U4" s="432"/>
      <c r="V4" s="435"/>
      <c r="W4" s="436"/>
    </row>
    <row r="5" spans="1:23" ht="14.55" customHeight="1">
      <c r="A5" s="437" t="s">
        <v>5</v>
      </c>
      <c r="B5" s="438"/>
      <c r="C5" s="438"/>
      <c r="D5" s="438" t="s">
        <v>53</v>
      </c>
      <c r="E5" s="438"/>
      <c r="F5" s="438" t="s">
        <v>45</v>
      </c>
      <c r="G5" s="438"/>
      <c r="H5" s="438" t="s">
        <v>55</v>
      </c>
      <c r="I5" s="438"/>
      <c r="J5" s="438" t="s">
        <v>46</v>
      </c>
      <c r="K5" s="438"/>
      <c r="L5" s="438"/>
      <c r="M5" s="438" t="s">
        <v>54</v>
      </c>
      <c r="N5" s="438"/>
      <c r="O5" s="438"/>
      <c r="P5" s="438" t="s">
        <v>21</v>
      </c>
      <c r="Q5" s="438"/>
      <c r="R5" s="438" t="s">
        <v>47</v>
      </c>
      <c r="S5" s="438"/>
      <c r="T5" s="438" t="s">
        <v>48</v>
      </c>
      <c r="U5" s="438"/>
      <c r="V5" s="438" t="s">
        <v>51</v>
      </c>
      <c r="W5" s="439"/>
    </row>
    <row r="6" spans="1:23" ht="14.55" customHeight="1">
      <c r="A6" s="437"/>
      <c r="B6" s="438"/>
      <c r="C6" s="438"/>
      <c r="D6" s="438"/>
      <c r="E6" s="438"/>
      <c r="F6" s="438"/>
      <c r="G6" s="438"/>
      <c r="H6" s="438"/>
      <c r="I6" s="438"/>
      <c r="J6" s="438"/>
      <c r="K6" s="438"/>
      <c r="L6" s="438"/>
      <c r="M6" s="438"/>
      <c r="N6" s="438"/>
      <c r="O6" s="438"/>
      <c r="P6" s="438"/>
      <c r="Q6" s="438"/>
      <c r="R6" s="438"/>
      <c r="S6" s="438"/>
      <c r="T6" s="438"/>
      <c r="U6" s="438"/>
      <c r="V6" s="438"/>
      <c r="W6" s="439"/>
    </row>
    <row r="7" spans="1:23" ht="14.55" customHeight="1">
      <c r="A7" s="395"/>
      <c r="B7" s="396"/>
      <c r="C7" s="397"/>
      <c r="D7" s="401"/>
      <c r="E7" s="401"/>
      <c r="F7" s="401"/>
      <c r="G7" s="401"/>
      <c r="H7" s="403"/>
      <c r="I7" s="403"/>
      <c r="J7" s="404"/>
      <c r="K7" s="404"/>
      <c r="L7" s="404"/>
      <c r="M7" s="405"/>
      <c r="N7" s="405"/>
      <c r="O7" s="405"/>
      <c r="P7" s="418" t="s">
        <v>37</v>
      </c>
      <c r="Q7" s="418"/>
      <c r="R7" s="419">
        <v>0.9</v>
      </c>
      <c r="S7" s="420"/>
      <c r="T7" s="421">
        <f>1-$R$1</f>
        <v>1</v>
      </c>
      <c r="U7" s="420"/>
      <c r="V7" s="393" t="str">
        <f>IFERROR(IF($R$1&gt;=R7, "Achieved", ROUND((R7 - $R$1) / $J$27 * $F$27, 1)),"")</f>
        <v/>
      </c>
      <c r="W7" s="394"/>
    </row>
    <row r="8" spans="1:23" ht="14.55" customHeight="1">
      <c r="A8" s="398"/>
      <c r="B8" s="399"/>
      <c r="C8" s="400"/>
      <c r="D8" s="401"/>
      <c r="E8" s="401"/>
      <c r="F8" s="401"/>
      <c r="G8" s="401"/>
      <c r="H8" s="403"/>
      <c r="I8" s="403"/>
      <c r="J8" s="404"/>
      <c r="K8" s="404"/>
      <c r="L8" s="404"/>
      <c r="M8" s="405"/>
      <c r="N8" s="405"/>
      <c r="O8" s="405"/>
      <c r="P8" s="418"/>
      <c r="Q8" s="418"/>
      <c r="R8" s="420"/>
      <c r="S8" s="420"/>
      <c r="T8" s="420"/>
      <c r="U8" s="420"/>
      <c r="V8" s="393"/>
      <c r="W8" s="394"/>
    </row>
    <row r="9" spans="1:23" ht="14.55" customHeight="1">
      <c r="A9" s="395"/>
      <c r="B9" s="396"/>
      <c r="C9" s="397"/>
      <c r="D9" s="401"/>
      <c r="E9" s="401"/>
      <c r="F9" s="401"/>
      <c r="G9" s="401"/>
      <c r="H9" s="403" t="str">
        <f t="shared" ref="H9" si="0">IF(ISNUMBER(D9), D9/F9, "")</f>
        <v/>
      </c>
      <c r="I9" s="403"/>
      <c r="J9" s="404"/>
      <c r="K9" s="404"/>
      <c r="L9" s="404"/>
      <c r="M9" s="405" t="str">
        <f t="shared" ref="M9" si="1">IF(AND(ISNUMBER(D9), ISNUMBER(F9), ISNUMBER(J9)), (D9/F9)*J9, "")</f>
        <v/>
      </c>
      <c r="N9" s="405"/>
      <c r="O9" s="405"/>
      <c r="P9" s="418"/>
      <c r="Q9" s="418"/>
      <c r="R9" s="420"/>
      <c r="S9" s="420"/>
      <c r="T9" s="420"/>
      <c r="U9" s="420"/>
      <c r="V9" s="393"/>
      <c r="W9" s="394"/>
    </row>
    <row r="10" spans="1:23" ht="14.55" customHeight="1">
      <c r="A10" s="398"/>
      <c r="B10" s="399"/>
      <c r="C10" s="400"/>
      <c r="D10" s="401"/>
      <c r="E10" s="401"/>
      <c r="F10" s="401"/>
      <c r="G10" s="401"/>
      <c r="H10" s="403"/>
      <c r="I10" s="403"/>
      <c r="J10" s="404"/>
      <c r="K10" s="404"/>
      <c r="L10" s="404"/>
      <c r="M10" s="405"/>
      <c r="N10" s="405"/>
      <c r="O10" s="405"/>
      <c r="P10" s="418"/>
      <c r="Q10" s="418"/>
      <c r="R10" s="420"/>
      <c r="S10" s="420"/>
      <c r="T10" s="420"/>
      <c r="U10" s="420"/>
      <c r="V10" s="393"/>
      <c r="W10" s="394"/>
    </row>
    <row r="11" spans="1:23" ht="14.55" customHeight="1">
      <c r="A11" s="395"/>
      <c r="B11" s="396"/>
      <c r="C11" s="397"/>
      <c r="D11" s="401"/>
      <c r="E11" s="401"/>
      <c r="F11" s="401"/>
      <c r="G11" s="401"/>
      <c r="H11" s="403" t="str">
        <f t="shared" ref="H11" si="2">IF(ISNUMBER(D11), D11/F11, "")</f>
        <v/>
      </c>
      <c r="I11" s="403"/>
      <c r="J11" s="404"/>
      <c r="K11" s="404"/>
      <c r="L11" s="404"/>
      <c r="M11" s="405" t="str">
        <f t="shared" ref="M11" si="3">IF(AND(ISNUMBER(D11), ISNUMBER(F11), ISNUMBER(J11)), (D11/F11)*J11, "")</f>
        <v/>
      </c>
      <c r="N11" s="405"/>
      <c r="O11" s="405"/>
      <c r="P11" s="418" t="s">
        <v>38</v>
      </c>
      <c r="Q11" s="418"/>
      <c r="R11" s="419">
        <v>0.85</v>
      </c>
      <c r="S11" s="420"/>
      <c r="T11" s="421">
        <f t="shared" ref="T11" si="4">1-$R$1</f>
        <v>1</v>
      </c>
      <c r="U11" s="420"/>
      <c r="V11" s="393" t="str">
        <f>IFERROR(IF($R$1&gt;=R11, "Achieved", ROUND((R11 - $R$1) / $J$27 * $F$27, 1)),"")</f>
        <v/>
      </c>
      <c r="W11" s="394"/>
    </row>
    <row r="12" spans="1:23" ht="14.55" customHeight="1">
      <c r="A12" s="398"/>
      <c r="B12" s="399"/>
      <c r="C12" s="400"/>
      <c r="D12" s="401"/>
      <c r="E12" s="401"/>
      <c r="F12" s="401"/>
      <c r="G12" s="401"/>
      <c r="H12" s="403"/>
      <c r="I12" s="403"/>
      <c r="J12" s="404"/>
      <c r="K12" s="404"/>
      <c r="L12" s="404"/>
      <c r="M12" s="405"/>
      <c r="N12" s="405"/>
      <c r="O12" s="405"/>
      <c r="P12" s="418"/>
      <c r="Q12" s="418"/>
      <c r="R12" s="420"/>
      <c r="S12" s="420"/>
      <c r="T12" s="420"/>
      <c r="U12" s="420"/>
      <c r="V12" s="393"/>
      <c r="W12" s="394"/>
    </row>
    <row r="13" spans="1:23" ht="14.55" customHeight="1">
      <c r="A13" s="395"/>
      <c r="B13" s="396"/>
      <c r="C13" s="397"/>
      <c r="D13" s="401"/>
      <c r="E13" s="401"/>
      <c r="F13" s="401"/>
      <c r="G13" s="401"/>
      <c r="H13" s="403" t="str">
        <f t="shared" ref="H13" si="5">IF(ISNUMBER(D13), D13/F13, "")</f>
        <v/>
      </c>
      <c r="I13" s="403"/>
      <c r="J13" s="404"/>
      <c r="K13" s="404"/>
      <c r="L13" s="404"/>
      <c r="M13" s="405" t="str">
        <f t="shared" ref="M13" si="6">IF(AND(ISNUMBER(D13), ISNUMBER(F13), ISNUMBER(J13)), (D13/F13)*J13, "")</f>
        <v/>
      </c>
      <c r="N13" s="405"/>
      <c r="O13" s="405"/>
      <c r="P13" s="418"/>
      <c r="Q13" s="418"/>
      <c r="R13" s="420"/>
      <c r="S13" s="420"/>
      <c r="T13" s="420"/>
      <c r="U13" s="420"/>
      <c r="V13" s="393"/>
      <c r="W13" s="394"/>
    </row>
    <row r="14" spans="1:23" ht="14.55" customHeight="1">
      <c r="A14" s="398"/>
      <c r="B14" s="399"/>
      <c r="C14" s="400"/>
      <c r="D14" s="401"/>
      <c r="E14" s="401"/>
      <c r="F14" s="401"/>
      <c r="G14" s="401"/>
      <c r="H14" s="403"/>
      <c r="I14" s="403"/>
      <c r="J14" s="404"/>
      <c r="K14" s="404"/>
      <c r="L14" s="404"/>
      <c r="M14" s="405"/>
      <c r="N14" s="405"/>
      <c r="O14" s="405"/>
      <c r="P14" s="418"/>
      <c r="Q14" s="418"/>
      <c r="R14" s="420"/>
      <c r="S14" s="420"/>
      <c r="T14" s="420"/>
      <c r="U14" s="420"/>
      <c r="V14" s="393"/>
      <c r="W14" s="394"/>
    </row>
    <row r="15" spans="1:23" ht="14.55" customHeight="1">
      <c r="A15" s="395"/>
      <c r="B15" s="396"/>
      <c r="C15" s="397"/>
      <c r="D15" s="401"/>
      <c r="E15" s="401"/>
      <c r="F15" s="401"/>
      <c r="G15" s="401"/>
      <c r="H15" s="403" t="str">
        <f t="shared" ref="H15" si="7">IF(ISNUMBER(D15), D15/F15, "")</f>
        <v/>
      </c>
      <c r="I15" s="403"/>
      <c r="J15" s="404"/>
      <c r="K15" s="404"/>
      <c r="L15" s="404"/>
      <c r="M15" s="405" t="str">
        <f t="shared" ref="M15" si="8">IF(AND(ISNUMBER(D15), ISNUMBER(F15), ISNUMBER(J15)), (D15/F15)*J15, "")</f>
        <v/>
      </c>
      <c r="N15" s="405"/>
      <c r="O15" s="405"/>
      <c r="P15" s="418" t="s">
        <v>41</v>
      </c>
      <c r="Q15" s="418"/>
      <c r="R15" s="419">
        <v>0.8</v>
      </c>
      <c r="S15" s="420"/>
      <c r="T15" s="421">
        <f t="shared" ref="T15" si="9">1-$R$1</f>
        <v>1</v>
      </c>
      <c r="U15" s="420"/>
      <c r="V15" s="393" t="str">
        <f>IFERROR(IF($R$1&gt;=R15, "Achieved", ROUND((R15 - $R$1) / $J$27 * $F$27, 1)),"")</f>
        <v/>
      </c>
      <c r="W15" s="394"/>
    </row>
    <row r="16" spans="1:23" ht="14.55" customHeight="1">
      <c r="A16" s="398"/>
      <c r="B16" s="399"/>
      <c r="C16" s="400"/>
      <c r="D16" s="401"/>
      <c r="E16" s="401"/>
      <c r="F16" s="401"/>
      <c r="G16" s="401"/>
      <c r="H16" s="403"/>
      <c r="I16" s="403"/>
      <c r="J16" s="404"/>
      <c r="K16" s="404"/>
      <c r="L16" s="404"/>
      <c r="M16" s="405"/>
      <c r="N16" s="405"/>
      <c r="O16" s="405"/>
      <c r="P16" s="418"/>
      <c r="Q16" s="418"/>
      <c r="R16" s="420"/>
      <c r="S16" s="420"/>
      <c r="T16" s="420"/>
      <c r="U16" s="420"/>
      <c r="V16" s="393"/>
      <c r="W16" s="394"/>
    </row>
    <row r="17" spans="1:23" ht="14.55" customHeight="1">
      <c r="A17" s="395"/>
      <c r="B17" s="396"/>
      <c r="C17" s="397"/>
      <c r="D17" s="401"/>
      <c r="E17" s="401"/>
      <c r="F17" s="401"/>
      <c r="G17" s="401"/>
      <c r="H17" s="403" t="str">
        <f t="shared" ref="H17" si="10">IF(ISNUMBER(D17), D17/F17, "")</f>
        <v/>
      </c>
      <c r="I17" s="403"/>
      <c r="J17" s="404"/>
      <c r="K17" s="404"/>
      <c r="L17" s="404"/>
      <c r="M17" s="405" t="str">
        <f>IF(AND(ISNUMBER(D17), ISNUMBER(F17), ISNUMBER(J17)), (D17/F17)*J17, "")</f>
        <v/>
      </c>
      <c r="N17" s="405"/>
      <c r="O17" s="405"/>
      <c r="P17" s="418"/>
      <c r="Q17" s="418"/>
      <c r="R17" s="420"/>
      <c r="S17" s="420"/>
      <c r="T17" s="420"/>
      <c r="U17" s="420"/>
      <c r="V17" s="393"/>
      <c r="W17" s="394"/>
    </row>
    <row r="18" spans="1:23" ht="14.55" customHeight="1">
      <c r="A18" s="398"/>
      <c r="B18" s="399"/>
      <c r="C18" s="400"/>
      <c r="D18" s="401"/>
      <c r="E18" s="401"/>
      <c r="F18" s="401"/>
      <c r="G18" s="401"/>
      <c r="H18" s="403"/>
      <c r="I18" s="403"/>
      <c r="J18" s="404"/>
      <c r="K18" s="404"/>
      <c r="L18" s="404"/>
      <c r="M18" s="405"/>
      <c r="N18" s="405"/>
      <c r="O18" s="405"/>
      <c r="P18" s="418"/>
      <c r="Q18" s="418"/>
      <c r="R18" s="420"/>
      <c r="S18" s="420"/>
      <c r="T18" s="420"/>
      <c r="U18" s="420"/>
      <c r="V18" s="393"/>
      <c r="W18" s="394"/>
    </row>
    <row r="19" spans="1:23" ht="14.55" customHeight="1">
      <c r="A19" s="395"/>
      <c r="B19" s="396"/>
      <c r="C19" s="397"/>
      <c r="D19" s="401"/>
      <c r="E19" s="401"/>
      <c r="F19" s="401"/>
      <c r="G19" s="401"/>
      <c r="H19" s="403" t="str">
        <f t="shared" ref="H19" si="11">IF(ISNUMBER(D19), D19/F19, "")</f>
        <v/>
      </c>
      <c r="I19" s="403"/>
      <c r="J19" s="404"/>
      <c r="K19" s="404"/>
      <c r="L19" s="404"/>
      <c r="M19" s="405" t="str">
        <f t="shared" ref="M19" si="12">IF(AND(ISNUMBER(D19), ISNUMBER(F19), ISNUMBER(J19)), (D19/F19)*J19, "")</f>
        <v/>
      </c>
      <c r="N19" s="405"/>
      <c r="O19" s="405"/>
      <c r="P19" s="418" t="s">
        <v>49</v>
      </c>
      <c r="Q19" s="418"/>
      <c r="R19" s="419">
        <v>0.77</v>
      </c>
      <c r="S19" s="420"/>
      <c r="T19" s="421">
        <f t="shared" ref="T19" si="13">1-$R$1</f>
        <v>1</v>
      </c>
      <c r="U19" s="420"/>
      <c r="V19" s="393" t="str">
        <f>IFERROR(IF($R$1&gt;=R19, "Achieved", ROUND((R19 - $R$1) / $J$27 * $F$27, 1)),"")</f>
        <v/>
      </c>
      <c r="W19" s="394"/>
    </row>
    <row r="20" spans="1:23" ht="14.55" customHeight="1">
      <c r="A20" s="398"/>
      <c r="B20" s="399"/>
      <c r="C20" s="400"/>
      <c r="D20" s="401"/>
      <c r="E20" s="401"/>
      <c r="F20" s="401"/>
      <c r="G20" s="401"/>
      <c r="H20" s="403"/>
      <c r="I20" s="403"/>
      <c r="J20" s="404"/>
      <c r="K20" s="404"/>
      <c r="L20" s="404"/>
      <c r="M20" s="405"/>
      <c r="N20" s="405"/>
      <c r="O20" s="405"/>
      <c r="P20" s="418"/>
      <c r="Q20" s="418"/>
      <c r="R20" s="420"/>
      <c r="S20" s="420"/>
      <c r="T20" s="420"/>
      <c r="U20" s="420"/>
      <c r="V20" s="393"/>
      <c r="W20" s="394"/>
    </row>
    <row r="21" spans="1:23" ht="14.55" customHeight="1">
      <c r="A21" s="395"/>
      <c r="B21" s="396"/>
      <c r="C21" s="397"/>
      <c r="D21" s="401"/>
      <c r="E21" s="401"/>
      <c r="F21" s="401"/>
      <c r="G21" s="401"/>
      <c r="H21" s="403" t="str">
        <f t="shared" ref="H21" si="14">IF(ISNUMBER(D21), D21/F21, "")</f>
        <v/>
      </c>
      <c r="I21" s="403"/>
      <c r="J21" s="404"/>
      <c r="K21" s="404"/>
      <c r="L21" s="404"/>
      <c r="M21" s="405" t="str">
        <f t="shared" ref="M21" si="15">IF(AND(ISNUMBER(D21), ISNUMBER(F21), ISNUMBER(J21)), (D21/F21)*J21, "")</f>
        <v/>
      </c>
      <c r="N21" s="405"/>
      <c r="O21" s="405"/>
      <c r="P21" s="418"/>
      <c r="Q21" s="418"/>
      <c r="R21" s="420"/>
      <c r="S21" s="420"/>
      <c r="T21" s="420"/>
      <c r="U21" s="420"/>
      <c r="V21" s="393"/>
      <c r="W21" s="394"/>
    </row>
    <row r="22" spans="1:23" ht="14.55" customHeight="1">
      <c r="A22" s="398"/>
      <c r="B22" s="399"/>
      <c r="C22" s="400"/>
      <c r="D22" s="401"/>
      <c r="E22" s="401"/>
      <c r="F22" s="401"/>
      <c r="G22" s="401"/>
      <c r="H22" s="403"/>
      <c r="I22" s="403"/>
      <c r="J22" s="404"/>
      <c r="K22" s="404"/>
      <c r="L22" s="404"/>
      <c r="M22" s="405"/>
      <c r="N22" s="405"/>
      <c r="O22" s="405"/>
      <c r="P22" s="418"/>
      <c r="Q22" s="418"/>
      <c r="R22" s="420"/>
      <c r="S22" s="420"/>
      <c r="T22" s="420"/>
      <c r="U22" s="420"/>
      <c r="V22" s="393"/>
      <c r="W22" s="394"/>
    </row>
    <row r="23" spans="1:23" ht="14.55" customHeight="1">
      <c r="A23" s="395"/>
      <c r="B23" s="396"/>
      <c r="C23" s="397"/>
      <c r="D23" s="401"/>
      <c r="E23" s="401"/>
      <c r="F23" s="402"/>
      <c r="G23" s="402"/>
      <c r="H23" s="403" t="str">
        <f t="shared" ref="H23" si="16">IF(ISNUMBER(D23), D23/F23, "")</f>
        <v/>
      </c>
      <c r="I23" s="403"/>
      <c r="J23" s="404"/>
      <c r="K23" s="404"/>
      <c r="L23" s="404"/>
      <c r="M23" s="405" t="str">
        <f t="shared" ref="M23" si="17">IF(AND(ISNUMBER(D23), ISNUMBER(F23), ISNUMBER(J23)), (D23/F23)*J23, "")</f>
        <v/>
      </c>
      <c r="N23" s="405"/>
      <c r="O23" s="405"/>
      <c r="P23" s="418" t="s">
        <v>50</v>
      </c>
      <c r="Q23" s="418"/>
      <c r="R23" s="419">
        <v>0.73</v>
      </c>
      <c r="S23" s="420"/>
      <c r="T23" s="421">
        <f t="shared" ref="T23" si="18">1-$R$1</f>
        <v>1</v>
      </c>
      <c r="U23" s="420"/>
      <c r="V23" s="393" t="str">
        <f>IFERROR(IF($R$1&gt;=R23, "Achieved", ROUND((R23 - $R$1) / $J$27 * $F$27, 1)),"")</f>
        <v/>
      </c>
      <c r="W23" s="394"/>
    </row>
    <row r="24" spans="1:23" ht="14.55" customHeight="1">
      <c r="A24" s="398"/>
      <c r="B24" s="399"/>
      <c r="C24" s="400"/>
      <c r="D24" s="401"/>
      <c r="E24" s="401"/>
      <c r="F24" s="402"/>
      <c r="G24" s="402"/>
      <c r="H24" s="403"/>
      <c r="I24" s="403"/>
      <c r="J24" s="404"/>
      <c r="K24" s="404"/>
      <c r="L24" s="404"/>
      <c r="M24" s="405"/>
      <c r="N24" s="405"/>
      <c r="O24" s="405"/>
      <c r="P24" s="418"/>
      <c r="Q24" s="418"/>
      <c r="R24" s="420"/>
      <c r="S24" s="420"/>
      <c r="T24" s="420"/>
      <c r="U24" s="420"/>
      <c r="V24" s="393"/>
      <c r="W24" s="394"/>
    </row>
    <row r="25" spans="1:23" ht="14.55" customHeight="1">
      <c r="A25" s="395"/>
      <c r="B25" s="396"/>
      <c r="C25" s="397"/>
      <c r="D25" s="401"/>
      <c r="E25" s="401"/>
      <c r="F25" s="402"/>
      <c r="G25" s="402"/>
      <c r="H25" s="403" t="str">
        <f t="shared" ref="H25" si="19">IF(ISNUMBER(D25), D25/F25, "")</f>
        <v/>
      </c>
      <c r="I25" s="403"/>
      <c r="J25" s="404"/>
      <c r="K25" s="404"/>
      <c r="L25" s="404"/>
      <c r="M25" s="405" t="str">
        <f t="shared" ref="M25" si="20">IF(AND(ISNUMBER(D25), ISNUMBER(F25), ISNUMBER(J25)), (D25/F25)*J25, "")</f>
        <v/>
      </c>
      <c r="N25" s="405"/>
      <c r="O25" s="405"/>
      <c r="P25" s="418"/>
      <c r="Q25" s="418"/>
      <c r="R25" s="420"/>
      <c r="S25" s="420"/>
      <c r="T25" s="420"/>
      <c r="U25" s="420"/>
      <c r="V25" s="393"/>
      <c r="W25" s="394"/>
    </row>
    <row r="26" spans="1:23" ht="14.55" customHeight="1">
      <c r="A26" s="398"/>
      <c r="B26" s="399"/>
      <c r="C26" s="400"/>
      <c r="D26" s="401"/>
      <c r="E26" s="401"/>
      <c r="F26" s="402"/>
      <c r="G26" s="402"/>
      <c r="H26" s="403"/>
      <c r="I26" s="403"/>
      <c r="J26" s="404"/>
      <c r="K26" s="404"/>
      <c r="L26" s="404"/>
      <c r="M26" s="405"/>
      <c r="N26" s="405"/>
      <c r="O26" s="405"/>
      <c r="P26" s="418"/>
      <c r="Q26" s="418"/>
      <c r="R26" s="420"/>
      <c r="S26" s="420"/>
      <c r="T26" s="420"/>
      <c r="U26" s="420"/>
      <c r="V26" s="393"/>
      <c r="W26" s="394"/>
    </row>
    <row r="27" spans="1:23" ht="14.55" customHeight="1">
      <c r="A27" s="406" t="s">
        <v>64</v>
      </c>
      <c r="B27" s="407"/>
      <c r="C27" s="408"/>
      <c r="D27" s="401"/>
      <c r="E27" s="401"/>
      <c r="F27" s="402"/>
      <c r="G27" s="402"/>
      <c r="H27" s="403"/>
      <c r="I27" s="403"/>
      <c r="J27" s="404"/>
      <c r="K27" s="404"/>
      <c r="L27" s="404"/>
      <c r="M27" s="405" t="str">
        <f t="shared" ref="M27" si="21">IF(AND(ISNUMBER(D27), ISNUMBER(F27), ISNUMBER(J27)), (D27/F27)*J27, "")</f>
        <v/>
      </c>
      <c r="N27" s="405"/>
      <c r="O27" s="405"/>
      <c r="P27" s="416" t="s">
        <v>22</v>
      </c>
      <c r="Q27" s="416"/>
      <c r="R27" s="417"/>
      <c r="S27" s="417"/>
      <c r="T27" s="416" t="s">
        <v>21</v>
      </c>
      <c r="U27" s="416"/>
      <c r="V27" s="417" t="s">
        <v>37</v>
      </c>
      <c r="W27" s="417"/>
    </row>
    <row r="28" spans="1:23" ht="14.55" customHeight="1">
      <c r="A28" s="409"/>
      <c r="B28" s="410"/>
      <c r="C28" s="411"/>
      <c r="D28" s="412"/>
      <c r="E28" s="412"/>
      <c r="F28" s="413"/>
      <c r="G28" s="413"/>
      <c r="H28" s="414"/>
      <c r="I28" s="414"/>
      <c r="J28" s="404"/>
      <c r="K28" s="404"/>
      <c r="L28" s="404"/>
      <c r="M28" s="415"/>
      <c r="N28" s="415"/>
      <c r="O28" s="415"/>
      <c r="P28" s="416"/>
      <c r="Q28" s="416"/>
      <c r="R28" s="417"/>
      <c r="S28" s="417"/>
      <c r="T28" s="416"/>
      <c r="U28" s="416"/>
      <c r="V28" s="417"/>
      <c r="W28" s="417"/>
    </row>
    <row r="29" spans="1:23" ht="14.55" customHeight="1">
      <c r="A29" s="440" t="s">
        <v>44</v>
      </c>
      <c r="B29" s="441"/>
      <c r="C29" s="441"/>
      <c r="D29" s="441"/>
      <c r="E29" s="441"/>
      <c r="F29" s="441"/>
      <c r="G29" s="441"/>
      <c r="H29" s="441"/>
      <c r="I29" s="441"/>
      <c r="J29" s="441"/>
      <c r="K29" s="441"/>
      <c r="L29" s="441"/>
      <c r="M29" s="441"/>
      <c r="N29" s="441"/>
      <c r="O29" s="441"/>
      <c r="P29" s="441"/>
      <c r="Q29" s="441"/>
      <c r="R29" s="441"/>
      <c r="S29" s="441"/>
      <c r="T29" s="441"/>
      <c r="U29" s="441"/>
      <c r="V29" s="441"/>
      <c r="W29" s="446"/>
    </row>
    <row r="30" spans="1:23" ht="14.55" customHeight="1">
      <c r="A30" s="442"/>
      <c r="B30" s="443"/>
      <c r="C30" s="443"/>
      <c r="D30" s="443"/>
      <c r="E30" s="443"/>
      <c r="F30" s="443"/>
      <c r="G30" s="443"/>
      <c r="H30" s="443"/>
      <c r="I30" s="443"/>
      <c r="J30" s="443"/>
      <c r="K30" s="443"/>
      <c r="L30" s="443"/>
      <c r="M30" s="443"/>
      <c r="N30" s="443"/>
      <c r="O30" s="443"/>
      <c r="P30" s="443"/>
      <c r="Q30" s="443"/>
      <c r="R30" s="443"/>
      <c r="S30" s="443"/>
      <c r="T30" s="443"/>
      <c r="U30" s="443"/>
      <c r="V30" s="443"/>
      <c r="W30" s="447"/>
    </row>
    <row r="31" spans="1:23" ht="14.55" customHeight="1">
      <c r="A31" s="444"/>
      <c r="B31" s="445"/>
      <c r="C31" s="445"/>
      <c r="D31" s="445"/>
      <c r="E31" s="445"/>
      <c r="F31" s="445"/>
      <c r="G31" s="445"/>
      <c r="H31" s="445"/>
      <c r="I31" s="445"/>
      <c r="J31" s="445"/>
      <c r="K31" s="445"/>
      <c r="L31" s="445"/>
      <c r="M31" s="445"/>
      <c r="N31" s="445"/>
      <c r="O31" s="445"/>
      <c r="P31" s="445"/>
      <c r="Q31" s="445"/>
      <c r="R31" s="445"/>
      <c r="S31" s="445"/>
      <c r="T31" s="445"/>
      <c r="U31" s="445"/>
      <c r="V31" s="445"/>
      <c r="W31" s="448"/>
    </row>
    <row r="32" spans="1:23" ht="14.55" customHeight="1">
      <c r="A32" s="422"/>
      <c r="B32" s="423"/>
      <c r="C32" s="423"/>
      <c r="D32" s="423"/>
      <c r="E32" s="423"/>
      <c r="F32" s="423"/>
      <c r="G32" s="423"/>
      <c r="H32" s="423"/>
      <c r="I32" s="423"/>
      <c r="J32" s="423"/>
      <c r="K32" s="423"/>
      <c r="L32" s="423"/>
      <c r="M32" s="423"/>
      <c r="N32" s="423"/>
      <c r="O32" s="423"/>
      <c r="P32" s="426" t="s">
        <v>52</v>
      </c>
      <c r="Q32" s="426"/>
      <c r="R32" s="428">
        <f>SUM(M38:O59)</f>
        <v>0</v>
      </c>
      <c r="S32" s="429"/>
      <c r="T32" s="431" t="s">
        <v>34</v>
      </c>
      <c r="U32" s="431"/>
      <c r="V32" s="433"/>
      <c r="W32" s="434"/>
    </row>
    <row r="33" spans="1:23" ht="14.55" customHeight="1">
      <c r="A33" s="424"/>
      <c r="B33" s="425"/>
      <c r="C33" s="425"/>
      <c r="D33" s="425"/>
      <c r="E33" s="425"/>
      <c r="F33" s="425"/>
      <c r="G33" s="425"/>
      <c r="H33" s="425"/>
      <c r="I33" s="425"/>
      <c r="J33" s="425"/>
      <c r="K33" s="425"/>
      <c r="L33" s="425"/>
      <c r="M33" s="425"/>
      <c r="N33" s="425"/>
      <c r="O33" s="425"/>
      <c r="P33" s="427"/>
      <c r="Q33" s="427"/>
      <c r="R33" s="430"/>
      <c r="S33" s="430"/>
      <c r="T33" s="432"/>
      <c r="U33" s="432"/>
      <c r="V33" s="435"/>
      <c r="W33" s="436"/>
    </row>
    <row r="34" spans="1:23" ht="14.55" customHeight="1">
      <c r="A34" s="424"/>
      <c r="B34" s="425"/>
      <c r="C34" s="425"/>
      <c r="D34" s="425"/>
      <c r="E34" s="425"/>
      <c r="F34" s="425"/>
      <c r="G34" s="425"/>
      <c r="H34" s="425"/>
      <c r="I34" s="425"/>
      <c r="J34" s="425"/>
      <c r="K34" s="425"/>
      <c r="L34" s="425"/>
      <c r="M34" s="425"/>
      <c r="N34" s="425"/>
      <c r="O34" s="425"/>
      <c r="P34" s="427"/>
      <c r="Q34" s="427"/>
      <c r="R34" s="430"/>
      <c r="S34" s="430"/>
      <c r="T34" s="432"/>
      <c r="U34" s="432"/>
      <c r="V34" s="435"/>
      <c r="W34" s="436"/>
    </row>
    <row r="35" spans="1:23" ht="14.55" customHeight="1">
      <c r="A35" s="424"/>
      <c r="B35" s="425"/>
      <c r="C35" s="425"/>
      <c r="D35" s="425"/>
      <c r="E35" s="425"/>
      <c r="F35" s="425"/>
      <c r="G35" s="425"/>
      <c r="H35" s="425"/>
      <c r="I35" s="425"/>
      <c r="J35" s="425"/>
      <c r="K35" s="425"/>
      <c r="L35" s="425"/>
      <c r="M35" s="425"/>
      <c r="N35" s="425"/>
      <c r="O35" s="425"/>
      <c r="P35" s="427"/>
      <c r="Q35" s="427"/>
      <c r="R35" s="430"/>
      <c r="S35" s="430"/>
      <c r="T35" s="432"/>
      <c r="U35" s="432"/>
      <c r="V35" s="435"/>
      <c r="W35" s="436"/>
    </row>
    <row r="36" spans="1:23" ht="13.8" customHeight="1">
      <c r="A36" s="437" t="s">
        <v>5</v>
      </c>
      <c r="B36" s="438"/>
      <c r="C36" s="438"/>
      <c r="D36" s="438" t="s">
        <v>53</v>
      </c>
      <c r="E36" s="438"/>
      <c r="F36" s="438" t="s">
        <v>45</v>
      </c>
      <c r="G36" s="438"/>
      <c r="H36" s="438" t="s">
        <v>55</v>
      </c>
      <c r="I36" s="438"/>
      <c r="J36" s="438" t="s">
        <v>46</v>
      </c>
      <c r="K36" s="438"/>
      <c r="L36" s="438"/>
      <c r="M36" s="438" t="s">
        <v>54</v>
      </c>
      <c r="N36" s="438"/>
      <c r="O36" s="438"/>
      <c r="P36" s="438" t="s">
        <v>21</v>
      </c>
      <c r="Q36" s="438"/>
      <c r="R36" s="438" t="s">
        <v>47</v>
      </c>
      <c r="S36" s="438"/>
      <c r="T36" s="438" t="s">
        <v>48</v>
      </c>
      <c r="U36" s="438"/>
      <c r="V36" s="438" t="s">
        <v>51</v>
      </c>
      <c r="W36" s="439"/>
    </row>
    <row r="37" spans="1:23" ht="13.8" customHeight="1">
      <c r="A37" s="437"/>
      <c r="B37" s="438"/>
      <c r="C37" s="438"/>
      <c r="D37" s="438"/>
      <c r="E37" s="438"/>
      <c r="F37" s="438"/>
      <c r="G37" s="438"/>
      <c r="H37" s="438"/>
      <c r="I37" s="438"/>
      <c r="J37" s="438"/>
      <c r="K37" s="438"/>
      <c r="L37" s="438"/>
      <c r="M37" s="438"/>
      <c r="N37" s="438"/>
      <c r="O37" s="438"/>
      <c r="P37" s="438"/>
      <c r="Q37" s="438"/>
      <c r="R37" s="438"/>
      <c r="S37" s="438"/>
      <c r="T37" s="438"/>
      <c r="U37" s="438"/>
      <c r="V37" s="438"/>
      <c r="W37" s="439"/>
    </row>
    <row r="38" spans="1:23" ht="14.55" customHeight="1">
      <c r="A38" s="395"/>
      <c r="B38" s="396"/>
      <c r="C38" s="397"/>
      <c r="D38" s="401"/>
      <c r="E38" s="401"/>
      <c r="F38" s="402"/>
      <c r="G38" s="402"/>
      <c r="H38" s="403" t="str">
        <f>IF(ISNUMBER(D38), D38/F38, "")</f>
        <v/>
      </c>
      <c r="I38" s="403"/>
      <c r="J38" s="404"/>
      <c r="K38" s="404"/>
      <c r="L38" s="404"/>
      <c r="M38" s="405" t="str">
        <f t="shared" ref="M38" si="22">IF(AND(ISNUMBER(D38), ISNUMBER(F38), ISNUMBER(J38)), (D38/F38)*J38, "")</f>
        <v/>
      </c>
      <c r="N38" s="405"/>
      <c r="O38" s="405"/>
      <c r="P38" s="418" t="s">
        <v>37</v>
      </c>
      <c r="Q38" s="418"/>
      <c r="R38" s="419">
        <v>0.9</v>
      </c>
      <c r="S38" s="420"/>
      <c r="T38" s="421">
        <f>1-$R$1</f>
        <v>1</v>
      </c>
      <c r="U38" s="420"/>
      <c r="V38" s="393" t="str">
        <f>IFERROR(IF($R$1&gt;=R38, "Achieved", ROUND((R38 - $R$1) / $J$58 * $F$58, 1)),"")</f>
        <v/>
      </c>
      <c r="W38" s="394"/>
    </row>
    <row r="39" spans="1:23" ht="14.55" customHeight="1">
      <c r="A39" s="398"/>
      <c r="B39" s="399"/>
      <c r="C39" s="400"/>
      <c r="D39" s="401"/>
      <c r="E39" s="401"/>
      <c r="F39" s="402"/>
      <c r="G39" s="402"/>
      <c r="H39" s="403"/>
      <c r="I39" s="403"/>
      <c r="J39" s="404"/>
      <c r="K39" s="404"/>
      <c r="L39" s="404"/>
      <c r="M39" s="405"/>
      <c r="N39" s="405"/>
      <c r="O39" s="405"/>
      <c r="P39" s="418"/>
      <c r="Q39" s="418"/>
      <c r="R39" s="420"/>
      <c r="S39" s="420"/>
      <c r="T39" s="420"/>
      <c r="U39" s="420"/>
      <c r="V39" s="393"/>
      <c r="W39" s="394"/>
    </row>
    <row r="40" spans="1:23" ht="14.55" customHeight="1">
      <c r="A40" s="395"/>
      <c r="B40" s="396"/>
      <c r="C40" s="397"/>
      <c r="D40" s="401"/>
      <c r="E40" s="401"/>
      <c r="F40" s="402"/>
      <c r="G40" s="402"/>
      <c r="H40" s="403" t="str">
        <f t="shared" ref="H40" si="23">IF(ISNUMBER(D40), D40/F40, "")</f>
        <v/>
      </c>
      <c r="I40" s="403"/>
      <c r="J40" s="404"/>
      <c r="K40" s="404"/>
      <c r="L40" s="404"/>
      <c r="M40" s="405" t="str">
        <f t="shared" ref="M40" si="24">IF(AND(ISNUMBER(D40), ISNUMBER(F40), ISNUMBER(J40)), (D40/F40)*J40, "")</f>
        <v/>
      </c>
      <c r="N40" s="405"/>
      <c r="O40" s="405"/>
      <c r="P40" s="418"/>
      <c r="Q40" s="418"/>
      <c r="R40" s="420"/>
      <c r="S40" s="420"/>
      <c r="T40" s="420"/>
      <c r="U40" s="420"/>
      <c r="V40" s="393"/>
      <c r="W40" s="394"/>
    </row>
    <row r="41" spans="1:23" ht="14.55" customHeight="1">
      <c r="A41" s="398"/>
      <c r="B41" s="399"/>
      <c r="C41" s="400"/>
      <c r="D41" s="401"/>
      <c r="E41" s="401"/>
      <c r="F41" s="402"/>
      <c r="G41" s="402"/>
      <c r="H41" s="403"/>
      <c r="I41" s="403"/>
      <c r="J41" s="404"/>
      <c r="K41" s="404"/>
      <c r="L41" s="404"/>
      <c r="M41" s="405"/>
      <c r="N41" s="405"/>
      <c r="O41" s="405"/>
      <c r="P41" s="418"/>
      <c r="Q41" s="418"/>
      <c r="R41" s="420"/>
      <c r="S41" s="420"/>
      <c r="T41" s="420"/>
      <c r="U41" s="420"/>
      <c r="V41" s="393"/>
      <c r="W41" s="394"/>
    </row>
    <row r="42" spans="1:23" ht="14.55" customHeight="1">
      <c r="A42" s="395"/>
      <c r="B42" s="396"/>
      <c r="C42" s="397"/>
      <c r="D42" s="401"/>
      <c r="E42" s="401"/>
      <c r="F42" s="402"/>
      <c r="G42" s="402"/>
      <c r="H42" s="403" t="str">
        <f t="shared" ref="H42" si="25">IF(ISNUMBER(D42), D42/F42, "")</f>
        <v/>
      </c>
      <c r="I42" s="403"/>
      <c r="J42" s="404"/>
      <c r="K42" s="404"/>
      <c r="L42" s="404"/>
      <c r="M42" s="405" t="str">
        <f t="shared" ref="M42" si="26">IF(AND(ISNUMBER(D42), ISNUMBER(F42), ISNUMBER(J42)), (D42/F42)*J42, "")</f>
        <v/>
      </c>
      <c r="N42" s="405"/>
      <c r="O42" s="405"/>
      <c r="P42" s="418" t="s">
        <v>38</v>
      </c>
      <c r="Q42" s="418"/>
      <c r="R42" s="419">
        <v>0.85</v>
      </c>
      <c r="S42" s="420"/>
      <c r="T42" s="421">
        <f t="shared" ref="T42" si="27">1-$R$1</f>
        <v>1</v>
      </c>
      <c r="U42" s="420"/>
      <c r="V42" s="393" t="str">
        <f>IFERROR(IF($R$1&gt;=R42, "Achieved", ROUND((R42 - $R$1) / $J$58 * $F$58, 1)),"")</f>
        <v/>
      </c>
      <c r="W42" s="394"/>
    </row>
    <row r="43" spans="1:23" ht="14.55" customHeight="1">
      <c r="A43" s="398"/>
      <c r="B43" s="399"/>
      <c r="C43" s="400"/>
      <c r="D43" s="401"/>
      <c r="E43" s="401"/>
      <c r="F43" s="402"/>
      <c r="G43" s="402"/>
      <c r="H43" s="403"/>
      <c r="I43" s="403"/>
      <c r="J43" s="404"/>
      <c r="K43" s="404"/>
      <c r="L43" s="404"/>
      <c r="M43" s="405"/>
      <c r="N43" s="405"/>
      <c r="O43" s="405"/>
      <c r="P43" s="418"/>
      <c r="Q43" s="418"/>
      <c r="R43" s="420"/>
      <c r="S43" s="420"/>
      <c r="T43" s="420"/>
      <c r="U43" s="420"/>
      <c r="V43" s="393"/>
      <c r="W43" s="394"/>
    </row>
    <row r="44" spans="1:23" ht="14.55" customHeight="1">
      <c r="A44" s="395"/>
      <c r="B44" s="396"/>
      <c r="C44" s="397"/>
      <c r="D44" s="401"/>
      <c r="E44" s="401"/>
      <c r="F44" s="402"/>
      <c r="G44" s="402"/>
      <c r="H44" s="403" t="str">
        <f t="shared" ref="H44" si="28">IF(ISNUMBER(D44), D44/F44, "")</f>
        <v/>
      </c>
      <c r="I44" s="403"/>
      <c r="J44" s="404"/>
      <c r="K44" s="404"/>
      <c r="L44" s="404"/>
      <c r="M44" s="405" t="str">
        <f t="shared" ref="M44" si="29">IF(AND(ISNUMBER(D44), ISNUMBER(F44), ISNUMBER(J44)), (D44/F44)*J44, "")</f>
        <v/>
      </c>
      <c r="N44" s="405"/>
      <c r="O44" s="405"/>
      <c r="P44" s="418"/>
      <c r="Q44" s="418"/>
      <c r="R44" s="420"/>
      <c r="S44" s="420"/>
      <c r="T44" s="420"/>
      <c r="U44" s="420"/>
      <c r="V44" s="393"/>
      <c r="W44" s="394"/>
    </row>
    <row r="45" spans="1:23" ht="14.55" customHeight="1">
      <c r="A45" s="398"/>
      <c r="B45" s="399"/>
      <c r="C45" s="400"/>
      <c r="D45" s="401"/>
      <c r="E45" s="401"/>
      <c r="F45" s="402"/>
      <c r="G45" s="402"/>
      <c r="H45" s="403"/>
      <c r="I45" s="403"/>
      <c r="J45" s="404"/>
      <c r="K45" s="404"/>
      <c r="L45" s="404"/>
      <c r="M45" s="405"/>
      <c r="N45" s="405"/>
      <c r="O45" s="405"/>
      <c r="P45" s="418"/>
      <c r="Q45" s="418"/>
      <c r="R45" s="420"/>
      <c r="S45" s="420"/>
      <c r="T45" s="420"/>
      <c r="U45" s="420"/>
      <c r="V45" s="393"/>
      <c r="W45" s="394"/>
    </row>
    <row r="46" spans="1:23" ht="14.55" customHeight="1">
      <c r="A46" s="395"/>
      <c r="B46" s="396"/>
      <c r="C46" s="397"/>
      <c r="D46" s="401"/>
      <c r="E46" s="401"/>
      <c r="F46" s="402"/>
      <c r="G46" s="402"/>
      <c r="H46" s="403" t="str">
        <f t="shared" ref="H46" si="30">IF(ISNUMBER(D46), D46/F46, "")</f>
        <v/>
      </c>
      <c r="I46" s="403"/>
      <c r="J46" s="404"/>
      <c r="K46" s="404"/>
      <c r="L46" s="404"/>
      <c r="M46" s="405" t="str">
        <f t="shared" ref="M46" si="31">IF(AND(ISNUMBER(D46), ISNUMBER(F46), ISNUMBER(J46)), (D46/F46)*J46, "")</f>
        <v/>
      </c>
      <c r="N46" s="405"/>
      <c r="O46" s="405"/>
      <c r="P46" s="418" t="s">
        <v>41</v>
      </c>
      <c r="Q46" s="418"/>
      <c r="R46" s="419">
        <v>0.8</v>
      </c>
      <c r="S46" s="420"/>
      <c r="T46" s="421">
        <f t="shared" ref="T46" si="32">1-$R$1</f>
        <v>1</v>
      </c>
      <c r="U46" s="420"/>
      <c r="V46" s="393" t="str">
        <f>IFERROR(IF($R$1&gt;=R46, "Achieved", ROUND((R46 - $R$1) / $J$58 * $F$58, 1)),"")</f>
        <v/>
      </c>
      <c r="W46" s="394"/>
    </row>
    <row r="47" spans="1:23" ht="14.55" customHeight="1">
      <c r="A47" s="398"/>
      <c r="B47" s="399"/>
      <c r="C47" s="400"/>
      <c r="D47" s="401"/>
      <c r="E47" s="401"/>
      <c r="F47" s="402"/>
      <c r="G47" s="402"/>
      <c r="H47" s="403"/>
      <c r="I47" s="403"/>
      <c r="J47" s="404"/>
      <c r="K47" s="404"/>
      <c r="L47" s="404"/>
      <c r="M47" s="405"/>
      <c r="N47" s="405"/>
      <c r="O47" s="405"/>
      <c r="P47" s="418"/>
      <c r="Q47" s="418"/>
      <c r="R47" s="420"/>
      <c r="S47" s="420"/>
      <c r="T47" s="420"/>
      <c r="U47" s="420"/>
      <c r="V47" s="393"/>
      <c r="W47" s="394"/>
    </row>
    <row r="48" spans="1:23" ht="14.55" customHeight="1">
      <c r="A48" s="395"/>
      <c r="B48" s="396"/>
      <c r="C48" s="397"/>
      <c r="D48" s="401"/>
      <c r="E48" s="401"/>
      <c r="F48" s="402"/>
      <c r="G48" s="402"/>
      <c r="H48" s="403" t="str">
        <f t="shared" ref="H48" si="33">IF(ISNUMBER(D48), D48/F48, "")</f>
        <v/>
      </c>
      <c r="I48" s="403"/>
      <c r="J48" s="404"/>
      <c r="K48" s="404"/>
      <c r="L48" s="404"/>
      <c r="M48" s="405" t="str">
        <f>IF(AND(ISNUMBER(D48), ISNUMBER(F48), ISNUMBER(J48)), (D48/F48)*J48, "")</f>
        <v/>
      </c>
      <c r="N48" s="405"/>
      <c r="O48" s="405"/>
      <c r="P48" s="418"/>
      <c r="Q48" s="418"/>
      <c r="R48" s="420"/>
      <c r="S48" s="420"/>
      <c r="T48" s="420"/>
      <c r="U48" s="420"/>
      <c r="V48" s="393"/>
      <c r="W48" s="394"/>
    </row>
    <row r="49" spans="1:23" ht="14.55" customHeight="1">
      <c r="A49" s="398"/>
      <c r="B49" s="399"/>
      <c r="C49" s="400"/>
      <c r="D49" s="401"/>
      <c r="E49" s="401"/>
      <c r="F49" s="402"/>
      <c r="G49" s="402"/>
      <c r="H49" s="403"/>
      <c r="I49" s="403"/>
      <c r="J49" s="404"/>
      <c r="K49" s="404"/>
      <c r="L49" s="404"/>
      <c r="M49" s="405"/>
      <c r="N49" s="405"/>
      <c r="O49" s="405"/>
      <c r="P49" s="418"/>
      <c r="Q49" s="418"/>
      <c r="R49" s="420"/>
      <c r="S49" s="420"/>
      <c r="T49" s="420"/>
      <c r="U49" s="420"/>
      <c r="V49" s="393"/>
      <c r="W49" s="394"/>
    </row>
    <row r="50" spans="1:23" ht="14.55" customHeight="1">
      <c r="A50" s="395"/>
      <c r="B50" s="396"/>
      <c r="C50" s="397"/>
      <c r="D50" s="401"/>
      <c r="E50" s="401"/>
      <c r="F50" s="402"/>
      <c r="G50" s="402"/>
      <c r="H50" s="403" t="str">
        <f t="shared" ref="H50" si="34">IF(ISNUMBER(D50), D50/F50, "")</f>
        <v/>
      </c>
      <c r="I50" s="403"/>
      <c r="J50" s="404"/>
      <c r="K50" s="404"/>
      <c r="L50" s="404"/>
      <c r="M50" s="405" t="str">
        <f t="shared" ref="M50" si="35">IF(AND(ISNUMBER(D50), ISNUMBER(F50), ISNUMBER(J50)), (D50/F50)*J50, "")</f>
        <v/>
      </c>
      <c r="N50" s="405"/>
      <c r="O50" s="405"/>
      <c r="P50" s="418" t="s">
        <v>49</v>
      </c>
      <c r="Q50" s="418"/>
      <c r="R50" s="419">
        <v>0.77</v>
      </c>
      <c r="S50" s="420"/>
      <c r="T50" s="421">
        <f t="shared" ref="T50" si="36">1-$R$1</f>
        <v>1</v>
      </c>
      <c r="U50" s="420"/>
      <c r="V50" s="393" t="str">
        <f>IFERROR(IF($R$1&gt;=R50, "Achieved", ROUND((R50 - $R$1) / $J$58 * $F$58, 1)),"")</f>
        <v/>
      </c>
      <c r="W50" s="394"/>
    </row>
    <row r="51" spans="1:23" ht="14.55" customHeight="1">
      <c r="A51" s="398"/>
      <c r="B51" s="399"/>
      <c r="C51" s="400"/>
      <c r="D51" s="401"/>
      <c r="E51" s="401"/>
      <c r="F51" s="402"/>
      <c r="G51" s="402"/>
      <c r="H51" s="403"/>
      <c r="I51" s="403"/>
      <c r="J51" s="404"/>
      <c r="K51" s="404"/>
      <c r="L51" s="404"/>
      <c r="M51" s="405"/>
      <c r="N51" s="405"/>
      <c r="O51" s="405"/>
      <c r="P51" s="418"/>
      <c r="Q51" s="418"/>
      <c r="R51" s="420"/>
      <c r="S51" s="420"/>
      <c r="T51" s="420"/>
      <c r="U51" s="420"/>
      <c r="V51" s="393"/>
      <c r="W51" s="394"/>
    </row>
    <row r="52" spans="1:23" ht="14.55" customHeight="1">
      <c r="A52" s="395"/>
      <c r="B52" s="396"/>
      <c r="C52" s="397"/>
      <c r="D52" s="401"/>
      <c r="E52" s="401"/>
      <c r="F52" s="402"/>
      <c r="G52" s="402"/>
      <c r="H52" s="403" t="str">
        <f t="shared" ref="H52" si="37">IF(ISNUMBER(D52), D52/F52, "")</f>
        <v/>
      </c>
      <c r="I52" s="403"/>
      <c r="J52" s="404"/>
      <c r="K52" s="404"/>
      <c r="L52" s="404"/>
      <c r="M52" s="405" t="str">
        <f t="shared" ref="M52" si="38">IF(AND(ISNUMBER(D52), ISNUMBER(F52), ISNUMBER(J52)), (D52/F52)*J52, "")</f>
        <v/>
      </c>
      <c r="N52" s="405"/>
      <c r="O52" s="405"/>
      <c r="P52" s="418"/>
      <c r="Q52" s="418"/>
      <c r="R52" s="420"/>
      <c r="S52" s="420"/>
      <c r="T52" s="420"/>
      <c r="U52" s="420"/>
      <c r="V52" s="393"/>
      <c r="W52" s="394"/>
    </row>
    <row r="53" spans="1:23" ht="14.55" customHeight="1">
      <c r="A53" s="398"/>
      <c r="B53" s="399"/>
      <c r="C53" s="400"/>
      <c r="D53" s="401"/>
      <c r="E53" s="401"/>
      <c r="F53" s="402"/>
      <c r="G53" s="402"/>
      <c r="H53" s="403"/>
      <c r="I53" s="403"/>
      <c r="J53" s="404"/>
      <c r="K53" s="404"/>
      <c r="L53" s="404"/>
      <c r="M53" s="405"/>
      <c r="N53" s="405"/>
      <c r="O53" s="405"/>
      <c r="P53" s="418"/>
      <c r="Q53" s="418"/>
      <c r="R53" s="420"/>
      <c r="S53" s="420"/>
      <c r="T53" s="420"/>
      <c r="U53" s="420"/>
      <c r="V53" s="393"/>
      <c r="W53" s="394"/>
    </row>
    <row r="54" spans="1:23" ht="14.55" customHeight="1">
      <c r="A54" s="395"/>
      <c r="B54" s="396"/>
      <c r="C54" s="397"/>
      <c r="D54" s="401"/>
      <c r="E54" s="401"/>
      <c r="F54" s="402"/>
      <c r="G54" s="402"/>
      <c r="H54" s="403" t="str">
        <f t="shared" ref="H54" si="39">IF(ISNUMBER(D54), D54/F54, "")</f>
        <v/>
      </c>
      <c r="I54" s="403"/>
      <c r="J54" s="404"/>
      <c r="K54" s="404"/>
      <c r="L54" s="404"/>
      <c r="M54" s="405" t="str">
        <f t="shared" ref="M54" si="40">IF(AND(ISNUMBER(D54), ISNUMBER(F54), ISNUMBER(J54)), (D54/F54)*J54, "")</f>
        <v/>
      </c>
      <c r="N54" s="405"/>
      <c r="O54" s="405"/>
      <c r="P54" s="418" t="s">
        <v>50</v>
      </c>
      <c r="Q54" s="418"/>
      <c r="R54" s="419">
        <v>0.73</v>
      </c>
      <c r="S54" s="420"/>
      <c r="T54" s="421">
        <f t="shared" ref="T54" si="41">1-$R$1</f>
        <v>1</v>
      </c>
      <c r="U54" s="420"/>
      <c r="V54" s="393" t="str">
        <f>IFERROR(IF($R$1&gt;=R54, "Achieved", ROUND((R54 - $R$1) / $J$58 * $F$58, 1)),"")</f>
        <v/>
      </c>
      <c r="W54" s="394"/>
    </row>
    <row r="55" spans="1:23" ht="14.55" customHeight="1">
      <c r="A55" s="398"/>
      <c r="B55" s="399"/>
      <c r="C55" s="400"/>
      <c r="D55" s="401"/>
      <c r="E55" s="401"/>
      <c r="F55" s="402"/>
      <c r="G55" s="402"/>
      <c r="H55" s="403"/>
      <c r="I55" s="403"/>
      <c r="J55" s="404"/>
      <c r="K55" s="404"/>
      <c r="L55" s="404"/>
      <c r="M55" s="405"/>
      <c r="N55" s="405"/>
      <c r="O55" s="405"/>
      <c r="P55" s="418"/>
      <c r="Q55" s="418"/>
      <c r="R55" s="420"/>
      <c r="S55" s="420"/>
      <c r="T55" s="420"/>
      <c r="U55" s="420"/>
      <c r="V55" s="393"/>
      <c r="W55" s="394"/>
    </row>
    <row r="56" spans="1:23" ht="14.55" customHeight="1">
      <c r="A56" s="395"/>
      <c r="B56" s="396"/>
      <c r="C56" s="397"/>
      <c r="D56" s="401"/>
      <c r="E56" s="401"/>
      <c r="F56" s="402"/>
      <c r="G56" s="402"/>
      <c r="H56" s="403" t="str">
        <f t="shared" ref="H56" si="42">IF(ISNUMBER(D56), D56/F56, "")</f>
        <v/>
      </c>
      <c r="I56" s="403"/>
      <c r="J56" s="404"/>
      <c r="K56" s="404"/>
      <c r="L56" s="404"/>
      <c r="M56" s="405" t="str">
        <f t="shared" ref="M56" si="43">IF(AND(ISNUMBER(D56), ISNUMBER(F56), ISNUMBER(J56)), (D56/F56)*J56, "")</f>
        <v/>
      </c>
      <c r="N56" s="405"/>
      <c r="O56" s="405"/>
      <c r="P56" s="418"/>
      <c r="Q56" s="418"/>
      <c r="R56" s="420"/>
      <c r="S56" s="420"/>
      <c r="T56" s="420"/>
      <c r="U56" s="420"/>
      <c r="V56" s="393"/>
      <c r="W56" s="394"/>
    </row>
    <row r="57" spans="1:23" ht="14.55" customHeight="1">
      <c r="A57" s="398"/>
      <c r="B57" s="399"/>
      <c r="C57" s="400"/>
      <c r="D57" s="401"/>
      <c r="E57" s="401"/>
      <c r="F57" s="402"/>
      <c r="G57" s="402"/>
      <c r="H57" s="403"/>
      <c r="I57" s="403"/>
      <c r="J57" s="404"/>
      <c r="K57" s="404"/>
      <c r="L57" s="404"/>
      <c r="M57" s="405"/>
      <c r="N57" s="405"/>
      <c r="O57" s="405"/>
      <c r="P57" s="418"/>
      <c r="Q57" s="418"/>
      <c r="R57" s="420"/>
      <c r="S57" s="420"/>
      <c r="T57" s="420"/>
      <c r="U57" s="420"/>
      <c r="V57" s="393"/>
      <c r="W57" s="394"/>
    </row>
    <row r="58" spans="1:23" ht="14.55" customHeight="1">
      <c r="A58" s="406" t="s">
        <v>64</v>
      </c>
      <c r="B58" s="407"/>
      <c r="C58" s="408"/>
      <c r="D58" s="401"/>
      <c r="E58" s="401"/>
      <c r="F58" s="402"/>
      <c r="G58" s="402"/>
      <c r="H58" s="403" t="str">
        <f t="shared" ref="H58" si="44">IF(ISNUMBER(D58), D58/F58, "")</f>
        <v/>
      </c>
      <c r="I58" s="403"/>
      <c r="J58" s="404"/>
      <c r="K58" s="404"/>
      <c r="L58" s="404"/>
      <c r="M58" s="405" t="str">
        <f t="shared" ref="M58" si="45">IF(AND(ISNUMBER(D58), ISNUMBER(F58), ISNUMBER(J58)), (D58/F58)*J58, "")</f>
        <v/>
      </c>
      <c r="N58" s="405"/>
      <c r="O58" s="405"/>
      <c r="P58" s="416" t="s">
        <v>22</v>
      </c>
      <c r="Q58" s="416"/>
      <c r="R58" s="417"/>
      <c r="S58" s="417"/>
      <c r="T58" s="416" t="s">
        <v>21</v>
      </c>
      <c r="U58" s="416"/>
      <c r="V58" s="417" t="s">
        <v>37</v>
      </c>
      <c r="W58" s="417"/>
    </row>
    <row r="59" spans="1:23" ht="14.55" customHeight="1">
      <c r="A59" s="409"/>
      <c r="B59" s="410"/>
      <c r="C59" s="411"/>
      <c r="D59" s="412"/>
      <c r="E59" s="412"/>
      <c r="F59" s="413"/>
      <c r="G59" s="413"/>
      <c r="H59" s="414"/>
      <c r="I59" s="414"/>
      <c r="J59" s="404"/>
      <c r="K59" s="404"/>
      <c r="L59" s="404"/>
      <c r="M59" s="415"/>
      <c r="N59" s="415"/>
      <c r="O59" s="415"/>
      <c r="P59" s="416"/>
      <c r="Q59" s="416"/>
      <c r="R59" s="417"/>
      <c r="S59" s="417"/>
      <c r="T59" s="416"/>
      <c r="U59" s="416"/>
      <c r="V59" s="417"/>
      <c r="W59" s="417"/>
    </row>
    <row r="60" spans="1:23" ht="14.55" customHeight="1">
      <c r="A60" s="440" t="s">
        <v>44</v>
      </c>
      <c r="B60" s="441"/>
      <c r="C60" s="441"/>
      <c r="D60" s="441"/>
      <c r="E60" s="441"/>
      <c r="F60" s="441"/>
      <c r="G60" s="441"/>
      <c r="H60" s="441"/>
      <c r="I60" s="441"/>
      <c r="J60" s="441"/>
      <c r="K60" s="441"/>
      <c r="L60" s="441"/>
      <c r="M60" s="441"/>
      <c r="N60" s="441"/>
      <c r="O60" s="441"/>
      <c r="P60" s="441"/>
      <c r="Q60" s="441"/>
      <c r="R60" s="441"/>
      <c r="S60" s="441"/>
      <c r="T60" s="441"/>
      <c r="U60" s="441"/>
      <c r="V60" s="441"/>
      <c r="W60" s="446"/>
    </row>
    <row r="61" spans="1:23" ht="14.55" customHeight="1">
      <c r="A61" s="442"/>
      <c r="B61" s="443"/>
      <c r="C61" s="443"/>
      <c r="D61" s="443"/>
      <c r="E61" s="443"/>
      <c r="F61" s="443"/>
      <c r="G61" s="443"/>
      <c r="H61" s="443"/>
      <c r="I61" s="443"/>
      <c r="J61" s="443"/>
      <c r="K61" s="443"/>
      <c r="L61" s="443"/>
      <c r="M61" s="443"/>
      <c r="N61" s="443"/>
      <c r="O61" s="443"/>
      <c r="P61" s="443"/>
      <c r="Q61" s="443"/>
      <c r="R61" s="443"/>
      <c r="S61" s="443"/>
      <c r="T61" s="443"/>
      <c r="U61" s="443"/>
      <c r="V61" s="443"/>
      <c r="W61" s="447"/>
    </row>
    <row r="62" spans="1:23" ht="14.55" customHeight="1">
      <c r="A62" s="444"/>
      <c r="B62" s="445"/>
      <c r="C62" s="445"/>
      <c r="D62" s="445"/>
      <c r="E62" s="445"/>
      <c r="F62" s="445"/>
      <c r="G62" s="445"/>
      <c r="H62" s="445"/>
      <c r="I62" s="445"/>
      <c r="J62" s="445"/>
      <c r="K62" s="445"/>
      <c r="L62" s="445"/>
      <c r="M62" s="445"/>
      <c r="N62" s="445"/>
      <c r="O62" s="445"/>
      <c r="P62" s="445"/>
      <c r="Q62" s="445"/>
      <c r="R62" s="445"/>
      <c r="S62" s="445"/>
      <c r="T62" s="445"/>
      <c r="U62" s="445"/>
      <c r="V62" s="445"/>
      <c r="W62" s="448"/>
    </row>
    <row r="63" spans="1:23">
      <c r="A63" s="422"/>
      <c r="B63" s="423"/>
      <c r="C63" s="423"/>
      <c r="D63" s="423"/>
      <c r="E63" s="423"/>
      <c r="F63" s="423"/>
      <c r="G63" s="423"/>
      <c r="H63" s="423"/>
      <c r="I63" s="423"/>
      <c r="J63" s="423"/>
      <c r="K63" s="423"/>
      <c r="L63" s="423"/>
      <c r="M63" s="423"/>
      <c r="N63" s="423"/>
      <c r="O63" s="423"/>
      <c r="P63" s="426" t="s">
        <v>52</v>
      </c>
      <c r="Q63" s="426"/>
      <c r="R63" s="428">
        <f>SUM(M69:O90)</f>
        <v>0</v>
      </c>
      <c r="S63" s="429"/>
      <c r="T63" s="431" t="s">
        <v>34</v>
      </c>
      <c r="U63" s="431"/>
      <c r="V63" s="433"/>
      <c r="W63" s="434"/>
    </row>
    <row r="64" spans="1:23">
      <c r="A64" s="424"/>
      <c r="B64" s="425"/>
      <c r="C64" s="425"/>
      <c r="D64" s="425"/>
      <c r="E64" s="425"/>
      <c r="F64" s="425"/>
      <c r="G64" s="425"/>
      <c r="H64" s="425"/>
      <c r="I64" s="425"/>
      <c r="J64" s="425"/>
      <c r="K64" s="425"/>
      <c r="L64" s="425"/>
      <c r="M64" s="425"/>
      <c r="N64" s="425"/>
      <c r="O64" s="425"/>
      <c r="P64" s="427"/>
      <c r="Q64" s="427"/>
      <c r="R64" s="430"/>
      <c r="S64" s="430"/>
      <c r="T64" s="432"/>
      <c r="U64" s="432"/>
      <c r="V64" s="435"/>
      <c r="W64" s="436"/>
    </row>
    <row r="65" spans="1:23">
      <c r="A65" s="424"/>
      <c r="B65" s="425"/>
      <c r="C65" s="425"/>
      <c r="D65" s="425"/>
      <c r="E65" s="425"/>
      <c r="F65" s="425"/>
      <c r="G65" s="425"/>
      <c r="H65" s="425"/>
      <c r="I65" s="425"/>
      <c r="J65" s="425"/>
      <c r="K65" s="425"/>
      <c r="L65" s="425"/>
      <c r="M65" s="425"/>
      <c r="N65" s="425"/>
      <c r="O65" s="425"/>
      <c r="P65" s="427"/>
      <c r="Q65" s="427"/>
      <c r="R65" s="430"/>
      <c r="S65" s="430"/>
      <c r="T65" s="432"/>
      <c r="U65" s="432"/>
      <c r="V65" s="435"/>
      <c r="W65" s="436"/>
    </row>
    <row r="66" spans="1:23">
      <c r="A66" s="424"/>
      <c r="B66" s="425"/>
      <c r="C66" s="425"/>
      <c r="D66" s="425"/>
      <c r="E66" s="425"/>
      <c r="F66" s="425"/>
      <c r="G66" s="425"/>
      <c r="H66" s="425"/>
      <c r="I66" s="425"/>
      <c r="J66" s="425"/>
      <c r="K66" s="425"/>
      <c r="L66" s="425"/>
      <c r="M66" s="425"/>
      <c r="N66" s="425"/>
      <c r="O66" s="425"/>
      <c r="P66" s="427"/>
      <c r="Q66" s="427"/>
      <c r="R66" s="430"/>
      <c r="S66" s="430"/>
      <c r="T66" s="432"/>
      <c r="U66" s="432"/>
      <c r="V66" s="435"/>
      <c r="W66" s="436"/>
    </row>
    <row r="67" spans="1:23">
      <c r="A67" s="437" t="s">
        <v>5</v>
      </c>
      <c r="B67" s="438"/>
      <c r="C67" s="438"/>
      <c r="D67" s="438" t="s">
        <v>53</v>
      </c>
      <c r="E67" s="438"/>
      <c r="F67" s="438" t="s">
        <v>45</v>
      </c>
      <c r="G67" s="438"/>
      <c r="H67" s="438" t="s">
        <v>55</v>
      </c>
      <c r="I67" s="438"/>
      <c r="J67" s="438" t="s">
        <v>46</v>
      </c>
      <c r="K67" s="438"/>
      <c r="L67" s="438"/>
      <c r="M67" s="438" t="s">
        <v>54</v>
      </c>
      <c r="N67" s="438"/>
      <c r="O67" s="438"/>
      <c r="P67" s="438" t="s">
        <v>21</v>
      </c>
      <c r="Q67" s="438"/>
      <c r="R67" s="438" t="s">
        <v>47</v>
      </c>
      <c r="S67" s="438"/>
      <c r="T67" s="438" t="s">
        <v>48</v>
      </c>
      <c r="U67" s="438"/>
      <c r="V67" s="438" t="s">
        <v>51</v>
      </c>
      <c r="W67" s="439"/>
    </row>
    <row r="68" spans="1:23">
      <c r="A68" s="437"/>
      <c r="B68" s="438"/>
      <c r="C68" s="438"/>
      <c r="D68" s="438"/>
      <c r="E68" s="438"/>
      <c r="F68" s="438"/>
      <c r="G68" s="438"/>
      <c r="H68" s="438"/>
      <c r="I68" s="438"/>
      <c r="J68" s="438"/>
      <c r="K68" s="438"/>
      <c r="L68" s="438"/>
      <c r="M68" s="438"/>
      <c r="N68" s="438"/>
      <c r="O68" s="438"/>
      <c r="P68" s="438"/>
      <c r="Q68" s="438"/>
      <c r="R68" s="438"/>
      <c r="S68" s="438"/>
      <c r="T68" s="438"/>
      <c r="U68" s="438"/>
      <c r="V68" s="438"/>
      <c r="W68" s="439"/>
    </row>
    <row r="69" spans="1:23" ht="14.55" customHeight="1">
      <c r="A69" s="395"/>
      <c r="B69" s="396"/>
      <c r="C69" s="397"/>
      <c r="D69" s="401"/>
      <c r="E69" s="401"/>
      <c r="F69" s="402"/>
      <c r="G69" s="402"/>
      <c r="H69" s="403" t="str">
        <f>IF(ISNUMBER(D69), D69/F69, "")</f>
        <v/>
      </c>
      <c r="I69" s="403"/>
      <c r="J69" s="404"/>
      <c r="K69" s="404"/>
      <c r="L69" s="404"/>
      <c r="M69" s="405" t="str">
        <f t="shared" ref="M69" si="46">IF(AND(ISNUMBER(D69), ISNUMBER(F69), ISNUMBER(J69)), (D69/F69)*J69, "")</f>
        <v/>
      </c>
      <c r="N69" s="405"/>
      <c r="O69" s="405"/>
      <c r="P69" s="418" t="s">
        <v>37</v>
      </c>
      <c r="Q69" s="418"/>
      <c r="R69" s="419">
        <v>0.9</v>
      </c>
      <c r="S69" s="420"/>
      <c r="T69" s="421">
        <f>1-$R$1</f>
        <v>1</v>
      </c>
      <c r="U69" s="420"/>
      <c r="V69" s="393" t="str">
        <f>IFERROR(IF($R$1&gt;=R69, "Achieved", ROUND((R69 - $R$1) / $J$89 * $F$89, 1)),"")</f>
        <v/>
      </c>
      <c r="W69" s="394"/>
    </row>
    <row r="70" spans="1:23" ht="14.55" customHeight="1">
      <c r="A70" s="398"/>
      <c r="B70" s="399"/>
      <c r="C70" s="400"/>
      <c r="D70" s="401"/>
      <c r="E70" s="401"/>
      <c r="F70" s="402"/>
      <c r="G70" s="402"/>
      <c r="H70" s="403"/>
      <c r="I70" s="403"/>
      <c r="J70" s="404"/>
      <c r="K70" s="404"/>
      <c r="L70" s="404"/>
      <c r="M70" s="405"/>
      <c r="N70" s="405"/>
      <c r="O70" s="405"/>
      <c r="P70" s="418"/>
      <c r="Q70" s="418"/>
      <c r="R70" s="420"/>
      <c r="S70" s="420"/>
      <c r="T70" s="420"/>
      <c r="U70" s="420"/>
      <c r="V70" s="393"/>
      <c r="W70" s="394"/>
    </row>
    <row r="71" spans="1:23" ht="14.55" customHeight="1">
      <c r="A71" s="395"/>
      <c r="B71" s="396"/>
      <c r="C71" s="397"/>
      <c r="D71" s="401"/>
      <c r="E71" s="401"/>
      <c r="F71" s="402"/>
      <c r="G71" s="402"/>
      <c r="H71" s="403" t="str">
        <f t="shared" ref="H71" si="47">IF(ISNUMBER(D71), D71/F71, "")</f>
        <v/>
      </c>
      <c r="I71" s="403"/>
      <c r="J71" s="404"/>
      <c r="K71" s="404"/>
      <c r="L71" s="404"/>
      <c r="M71" s="405" t="str">
        <f t="shared" ref="M71" si="48">IF(AND(ISNUMBER(D71), ISNUMBER(F71), ISNUMBER(J71)), (D71/F71)*J71, "")</f>
        <v/>
      </c>
      <c r="N71" s="405"/>
      <c r="O71" s="405"/>
      <c r="P71" s="418"/>
      <c r="Q71" s="418"/>
      <c r="R71" s="420"/>
      <c r="S71" s="420"/>
      <c r="T71" s="420"/>
      <c r="U71" s="420"/>
      <c r="V71" s="393"/>
      <c r="W71" s="394"/>
    </row>
    <row r="72" spans="1:23" ht="14.55" customHeight="1">
      <c r="A72" s="398"/>
      <c r="B72" s="399"/>
      <c r="C72" s="400"/>
      <c r="D72" s="401"/>
      <c r="E72" s="401"/>
      <c r="F72" s="402"/>
      <c r="G72" s="402"/>
      <c r="H72" s="403"/>
      <c r="I72" s="403"/>
      <c r="J72" s="404"/>
      <c r="K72" s="404"/>
      <c r="L72" s="404"/>
      <c r="M72" s="405"/>
      <c r="N72" s="405"/>
      <c r="O72" s="405"/>
      <c r="P72" s="418"/>
      <c r="Q72" s="418"/>
      <c r="R72" s="420"/>
      <c r="S72" s="420"/>
      <c r="T72" s="420"/>
      <c r="U72" s="420"/>
      <c r="V72" s="393"/>
      <c r="W72" s="394"/>
    </row>
    <row r="73" spans="1:23" ht="14.55" customHeight="1">
      <c r="A73" s="395"/>
      <c r="B73" s="396"/>
      <c r="C73" s="397"/>
      <c r="D73" s="401"/>
      <c r="E73" s="401"/>
      <c r="F73" s="402"/>
      <c r="G73" s="402"/>
      <c r="H73" s="403" t="str">
        <f t="shared" ref="H73" si="49">IF(ISNUMBER(D73), D73/F73, "")</f>
        <v/>
      </c>
      <c r="I73" s="403"/>
      <c r="J73" s="404"/>
      <c r="K73" s="404"/>
      <c r="L73" s="404"/>
      <c r="M73" s="405" t="str">
        <f t="shared" ref="M73" si="50">IF(AND(ISNUMBER(D73), ISNUMBER(F73), ISNUMBER(J73)), (D73/F73)*J73, "")</f>
        <v/>
      </c>
      <c r="N73" s="405"/>
      <c r="O73" s="405"/>
      <c r="P73" s="418" t="s">
        <v>38</v>
      </c>
      <c r="Q73" s="418"/>
      <c r="R73" s="419">
        <v>0.85</v>
      </c>
      <c r="S73" s="420"/>
      <c r="T73" s="421">
        <f t="shared" ref="T73" si="51">1-$R$1</f>
        <v>1</v>
      </c>
      <c r="U73" s="420"/>
      <c r="V73" s="393" t="str">
        <f>IFERROR(IF($R$1&gt;=R73, "Achieved", ROUND((R73 - $R$1) / $J$89 * $F$89, 1)),"")</f>
        <v/>
      </c>
      <c r="W73" s="394"/>
    </row>
    <row r="74" spans="1:23" ht="14.55" customHeight="1">
      <c r="A74" s="398"/>
      <c r="B74" s="399"/>
      <c r="C74" s="400"/>
      <c r="D74" s="401"/>
      <c r="E74" s="401"/>
      <c r="F74" s="402"/>
      <c r="G74" s="402"/>
      <c r="H74" s="403"/>
      <c r="I74" s="403"/>
      <c r="J74" s="404"/>
      <c r="K74" s="404"/>
      <c r="L74" s="404"/>
      <c r="M74" s="405"/>
      <c r="N74" s="405"/>
      <c r="O74" s="405"/>
      <c r="P74" s="418"/>
      <c r="Q74" s="418"/>
      <c r="R74" s="420"/>
      <c r="S74" s="420"/>
      <c r="T74" s="420"/>
      <c r="U74" s="420"/>
      <c r="V74" s="393"/>
      <c r="W74" s="394"/>
    </row>
    <row r="75" spans="1:23" ht="14.55" customHeight="1">
      <c r="A75" s="395"/>
      <c r="B75" s="396"/>
      <c r="C75" s="397"/>
      <c r="D75" s="401"/>
      <c r="E75" s="401"/>
      <c r="F75" s="402"/>
      <c r="G75" s="402"/>
      <c r="H75" s="403" t="str">
        <f t="shared" ref="H75" si="52">IF(ISNUMBER(D75), D75/F75, "")</f>
        <v/>
      </c>
      <c r="I75" s="403"/>
      <c r="J75" s="404"/>
      <c r="K75" s="404"/>
      <c r="L75" s="404"/>
      <c r="M75" s="405" t="str">
        <f t="shared" ref="M75" si="53">IF(AND(ISNUMBER(D75), ISNUMBER(F75), ISNUMBER(J75)), (D75/F75)*J75, "")</f>
        <v/>
      </c>
      <c r="N75" s="405"/>
      <c r="O75" s="405"/>
      <c r="P75" s="418"/>
      <c r="Q75" s="418"/>
      <c r="R75" s="420"/>
      <c r="S75" s="420"/>
      <c r="T75" s="420"/>
      <c r="U75" s="420"/>
      <c r="V75" s="393"/>
      <c r="W75" s="394"/>
    </row>
    <row r="76" spans="1:23" ht="14.55" customHeight="1">
      <c r="A76" s="398"/>
      <c r="B76" s="399"/>
      <c r="C76" s="400"/>
      <c r="D76" s="401"/>
      <c r="E76" s="401"/>
      <c r="F76" s="402"/>
      <c r="G76" s="402"/>
      <c r="H76" s="403"/>
      <c r="I76" s="403"/>
      <c r="J76" s="404"/>
      <c r="K76" s="404"/>
      <c r="L76" s="404"/>
      <c r="M76" s="405"/>
      <c r="N76" s="405"/>
      <c r="O76" s="405"/>
      <c r="P76" s="418"/>
      <c r="Q76" s="418"/>
      <c r="R76" s="420"/>
      <c r="S76" s="420"/>
      <c r="T76" s="420"/>
      <c r="U76" s="420"/>
      <c r="V76" s="393"/>
      <c r="W76" s="394"/>
    </row>
    <row r="77" spans="1:23" ht="14.55" customHeight="1">
      <c r="A77" s="395"/>
      <c r="B77" s="396"/>
      <c r="C77" s="397"/>
      <c r="D77" s="401"/>
      <c r="E77" s="401"/>
      <c r="F77" s="402"/>
      <c r="G77" s="402"/>
      <c r="H77" s="403" t="str">
        <f t="shared" ref="H77" si="54">IF(ISNUMBER(D77), D77/F77, "")</f>
        <v/>
      </c>
      <c r="I77" s="403"/>
      <c r="J77" s="404"/>
      <c r="K77" s="404"/>
      <c r="L77" s="404"/>
      <c r="M77" s="405" t="str">
        <f t="shared" ref="M77" si="55">IF(AND(ISNUMBER(D77), ISNUMBER(F77), ISNUMBER(J77)), (D77/F77)*J77, "")</f>
        <v/>
      </c>
      <c r="N77" s="405"/>
      <c r="O77" s="405"/>
      <c r="P77" s="418" t="s">
        <v>41</v>
      </c>
      <c r="Q77" s="418"/>
      <c r="R77" s="419">
        <v>0.8</v>
      </c>
      <c r="S77" s="420"/>
      <c r="T77" s="421">
        <f t="shared" ref="T77" si="56">1-$R$1</f>
        <v>1</v>
      </c>
      <c r="U77" s="420"/>
      <c r="V77" s="393" t="str">
        <f>IFERROR(IF($R$1&gt;=R77, "Achieved", ROUND((R77 - $R$1) / $J$89 * $F$89, 1)),"")</f>
        <v/>
      </c>
      <c r="W77" s="394"/>
    </row>
    <row r="78" spans="1:23" ht="14.55" customHeight="1">
      <c r="A78" s="398"/>
      <c r="B78" s="399"/>
      <c r="C78" s="400"/>
      <c r="D78" s="401"/>
      <c r="E78" s="401"/>
      <c r="F78" s="402"/>
      <c r="G78" s="402"/>
      <c r="H78" s="403"/>
      <c r="I78" s="403"/>
      <c r="J78" s="404"/>
      <c r="K78" s="404"/>
      <c r="L78" s="404"/>
      <c r="M78" s="405"/>
      <c r="N78" s="405"/>
      <c r="O78" s="405"/>
      <c r="P78" s="418"/>
      <c r="Q78" s="418"/>
      <c r="R78" s="420"/>
      <c r="S78" s="420"/>
      <c r="T78" s="420"/>
      <c r="U78" s="420"/>
      <c r="V78" s="393"/>
      <c r="W78" s="394"/>
    </row>
    <row r="79" spans="1:23" ht="14.55" customHeight="1">
      <c r="A79" s="395"/>
      <c r="B79" s="396"/>
      <c r="C79" s="397"/>
      <c r="D79" s="401"/>
      <c r="E79" s="401"/>
      <c r="F79" s="402"/>
      <c r="G79" s="402"/>
      <c r="H79" s="403" t="str">
        <f t="shared" ref="H79" si="57">IF(ISNUMBER(D79), D79/F79, "")</f>
        <v/>
      </c>
      <c r="I79" s="403"/>
      <c r="J79" s="404"/>
      <c r="K79" s="404"/>
      <c r="L79" s="404"/>
      <c r="M79" s="405" t="str">
        <f>IF(AND(ISNUMBER(D79), ISNUMBER(F79), ISNUMBER(J79)), (D79/F79)*J79, "")</f>
        <v/>
      </c>
      <c r="N79" s="405"/>
      <c r="O79" s="405"/>
      <c r="P79" s="418"/>
      <c r="Q79" s="418"/>
      <c r="R79" s="420"/>
      <c r="S79" s="420"/>
      <c r="T79" s="420"/>
      <c r="U79" s="420"/>
      <c r="V79" s="393"/>
      <c r="W79" s="394"/>
    </row>
    <row r="80" spans="1:23" ht="14.55" customHeight="1">
      <c r="A80" s="398"/>
      <c r="B80" s="399"/>
      <c r="C80" s="400"/>
      <c r="D80" s="401"/>
      <c r="E80" s="401"/>
      <c r="F80" s="402"/>
      <c r="G80" s="402"/>
      <c r="H80" s="403"/>
      <c r="I80" s="403"/>
      <c r="J80" s="404"/>
      <c r="K80" s="404"/>
      <c r="L80" s="404"/>
      <c r="M80" s="405"/>
      <c r="N80" s="405"/>
      <c r="O80" s="405"/>
      <c r="P80" s="418"/>
      <c r="Q80" s="418"/>
      <c r="R80" s="420"/>
      <c r="S80" s="420"/>
      <c r="T80" s="420"/>
      <c r="U80" s="420"/>
      <c r="V80" s="393"/>
      <c r="W80" s="394"/>
    </row>
    <row r="81" spans="1:23" ht="14.55" customHeight="1">
      <c r="A81" s="395"/>
      <c r="B81" s="396"/>
      <c r="C81" s="397"/>
      <c r="D81" s="401"/>
      <c r="E81" s="401"/>
      <c r="F81" s="402"/>
      <c r="G81" s="402"/>
      <c r="H81" s="403" t="str">
        <f t="shared" ref="H81" si="58">IF(ISNUMBER(D81), D81/F81, "")</f>
        <v/>
      </c>
      <c r="I81" s="403"/>
      <c r="J81" s="404"/>
      <c r="K81" s="404"/>
      <c r="L81" s="404"/>
      <c r="M81" s="405" t="str">
        <f t="shared" ref="M81" si="59">IF(AND(ISNUMBER(D81), ISNUMBER(F81), ISNUMBER(J81)), (D81/F81)*J81, "")</f>
        <v/>
      </c>
      <c r="N81" s="405"/>
      <c r="O81" s="405"/>
      <c r="P81" s="418" t="s">
        <v>49</v>
      </c>
      <c r="Q81" s="418"/>
      <c r="R81" s="419">
        <v>0.77</v>
      </c>
      <c r="S81" s="420"/>
      <c r="T81" s="421">
        <f t="shared" ref="T81" si="60">1-$R$1</f>
        <v>1</v>
      </c>
      <c r="U81" s="420"/>
      <c r="V81" s="393" t="str">
        <f>IFERROR(IF($R$1&gt;=R81, "Achieved", ROUND((R81 - $R$1) / $J$89 * $F$89, 1)),"")</f>
        <v/>
      </c>
      <c r="W81" s="394"/>
    </row>
    <row r="82" spans="1:23" ht="14.55" customHeight="1">
      <c r="A82" s="398"/>
      <c r="B82" s="399"/>
      <c r="C82" s="400"/>
      <c r="D82" s="401"/>
      <c r="E82" s="401"/>
      <c r="F82" s="402"/>
      <c r="G82" s="402"/>
      <c r="H82" s="403"/>
      <c r="I82" s="403"/>
      <c r="J82" s="404"/>
      <c r="K82" s="404"/>
      <c r="L82" s="404"/>
      <c r="M82" s="405"/>
      <c r="N82" s="405"/>
      <c r="O82" s="405"/>
      <c r="P82" s="418"/>
      <c r="Q82" s="418"/>
      <c r="R82" s="420"/>
      <c r="S82" s="420"/>
      <c r="T82" s="420"/>
      <c r="U82" s="420"/>
      <c r="V82" s="393"/>
      <c r="W82" s="394"/>
    </row>
    <row r="83" spans="1:23" ht="14.55" customHeight="1">
      <c r="A83" s="395"/>
      <c r="B83" s="396"/>
      <c r="C83" s="397"/>
      <c r="D83" s="401"/>
      <c r="E83" s="401"/>
      <c r="F83" s="402"/>
      <c r="G83" s="402"/>
      <c r="H83" s="403" t="str">
        <f t="shared" ref="H83" si="61">IF(ISNUMBER(D83), D83/F83, "")</f>
        <v/>
      </c>
      <c r="I83" s="403"/>
      <c r="J83" s="404"/>
      <c r="K83" s="404"/>
      <c r="L83" s="404"/>
      <c r="M83" s="405" t="str">
        <f t="shared" ref="M83" si="62">IF(AND(ISNUMBER(D83), ISNUMBER(F83), ISNUMBER(J83)), (D83/F83)*J83, "")</f>
        <v/>
      </c>
      <c r="N83" s="405"/>
      <c r="O83" s="405"/>
      <c r="P83" s="418"/>
      <c r="Q83" s="418"/>
      <c r="R83" s="420"/>
      <c r="S83" s="420"/>
      <c r="T83" s="420"/>
      <c r="U83" s="420"/>
      <c r="V83" s="393"/>
      <c r="W83" s="394"/>
    </row>
    <row r="84" spans="1:23" ht="14.55" customHeight="1">
      <c r="A84" s="398"/>
      <c r="B84" s="399"/>
      <c r="C84" s="400"/>
      <c r="D84" s="401"/>
      <c r="E84" s="401"/>
      <c r="F84" s="402"/>
      <c r="G84" s="402"/>
      <c r="H84" s="403"/>
      <c r="I84" s="403"/>
      <c r="J84" s="404"/>
      <c r="K84" s="404"/>
      <c r="L84" s="404"/>
      <c r="M84" s="405"/>
      <c r="N84" s="405"/>
      <c r="O84" s="405"/>
      <c r="P84" s="418"/>
      <c r="Q84" s="418"/>
      <c r="R84" s="420"/>
      <c r="S84" s="420"/>
      <c r="T84" s="420"/>
      <c r="U84" s="420"/>
      <c r="V84" s="393"/>
      <c r="W84" s="394"/>
    </row>
    <row r="85" spans="1:23" ht="14.55" customHeight="1">
      <c r="A85" s="395"/>
      <c r="B85" s="396"/>
      <c r="C85" s="397"/>
      <c r="D85" s="401"/>
      <c r="E85" s="401"/>
      <c r="F85" s="402"/>
      <c r="G85" s="402"/>
      <c r="H85" s="403" t="str">
        <f t="shared" ref="H85" si="63">IF(ISNUMBER(D85), D85/F85, "")</f>
        <v/>
      </c>
      <c r="I85" s="403"/>
      <c r="J85" s="404"/>
      <c r="K85" s="404"/>
      <c r="L85" s="404"/>
      <c r="M85" s="405" t="str">
        <f t="shared" ref="M85" si="64">IF(AND(ISNUMBER(D85), ISNUMBER(F85), ISNUMBER(J85)), (D85/F85)*J85, "")</f>
        <v/>
      </c>
      <c r="N85" s="405"/>
      <c r="O85" s="405"/>
      <c r="P85" s="418" t="s">
        <v>50</v>
      </c>
      <c r="Q85" s="418"/>
      <c r="R85" s="419">
        <v>0.73</v>
      </c>
      <c r="S85" s="420"/>
      <c r="T85" s="421">
        <f t="shared" ref="T85" si="65">1-$R$1</f>
        <v>1</v>
      </c>
      <c r="U85" s="420"/>
      <c r="V85" s="393" t="str">
        <f>IFERROR(IF($R$1&gt;=R85, "Achieved", ROUND((R85 - $R$1) / $J$89 * $F$89, 1)),"")</f>
        <v/>
      </c>
      <c r="W85" s="394"/>
    </row>
    <row r="86" spans="1:23" ht="14.55" customHeight="1">
      <c r="A86" s="398"/>
      <c r="B86" s="399"/>
      <c r="C86" s="400"/>
      <c r="D86" s="401"/>
      <c r="E86" s="401"/>
      <c r="F86" s="402"/>
      <c r="G86" s="402"/>
      <c r="H86" s="403"/>
      <c r="I86" s="403"/>
      <c r="J86" s="404"/>
      <c r="K86" s="404"/>
      <c r="L86" s="404"/>
      <c r="M86" s="405"/>
      <c r="N86" s="405"/>
      <c r="O86" s="405"/>
      <c r="P86" s="418"/>
      <c r="Q86" s="418"/>
      <c r="R86" s="420"/>
      <c r="S86" s="420"/>
      <c r="T86" s="420"/>
      <c r="U86" s="420"/>
      <c r="V86" s="393"/>
      <c r="W86" s="394"/>
    </row>
    <row r="87" spans="1:23" ht="14.55" customHeight="1">
      <c r="A87" s="395"/>
      <c r="B87" s="396"/>
      <c r="C87" s="397"/>
      <c r="D87" s="401"/>
      <c r="E87" s="401"/>
      <c r="F87" s="402"/>
      <c r="G87" s="402"/>
      <c r="H87" s="403" t="str">
        <f t="shared" ref="H87" si="66">IF(ISNUMBER(D87), D87/F87, "")</f>
        <v/>
      </c>
      <c r="I87" s="403"/>
      <c r="J87" s="404"/>
      <c r="K87" s="404"/>
      <c r="L87" s="404"/>
      <c r="M87" s="405" t="str">
        <f t="shared" ref="M87" si="67">IF(AND(ISNUMBER(D87), ISNUMBER(F87), ISNUMBER(J87)), (D87/F87)*J87, "")</f>
        <v/>
      </c>
      <c r="N87" s="405"/>
      <c r="O87" s="405"/>
      <c r="P87" s="418"/>
      <c r="Q87" s="418"/>
      <c r="R87" s="420"/>
      <c r="S87" s="420"/>
      <c r="T87" s="420"/>
      <c r="U87" s="420"/>
      <c r="V87" s="393"/>
      <c r="W87" s="394"/>
    </row>
    <row r="88" spans="1:23" ht="14.55" customHeight="1">
      <c r="A88" s="398"/>
      <c r="B88" s="399"/>
      <c r="C88" s="400"/>
      <c r="D88" s="401"/>
      <c r="E88" s="401"/>
      <c r="F88" s="402"/>
      <c r="G88" s="402"/>
      <c r="H88" s="403"/>
      <c r="I88" s="403"/>
      <c r="J88" s="404"/>
      <c r="K88" s="404"/>
      <c r="L88" s="404"/>
      <c r="M88" s="405"/>
      <c r="N88" s="405"/>
      <c r="O88" s="405"/>
      <c r="P88" s="418"/>
      <c r="Q88" s="418"/>
      <c r="R88" s="420"/>
      <c r="S88" s="420"/>
      <c r="T88" s="420"/>
      <c r="U88" s="420"/>
      <c r="V88" s="393"/>
      <c r="W88" s="394"/>
    </row>
    <row r="89" spans="1:23" ht="14.55" customHeight="1">
      <c r="A89" s="406" t="s">
        <v>64</v>
      </c>
      <c r="B89" s="407"/>
      <c r="C89" s="408"/>
      <c r="D89" s="401"/>
      <c r="E89" s="401"/>
      <c r="F89" s="402"/>
      <c r="G89" s="402"/>
      <c r="H89" s="403" t="str">
        <f t="shared" ref="H89" si="68">IF(ISNUMBER(D89), D89/F89, "")</f>
        <v/>
      </c>
      <c r="I89" s="403"/>
      <c r="J89" s="404"/>
      <c r="K89" s="404"/>
      <c r="L89" s="404"/>
      <c r="M89" s="405" t="str">
        <f t="shared" ref="M89" si="69">IF(AND(ISNUMBER(D89), ISNUMBER(F89), ISNUMBER(J89)), (D89/F89)*J89, "")</f>
        <v/>
      </c>
      <c r="N89" s="405"/>
      <c r="O89" s="405"/>
      <c r="P89" s="416" t="s">
        <v>22</v>
      </c>
      <c r="Q89" s="416"/>
      <c r="R89" s="417"/>
      <c r="S89" s="417"/>
      <c r="T89" s="416" t="s">
        <v>21</v>
      </c>
      <c r="U89" s="416"/>
      <c r="V89" s="417" t="s">
        <v>37</v>
      </c>
      <c r="W89" s="417"/>
    </row>
    <row r="90" spans="1:23" ht="14.55" customHeight="1">
      <c r="A90" s="409"/>
      <c r="B90" s="410"/>
      <c r="C90" s="411"/>
      <c r="D90" s="412"/>
      <c r="E90" s="412"/>
      <c r="F90" s="413"/>
      <c r="G90" s="413"/>
      <c r="H90" s="414"/>
      <c r="I90" s="414"/>
      <c r="J90" s="404"/>
      <c r="K90" s="404"/>
      <c r="L90" s="404"/>
      <c r="M90" s="415"/>
      <c r="N90" s="415"/>
      <c r="O90" s="415"/>
      <c r="P90" s="416"/>
      <c r="Q90" s="416"/>
      <c r="R90" s="417"/>
      <c r="S90" s="417"/>
      <c r="T90" s="416"/>
      <c r="U90" s="416"/>
      <c r="V90" s="417"/>
      <c r="W90" s="417"/>
    </row>
    <row r="91" spans="1:23" ht="14.55" customHeight="1">
      <c r="A91" s="440" t="s">
        <v>44</v>
      </c>
      <c r="B91" s="441"/>
      <c r="C91" s="441"/>
      <c r="D91" s="441"/>
      <c r="E91" s="441"/>
      <c r="F91" s="441"/>
      <c r="G91" s="441"/>
      <c r="H91" s="441"/>
      <c r="I91" s="441"/>
      <c r="J91" s="441"/>
      <c r="K91" s="441"/>
      <c r="L91" s="441"/>
      <c r="M91" s="441"/>
      <c r="N91" s="441"/>
      <c r="O91" s="441"/>
      <c r="P91" s="441"/>
      <c r="Q91" s="441"/>
      <c r="R91" s="441"/>
      <c r="S91" s="441"/>
      <c r="T91" s="441"/>
      <c r="U91" s="441"/>
      <c r="V91" s="441"/>
      <c r="W91" s="446"/>
    </row>
    <row r="92" spans="1:23" ht="14.55" customHeight="1">
      <c r="A92" s="442"/>
      <c r="B92" s="443"/>
      <c r="C92" s="443"/>
      <c r="D92" s="443"/>
      <c r="E92" s="443"/>
      <c r="F92" s="443"/>
      <c r="G92" s="443"/>
      <c r="H92" s="443"/>
      <c r="I92" s="443"/>
      <c r="J92" s="443"/>
      <c r="K92" s="443"/>
      <c r="L92" s="443"/>
      <c r="M92" s="443"/>
      <c r="N92" s="443"/>
      <c r="O92" s="443"/>
      <c r="P92" s="443"/>
      <c r="Q92" s="443"/>
      <c r="R92" s="443"/>
      <c r="S92" s="443"/>
      <c r="T92" s="443"/>
      <c r="U92" s="443"/>
      <c r="V92" s="443"/>
      <c r="W92" s="447"/>
    </row>
    <row r="93" spans="1:23" ht="14.55" customHeight="1">
      <c r="A93" s="444"/>
      <c r="B93" s="445"/>
      <c r="C93" s="445"/>
      <c r="D93" s="445"/>
      <c r="E93" s="445"/>
      <c r="F93" s="445"/>
      <c r="G93" s="445"/>
      <c r="H93" s="445"/>
      <c r="I93" s="445"/>
      <c r="J93" s="445"/>
      <c r="K93" s="445"/>
      <c r="L93" s="445"/>
      <c r="M93" s="445"/>
      <c r="N93" s="445"/>
      <c r="O93" s="445"/>
      <c r="P93" s="445"/>
      <c r="Q93" s="445"/>
      <c r="R93" s="445"/>
      <c r="S93" s="445"/>
      <c r="T93" s="445"/>
      <c r="U93" s="445"/>
      <c r="V93" s="445"/>
      <c r="W93" s="448"/>
    </row>
    <row r="94" spans="1:23">
      <c r="A94" s="422"/>
      <c r="B94" s="423"/>
      <c r="C94" s="423"/>
      <c r="D94" s="423"/>
      <c r="E94" s="423"/>
      <c r="F94" s="423"/>
      <c r="G94" s="423"/>
      <c r="H94" s="423"/>
      <c r="I94" s="423"/>
      <c r="J94" s="423"/>
      <c r="K94" s="423"/>
      <c r="L94" s="423"/>
      <c r="M94" s="423"/>
      <c r="N94" s="423"/>
      <c r="O94" s="423"/>
      <c r="P94" s="426" t="s">
        <v>52</v>
      </c>
      <c r="Q94" s="426"/>
      <c r="R94" s="428">
        <f>SUM(M100:O121)</f>
        <v>0</v>
      </c>
      <c r="S94" s="429"/>
      <c r="T94" s="431" t="s">
        <v>34</v>
      </c>
      <c r="U94" s="431"/>
      <c r="V94" s="433"/>
      <c r="W94" s="434"/>
    </row>
    <row r="95" spans="1:23">
      <c r="A95" s="424"/>
      <c r="B95" s="425"/>
      <c r="C95" s="425"/>
      <c r="D95" s="425"/>
      <c r="E95" s="425"/>
      <c r="F95" s="425"/>
      <c r="G95" s="425"/>
      <c r="H95" s="425"/>
      <c r="I95" s="425"/>
      <c r="J95" s="425"/>
      <c r="K95" s="425"/>
      <c r="L95" s="425"/>
      <c r="M95" s="425"/>
      <c r="N95" s="425"/>
      <c r="O95" s="425"/>
      <c r="P95" s="427"/>
      <c r="Q95" s="427"/>
      <c r="R95" s="430"/>
      <c r="S95" s="430"/>
      <c r="T95" s="432"/>
      <c r="U95" s="432"/>
      <c r="V95" s="435"/>
      <c r="W95" s="436"/>
    </row>
    <row r="96" spans="1:23">
      <c r="A96" s="424"/>
      <c r="B96" s="425"/>
      <c r="C96" s="425"/>
      <c r="D96" s="425"/>
      <c r="E96" s="425"/>
      <c r="F96" s="425"/>
      <c r="G96" s="425"/>
      <c r="H96" s="425"/>
      <c r="I96" s="425"/>
      <c r="J96" s="425"/>
      <c r="K96" s="425"/>
      <c r="L96" s="425"/>
      <c r="M96" s="425"/>
      <c r="N96" s="425"/>
      <c r="O96" s="425"/>
      <c r="P96" s="427"/>
      <c r="Q96" s="427"/>
      <c r="R96" s="430"/>
      <c r="S96" s="430"/>
      <c r="T96" s="432"/>
      <c r="U96" s="432"/>
      <c r="V96" s="435"/>
      <c r="W96" s="436"/>
    </row>
    <row r="97" spans="1:23">
      <c r="A97" s="424"/>
      <c r="B97" s="425"/>
      <c r="C97" s="425"/>
      <c r="D97" s="425"/>
      <c r="E97" s="425"/>
      <c r="F97" s="425"/>
      <c r="G97" s="425"/>
      <c r="H97" s="425"/>
      <c r="I97" s="425"/>
      <c r="J97" s="425"/>
      <c r="K97" s="425"/>
      <c r="L97" s="425"/>
      <c r="M97" s="425"/>
      <c r="N97" s="425"/>
      <c r="O97" s="425"/>
      <c r="P97" s="427"/>
      <c r="Q97" s="427"/>
      <c r="R97" s="430"/>
      <c r="S97" s="430"/>
      <c r="T97" s="432"/>
      <c r="U97" s="432"/>
      <c r="V97" s="435"/>
      <c r="W97" s="436"/>
    </row>
    <row r="98" spans="1:23">
      <c r="A98" s="437" t="s">
        <v>5</v>
      </c>
      <c r="B98" s="438"/>
      <c r="C98" s="438"/>
      <c r="D98" s="438" t="s">
        <v>53</v>
      </c>
      <c r="E98" s="438"/>
      <c r="F98" s="438" t="s">
        <v>45</v>
      </c>
      <c r="G98" s="438"/>
      <c r="H98" s="438" t="s">
        <v>55</v>
      </c>
      <c r="I98" s="438"/>
      <c r="J98" s="438" t="s">
        <v>46</v>
      </c>
      <c r="K98" s="438"/>
      <c r="L98" s="438"/>
      <c r="M98" s="438" t="s">
        <v>54</v>
      </c>
      <c r="N98" s="438"/>
      <c r="O98" s="438"/>
      <c r="P98" s="438" t="s">
        <v>21</v>
      </c>
      <c r="Q98" s="438"/>
      <c r="R98" s="438" t="s">
        <v>47</v>
      </c>
      <c r="S98" s="438"/>
      <c r="T98" s="438" t="s">
        <v>48</v>
      </c>
      <c r="U98" s="438"/>
      <c r="V98" s="438" t="s">
        <v>51</v>
      </c>
      <c r="W98" s="439"/>
    </row>
    <row r="99" spans="1:23">
      <c r="A99" s="437"/>
      <c r="B99" s="438"/>
      <c r="C99" s="438"/>
      <c r="D99" s="438"/>
      <c r="E99" s="438"/>
      <c r="F99" s="438"/>
      <c r="G99" s="438"/>
      <c r="H99" s="438"/>
      <c r="I99" s="438"/>
      <c r="J99" s="438"/>
      <c r="K99" s="438"/>
      <c r="L99" s="438"/>
      <c r="M99" s="438"/>
      <c r="N99" s="438"/>
      <c r="O99" s="438"/>
      <c r="P99" s="438"/>
      <c r="Q99" s="438"/>
      <c r="R99" s="438"/>
      <c r="S99" s="438"/>
      <c r="T99" s="438"/>
      <c r="U99" s="438"/>
      <c r="V99" s="438"/>
      <c r="W99" s="439"/>
    </row>
    <row r="100" spans="1:23" ht="14.55" customHeight="1">
      <c r="A100" s="395"/>
      <c r="B100" s="396"/>
      <c r="C100" s="397"/>
      <c r="D100" s="401"/>
      <c r="E100" s="401"/>
      <c r="F100" s="402"/>
      <c r="G100" s="402"/>
      <c r="H100" s="403" t="str">
        <f>IF(ISNUMBER(D100), D100/F100, "")</f>
        <v/>
      </c>
      <c r="I100" s="403"/>
      <c r="J100" s="404"/>
      <c r="K100" s="404"/>
      <c r="L100" s="404"/>
      <c r="M100" s="405" t="str">
        <f t="shared" ref="M100" si="70">IF(AND(ISNUMBER(D100), ISNUMBER(F100), ISNUMBER(J100)), (D100/F100)*J100, "")</f>
        <v/>
      </c>
      <c r="N100" s="405"/>
      <c r="O100" s="405"/>
      <c r="P100" s="418" t="s">
        <v>37</v>
      </c>
      <c r="Q100" s="418"/>
      <c r="R100" s="419">
        <v>0.9</v>
      </c>
      <c r="S100" s="420"/>
      <c r="T100" s="421">
        <f>1-$R$1</f>
        <v>1</v>
      </c>
      <c r="U100" s="420"/>
      <c r="V100" s="393" t="str">
        <f>IFERROR(IF($R$1&gt;=R100, "Achieved", ROUND((R100 - $R$1) / $J$120 * $F$120, 1)),"")</f>
        <v/>
      </c>
      <c r="W100" s="394"/>
    </row>
    <row r="101" spans="1:23" ht="14.55" customHeight="1">
      <c r="A101" s="398"/>
      <c r="B101" s="399"/>
      <c r="C101" s="400"/>
      <c r="D101" s="401"/>
      <c r="E101" s="401"/>
      <c r="F101" s="402"/>
      <c r="G101" s="402"/>
      <c r="H101" s="403"/>
      <c r="I101" s="403"/>
      <c r="J101" s="404"/>
      <c r="K101" s="404"/>
      <c r="L101" s="404"/>
      <c r="M101" s="405"/>
      <c r="N101" s="405"/>
      <c r="O101" s="405"/>
      <c r="P101" s="418"/>
      <c r="Q101" s="418"/>
      <c r="R101" s="420"/>
      <c r="S101" s="420"/>
      <c r="T101" s="420"/>
      <c r="U101" s="420"/>
      <c r="V101" s="393"/>
      <c r="W101" s="394"/>
    </row>
    <row r="102" spans="1:23" ht="14.55" customHeight="1">
      <c r="A102" s="395"/>
      <c r="B102" s="396"/>
      <c r="C102" s="397"/>
      <c r="D102" s="401"/>
      <c r="E102" s="401"/>
      <c r="F102" s="402"/>
      <c r="G102" s="402"/>
      <c r="H102" s="403" t="str">
        <f t="shared" ref="H102" si="71">IF(ISNUMBER(D102), D102/F102, "")</f>
        <v/>
      </c>
      <c r="I102" s="403"/>
      <c r="J102" s="404"/>
      <c r="K102" s="404"/>
      <c r="L102" s="404"/>
      <c r="M102" s="405" t="str">
        <f t="shared" ref="M102" si="72">IF(AND(ISNUMBER(D102), ISNUMBER(F102), ISNUMBER(J102)), (D102/F102)*J102, "")</f>
        <v/>
      </c>
      <c r="N102" s="405"/>
      <c r="O102" s="405"/>
      <c r="P102" s="418"/>
      <c r="Q102" s="418"/>
      <c r="R102" s="420"/>
      <c r="S102" s="420"/>
      <c r="T102" s="420"/>
      <c r="U102" s="420"/>
      <c r="V102" s="393"/>
      <c r="W102" s="394"/>
    </row>
    <row r="103" spans="1:23" ht="14.55" customHeight="1">
      <c r="A103" s="398"/>
      <c r="B103" s="399"/>
      <c r="C103" s="400"/>
      <c r="D103" s="401"/>
      <c r="E103" s="401"/>
      <c r="F103" s="402"/>
      <c r="G103" s="402"/>
      <c r="H103" s="403"/>
      <c r="I103" s="403"/>
      <c r="J103" s="404"/>
      <c r="K103" s="404"/>
      <c r="L103" s="404"/>
      <c r="M103" s="405"/>
      <c r="N103" s="405"/>
      <c r="O103" s="405"/>
      <c r="P103" s="418"/>
      <c r="Q103" s="418"/>
      <c r="R103" s="420"/>
      <c r="S103" s="420"/>
      <c r="T103" s="420"/>
      <c r="U103" s="420"/>
      <c r="V103" s="393"/>
      <c r="W103" s="394"/>
    </row>
    <row r="104" spans="1:23" ht="14.55" customHeight="1">
      <c r="A104" s="395"/>
      <c r="B104" s="396"/>
      <c r="C104" s="397"/>
      <c r="D104" s="401"/>
      <c r="E104" s="401"/>
      <c r="F104" s="402"/>
      <c r="G104" s="402"/>
      <c r="H104" s="403" t="str">
        <f t="shared" ref="H104" si="73">IF(ISNUMBER(D104), D104/F104, "")</f>
        <v/>
      </c>
      <c r="I104" s="403"/>
      <c r="J104" s="404"/>
      <c r="K104" s="404"/>
      <c r="L104" s="404"/>
      <c r="M104" s="405" t="str">
        <f t="shared" ref="M104" si="74">IF(AND(ISNUMBER(D104), ISNUMBER(F104), ISNUMBER(J104)), (D104/F104)*J104, "")</f>
        <v/>
      </c>
      <c r="N104" s="405"/>
      <c r="O104" s="405"/>
      <c r="P104" s="418" t="s">
        <v>38</v>
      </c>
      <c r="Q104" s="418"/>
      <c r="R104" s="419">
        <v>0.85</v>
      </c>
      <c r="S104" s="420"/>
      <c r="T104" s="421">
        <f t="shared" ref="T104" si="75">1-$R$1</f>
        <v>1</v>
      </c>
      <c r="U104" s="420"/>
      <c r="V104" s="393" t="str">
        <f>IFERROR(IF($R$1&gt;=R104, "Achieved", ROUND((R104 - $R$1) / $J$120 * $F$120, 1)),"")</f>
        <v/>
      </c>
      <c r="W104" s="394"/>
    </row>
    <row r="105" spans="1:23" ht="14.55" customHeight="1">
      <c r="A105" s="398"/>
      <c r="B105" s="399"/>
      <c r="C105" s="400"/>
      <c r="D105" s="401"/>
      <c r="E105" s="401"/>
      <c r="F105" s="402"/>
      <c r="G105" s="402"/>
      <c r="H105" s="403"/>
      <c r="I105" s="403"/>
      <c r="J105" s="404"/>
      <c r="K105" s="404"/>
      <c r="L105" s="404"/>
      <c r="M105" s="405"/>
      <c r="N105" s="405"/>
      <c r="O105" s="405"/>
      <c r="P105" s="418"/>
      <c r="Q105" s="418"/>
      <c r="R105" s="420"/>
      <c r="S105" s="420"/>
      <c r="T105" s="420"/>
      <c r="U105" s="420"/>
      <c r="V105" s="393"/>
      <c r="W105" s="394"/>
    </row>
    <row r="106" spans="1:23" ht="14.55" customHeight="1">
      <c r="A106" s="395"/>
      <c r="B106" s="396"/>
      <c r="C106" s="397"/>
      <c r="D106" s="401"/>
      <c r="E106" s="401"/>
      <c r="F106" s="402"/>
      <c r="G106" s="402"/>
      <c r="H106" s="403" t="str">
        <f t="shared" ref="H106" si="76">IF(ISNUMBER(D106), D106/F106, "")</f>
        <v/>
      </c>
      <c r="I106" s="403"/>
      <c r="J106" s="404"/>
      <c r="K106" s="404"/>
      <c r="L106" s="404"/>
      <c r="M106" s="405" t="str">
        <f t="shared" ref="M106" si="77">IF(AND(ISNUMBER(D106), ISNUMBER(F106), ISNUMBER(J106)), (D106/F106)*J106, "")</f>
        <v/>
      </c>
      <c r="N106" s="405"/>
      <c r="O106" s="405"/>
      <c r="P106" s="418"/>
      <c r="Q106" s="418"/>
      <c r="R106" s="420"/>
      <c r="S106" s="420"/>
      <c r="T106" s="420"/>
      <c r="U106" s="420"/>
      <c r="V106" s="393"/>
      <c r="W106" s="394"/>
    </row>
    <row r="107" spans="1:23" ht="14.55" customHeight="1">
      <c r="A107" s="398"/>
      <c r="B107" s="399"/>
      <c r="C107" s="400"/>
      <c r="D107" s="401"/>
      <c r="E107" s="401"/>
      <c r="F107" s="402"/>
      <c r="G107" s="402"/>
      <c r="H107" s="403"/>
      <c r="I107" s="403"/>
      <c r="J107" s="404"/>
      <c r="K107" s="404"/>
      <c r="L107" s="404"/>
      <c r="M107" s="405"/>
      <c r="N107" s="405"/>
      <c r="O107" s="405"/>
      <c r="P107" s="418"/>
      <c r="Q107" s="418"/>
      <c r="R107" s="420"/>
      <c r="S107" s="420"/>
      <c r="T107" s="420"/>
      <c r="U107" s="420"/>
      <c r="V107" s="393"/>
      <c r="W107" s="394"/>
    </row>
    <row r="108" spans="1:23" ht="14.55" customHeight="1">
      <c r="A108" s="395"/>
      <c r="B108" s="396"/>
      <c r="C108" s="397"/>
      <c r="D108" s="401"/>
      <c r="E108" s="401"/>
      <c r="F108" s="402"/>
      <c r="G108" s="402"/>
      <c r="H108" s="403" t="str">
        <f t="shared" ref="H108" si="78">IF(ISNUMBER(D108), D108/F108, "")</f>
        <v/>
      </c>
      <c r="I108" s="403"/>
      <c r="J108" s="404"/>
      <c r="K108" s="404"/>
      <c r="L108" s="404"/>
      <c r="M108" s="405" t="str">
        <f t="shared" ref="M108" si="79">IF(AND(ISNUMBER(D108), ISNUMBER(F108), ISNUMBER(J108)), (D108/F108)*J108, "")</f>
        <v/>
      </c>
      <c r="N108" s="405"/>
      <c r="O108" s="405"/>
      <c r="P108" s="418" t="s">
        <v>41</v>
      </c>
      <c r="Q108" s="418"/>
      <c r="R108" s="419">
        <v>0.8</v>
      </c>
      <c r="S108" s="420"/>
      <c r="T108" s="421">
        <f t="shared" ref="T108" si="80">1-$R$1</f>
        <v>1</v>
      </c>
      <c r="U108" s="420"/>
      <c r="V108" s="393" t="str">
        <f>IFERROR(IF($R$1&gt;=R108, "Achieved", ROUND((R108 - $R$1) / $J$120 * $F$120, 1)),"")</f>
        <v/>
      </c>
      <c r="W108" s="394"/>
    </row>
    <row r="109" spans="1:23" ht="14.55" customHeight="1">
      <c r="A109" s="398"/>
      <c r="B109" s="399"/>
      <c r="C109" s="400"/>
      <c r="D109" s="401"/>
      <c r="E109" s="401"/>
      <c r="F109" s="402"/>
      <c r="G109" s="402"/>
      <c r="H109" s="403"/>
      <c r="I109" s="403"/>
      <c r="J109" s="404"/>
      <c r="K109" s="404"/>
      <c r="L109" s="404"/>
      <c r="M109" s="405"/>
      <c r="N109" s="405"/>
      <c r="O109" s="405"/>
      <c r="P109" s="418"/>
      <c r="Q109" s="418"/>
      <c r="R109" s="420"/>
      <c r="S109" s="420"/>
      <c r="T109" s="420"/>
      <c r="U109" s="420"/>
      <c r="V109" s="393"/>
      <c r="W109" s="394"/>
    </row>
    <row r="110" spans="1:23" ht="14.55" customHeight="1">
      <c r="A110" s="395"/>
      <c r="B110" s="396"/>
      <c r="C110" s="397"/>
      <c r="D110" s="401"/>
      <c r="E110" s="401"/>
      <c r="F110" s="402"/>
      <c r="G110" s="402"/>
      <c r="H110" s="403" t="str">
        <f t="shared" ref="H110" si="81">IF(ISNUMBER(D110), D110/F110, "")</f>
        <v/>
      </c>
      <c r="I110" s="403"/>
      <c r="J110" s="404"/>
      <c r="K110" s="404"/>
      <c r="L110" s="404"/>
      <c r="M110" s="405" t="str">
        <f>IF(AND(ISNUMBER(D110), ISNUMBER(F110), ISNUMBER(J110)), (D110/F110)*J110, "")</f>
        <v/>
      </c>
      <c r="N110" s="405"/>
      <c r="O110" s="405"/>
      <c r="P110" s="418"/>
      <c r="Q110" s="418"/>
      <c r="R110" s="420"/>
      <c r="S110" s="420"/>
      <c r="T110" s="420"/>
      <c r="U110" s="420"/>
      <c r="V110" s="393"/>
      <c r="W110" s="394"/>
    </row>
    <row r="111" spans="1:23" ht="14.55" customHeight="1">
      <c r="A111" s="398"/>
      <c r="B111" s="399"/>
      <c r="C111" s="400"/>
      <c r="D111" s="401"/>
      <c r="E111" s="401"/>
      <c r="F111" s="402"/>
      <c r="G111" s="402"/>
      <c r="H111" s="403"/>
      <c r="I111" s="403"/>
      <c r="J111" s="404"/>
      <c r="K111" s="404"/>
      <c r="L111" s="404"/>
      <c r="M111" s="405"/>
      <c r="N111" s="405"/>
      <c r="O111" s="405"/>
      <c r="P111" s="418"/>
      <c r="Q111" s="418"/>
      <c r="R111" s="420"/>
      <c r="S111" s="420"/>
      <c r="T111" s="420"/>
      <c r="U111" s="420"/>
      <c r="V111" s="393"/>
      <c r="W111" s="394"/>
    </row>
    <row r="112" spans="1:23" ht="14.55" customHeight="1">
      <c r="A112" s="395"/>
      <c r="B112" s="396"/>
      <c r="C112" s="397"/>
      <c r="D112" s="401"/>
      <c r="E112" s="401"/>
      <c r="F112" s="402"/>
      <c r="G112" s="402"/>
      <c r="H112" s="403" t="str">
        <f t="shared" ref="H112" si="82">IF(ISNUMBER(D112), D112/F112, "")</f>
        <v/>
      </c>
      <c r="I112" s="403"/>
      <c r="J112" s="404"/>
      <c r="K112" s="404"/>
      <c r="L112" s="404"/>
      <c r="M112" s="405" t="str">
        <f t="shared" ref="M112" si="83">IF(AND(ISNUMBER(D112), ISNUMBER(F112), ISNUMBER(J112)), (D112/F112)*J112, "")</f>
        <v/>
      </c>
      <c r="N112" s="405"/>
      <c r="O112" s="405"/>
      <c r="P112" s="418" t="s">
        <v>49</v>
      </c>
      <c r="Q112" s="418"/>
      <c r="R112" s="419">
        <v>0.77</v>
      </c>
      <c r="S112" s="420"/>
      <c r="T112" s="421">
        <f t="shared" ref="T112" si="84">1-$R$1</f>
        <v>1</v>
      </c>
      <c r="U112" s="420"/>
      <c r="V112" s="393" t="str">
        <f>IFERROR(IF($R$1&gt;=R112, "Achieved", ROUND((R112 - $R$1) / $J$120 * $F$120, 1)),"")</f>
        <v/>
      </c>
      <c r="W112" s="394"/>
    </row>
    <row r="113" spans="1:23" ht="14.55" customHeight="1">
      <c r="A113" s="398"/>
      <c r="B113" s="399"/>
      <c r="C113" s="400"/>
      <c r="D113" s="401"/>
      <c r="E113" s="401"/>
      <c r="F113" s="402"/>
      <c r="G113" s="402"/>
      <c r="H113" s="403"/>
      <c r="I113" s="403"/>
      <c r="J113" s="404"/>
      <c r="K113" s="404"/>
      <c r="L113" s="404"/>
      <c r="M113" s="405"/>
      <c r="N113" s="405"/>
      <c r="O113" s="405"/>
      <c r="P113" s="418"/>
      <c r="Q113" s="418"/>
      <c r="R113" s="420"/>
      <c r="S113" s="420"/>
      <c r="T113" s="420"/>
      <c r="U113" s="420"/>
      <c r="V113" s="393"/>
      <c r="W113" s="394"/>
    </row>
    <row r="114" spans="1:23" ht="14.55" customHeight="1">
      <c r="A114" s="395"/>
      <c r="B114" s="396"/>
      <c r="C114" s="397"/>
      <c r="D114" s="401"/>
      <c r="E114" s="401"/>
      <c r="F114" s="402"/>
      <c r="G114" s="402"/>
      <c r="H114" s="403" t="str">
        <f t="shared" ref="H114" si="85">IF(ISNUMBER(D114), D114/F114, "")</f>
        <v/>
      </c>
      <c r="I114" s="403"/>
      <c r="J114" s="404"/>
      <c r="K114" s="404"/>
      <c r="L114" s="404"/>
      <c r="M114" s="405" t="str">
        <f t="shared" ref="M114" si="86">IF(AND(ISNUMBER(D114), ISNUMBER(F114), ISNUMBER(J114)), (D114/F114)*J114, "")</f>
        <v/>
      </c>
      <c r="N114" s="405"/>
      <c r="O114" s="405"/>
      <c r="P114" s="418"/>
      <c r="Q114" s="418"/>
      <c r="R114" s="420"/>
      <c r="S114" s="420"/>
      <c r="T114" s="420"/>
      <c r="U114" s="420"/>
      <c r="V114" s="393"/>
      <c r="W114" s="394"/>
    </row>
    <row r="115" spans="1:23" ht="14.55" customHeight="1">
      <c r="A115" s="398"/>
      <c r="B115" s="399"/>
      <c r="C115" s="400"/>
      <c r="D115" s="401"/>
      <c r="E115" s="401"/>
      <c r="F115" s="402"/>
      <c r="G115" s="402"/>
      <c r="H115" s="403"/>
      <c r="I115" s="403"/>
      <c r="J115" s="404"/>
      <c r="K115" s="404"/>
      <c r="L115" s="404"/>
      <c r="M115" s="405"/>
      <c r="N115" s="405"/>
      <c r="O115" s="405"/>
      <c r="P115" s="418"/>
      <c r="Q115" s="418"/>
      <c r="R115" s="420"/>
      <c r="S115" s="420"/>
      <c r="T115" s="420"/>
      <c r="U115" s="420"/>
      <c r="V115" s="393"/>
      <c r="W115" s="394"/>
    </row>
    <row r="116" spans="1:23" ht="14.55" customHeight="1">
      <c r="A116" s="395"/>
      <c r="B116" s="396"/>
      <c r="C116" s="397"/>
      <c r="D116" s="401"/>
      <c r="E116" s="401"/>
      <c r="F116" s="402"/>
      <c r="G116" s="402"/>
      <c r="H116" s="403" t="str">
        <f t="shared" ref="H116" si="87">IF(ISNUMBER(D116), D116/F116, "")</f>
        <v/>
      </c>
      <c r="I116" s="403"/>
      <c r="J116" s="404"/>
      <c r="K116" s="404"/>
      <c r="L116" s="404"/>
      <c r="M116" s="405" t="str">
        <f t="shared" ref="M116" si="88">IF(AND(ISNUMBER(D116), ISNUMBER(F116), ISNUMBER(J116)), (D116/F116)*J116, "")</f>
        <v/>
      </c>
      <c r="N116" s="405"/>
      <c r="O116" s="405"/>
      <c r="P116" s="418" t="s">
        <v>50</v>
      </c>
      <c r="Q116" s="418"/>
      <c r="R116" s="419">
        <v>0.73</v>
      </c>
      <c r="S116" s="420"/>
      <c r="T116" s="421">
        <f t="shared" ref="T116" si="89">1-$R$1</f>
        <v>1</v>
      </c>
      <c r="U116" s="420"/>
      <c r="V116" s="393" t="str">
        <f>IFERROR(IF($R$1&gt;=R116, "Achieved", ROUND((R116 - $R$1) / $J$120 * $F$120, 1)),"")</f>
        <v/>
      </c>
      <c r="W116" s="394"/>
    </row>
    <row r="117" spans="1:23" ht="14.55" customHeight="1">
      <c r="A117" s="398"/>
      <c r="B117" s="399"/>
      <c r="C117" s="400"/>
      <c r="D117" s="401"/>
      <c r="E117" s="401"/>
      <c r="F117" s="402"/>
      <c r="G117" s="402"/>
      <c r="H117" s="403"/>
      <c r="I117" s="403"/>
      <c r="J117" s="404"/>
      <c r="K117" s="404"/>
      <c r="L117" s="404"/>
      <c r="M117" s="405"/>
      <c r="N117" s="405"/>
      <c r="O117" s="405"/>
      <c r="P117" s="418"/>
      <c r="Q117" s="418"/>
      <c r="R117" s="420"/>
      <c r="S117" s="420"/>
      <c r="T117" s="420"/>
      <c r="U117" s="420"/>
      <c r="V117" s="393"/>
      <c r="W117" s="394"/>
    </row>
    <row r="118" spans="1:23" ht="14.55" customHeight="1">
      <c r="A118" s="395"/>
      <c r="B118" s="396"/>
      <c r="C118" s="397"/>
      <c r="D118" s="401"/>
      <c r="E118" s="401"/>
      <c r="F118" s="402"/>
      <c r="G118" s="402"/>
      <c r="H118" s="403" t="str">
        <f t="shared" ref="H118" si="90">IF(ISNUMBER(D118), D118/F118, "")</f>
        <v/>
      </c>
      <c r="I118" s="403"/>
      <c r="J118" s="404"/>
      <c r="K118" s="404"/>
      <c r="L118" s="404"/>
      <c r="M118" s="405" t="str">
        <f t="shared" ref="M118" si="91">IF(AND(ISNUMBER(D118), ISNUMBER(F118), ISNUMBER(J118)), (D118/F118)*J118, "")</f>
        <v/>
      </c>
      <c r="N118" s="405"/>
      <c r="O118" s="405"/>
      <c r="P118" s="418"/>
      <c r="Q118" s="418"/>
      <c r="R118" s="420"/>
      <c r="S118" s="420"/>
      <c r="T118" s="420"/>
      <c r="U118" s="420"/>
      <c r="V118" s="393"/>
      <c r="W118" s="394"/>
    </row>
    <row r="119" spans="1:23" ht="14.55" customHeight="1">
      <c r="A119" s="398"/>
      <c r="B119" s="399"/>
      <c r="C119" s="400"/>
      <c r="D119" s="401"/>
      <c r="E119" s="401"/>
      <c r="F119" s="402"/>
      <c r="G119" s="402"/>
      <c r="H119" s="403"/>
      <c r="I119" s="403"/>
      <c r="J119" s="404"/>
      <c r="K119" s="404"/>
      <c r="L119" s="404"/>
      <c r="M119" s="405"/>
      <c r="N119" s="405"/>
      <c r="O119" s="405"/>
      <c r="P119" s="418"/>
      <c r="Q119" s="418"/>
      <c r="R119" s="420"/>
      <c r="S119" s="420"/>
      <c r="T119" s="420"/>
      <c r="U119" s="420"/>
      <c r="V119" s="393"/>
      <c r="W119" s="394"/>
    </row>
    <row r="120" spans="1:23" ht="14.55" customHeight="1">
      <c r="A120" s="406" t="s">
        <v>64</v>
      </c>
      <c r="B120" s="407"/>
      <c r="C120" s="408"/>
      <c r="D120" s="401"/>
      <c r="E120" s="401"/>
      <c r="F120" s="402"/>
      <c r="G120" s="402"/>
      <c r="H120" s="403" t="str">
        <f t="shared" ref="H120" si="92">IF(ISNUMBER(D120), D120/F120, "")</f>
        <v/>
      </c>
      <c r="I120" s="403"/>
      <c r="J120" s="404"/>
      <c r="K120" s="404"/>
      <c r="L120" s="404"/>
      <c r="M120" s="405" t="str">
        <f t="shared" ref="M120" si="93">IF(AND(ISNUMBER(D120), ISNUMBER(F120), ISNUMBER(J120)), (D120/F120)*J120, "")</f>
        <v/>
      </c>
      <c r="N120" s="405"/>
      <c r="O120" s="405"/>
      <c r="P120" s="416" t="s">
        <v>22</v>
      </c>
      <c r="Q120" s="416"/>
      <c r="R120" s="417"/>
      <c r="S120" s="417"/>
      <c r="T120" s="416" t="s">
        <v>21</v>
      </c>
      <c r="U120" s="416"/>
      <c r="V120" s="417" t="s">
        <v>37</v>
      </c>
      <c r="W120" s="417"/>
    </row>
    <row r="121" spans="1:23" ht="14.55" customHeight="1">
      <c r="A121" s="409"/>
      <c r="B121" s="410"/>
      <c r="C121" s="411"/>
      <c r="D121" s="412"/>
      <c r="E121" s="412"/>
      <c r="F121" s="413"/>
      <c r="G121" s="413"/>
      <c r="H121" s="414"/>
      <c r="I121" s="414"/>
      <c r="J121" s="404"/>
      <c r="K121" s="404"/>
      <c r="L121" s="404"/>
      <c r="M121" s="415"/>
      <c r="N121" s="415"/>
      <c r="O121" s="415"/>
      <c r="P121" s="416"/>
      <c r="Q121" s="416"/>
      <c r="R121" s="417"/>
      <c r="S121" s="417"/>
      <c r="T121" s="416"/>
      <c r="U121" s="416"/>
      <c r="V121" s="417"/>
      <c r="W121" s="417"/>
    </row>
    <row r="122" spans="1:23" ht="14.55" customHeight="1">
      <c r="A122" s="440" t="s">
        <v>44</v>
      </c>
      <c r="B122" s="441"/>
      <c r="C122" s="441"/>
      <c r="D122" s="441"/>
      <c r="E122" s="441"/>
      <c r="F122" s="441"/>
      <c r="G122" s="441"/>
      <c r="H122" s="441"/>
      <c r="I122" s="441"/>
      <c r="J122" s="441"/>
      <c r="K122" s="441"/>
      <c r="L122" s="441"/>
      <c r="M122" s="441"/>
      <c r="N122" s="441"/>
      <c r="O122" s="441"/>
      <c r="P122" s="441"/>
      <c r="Q122" s="441"/>
      <c r="R122" s="441"/>
      <c r="S122" s="441"/>
      <c r="T122" s="441"/>
      <c r="U122" s="441"/>
      <c r="V122" s="441"/>
      <c r="W122" s="446"/>
    </row>
    <row r="123" spans="1:23" ht="14.55" customHeight="1">
      <c r="A123" s="442"/>
      <c r="B123" s="443"/>
      <c r="C123" s="443"/>
      <c r="D123" s="443"/>
      <c r="E123" s="443"/>
      <c r="F123" s="443"/>
      <c r="G123" s="443"/>
      <c r="H123" s="443"/>
      <c r="I123" s="443"/>
      <c r="J123" s="443"/>
      <c r="K123" s="443"/>
      <c r="L123" s="443"/>
      <c r="M123" s="443"/>
      <c r="N123" s="443"/>
      <c r="O123" s="443"/>
      <c r="P123" s="443"/>
      <c r="Q123" s="443"/>
      <c r="R123" s="443"/>
      <c r="S123" s="443"/>
      <c r="T123" s="443"/>
      <c r="U123" s="443"/>
      <c r="V123" s="443"/>
      <c r="W123" s="447"/>
    </row>
    <row r="124" spans="1:23" ht="14.55" customHeight="1">
      <c r="A124" s="444"/>
      <c r="B124" s="445"/>
      <c r="C124" s="445"/>
      <c r="D124" s="445"/>
      <c r="E124" s="445"/>
      <c r="F124" s="445"/>
      <c r="G124" s="445"/>
      <c r="H124" s="445"/>
      <c r="I124" s="445"/>
      <c r="J124" s="445"/>
      <c r="K124" s="445"/>
      <c r="L124" s="445"/>
      <c r="M124" s="445"/>
      <c r="N124" s="445"/>
      <c r="O124" s="445"/>
      <c r="P124" s="445"/>
      <c r="Q124" s="445"/>
      <c r="R124" s="445"/>
      <c r="S124" s="445"/>
      <c r="T124" s="445"/>
      <c r="U124" s="445"/>
      <c r="V124" s="445"/>
      <c r="W124" s="448"/>
    </row>
    <row r="125" spans="1:23">
      <c r="A125" s="422"/>
      <c r="B125" s="423"/>
      <c r="C125" s="423"/>
      <c r="D125" s="423"/>
      <c r="E125" s="423"/>
      <c r="F125" s="423"/>
      <c r="G125" s="423"/>
      <c r="H125" s="423"/>
      <c r="I125" s="423"/>
      <c r="J125" s="423"/>
      <c r="K125" s="423"/>
      <c r="L125" s="423"/>
      <c r="M125" s="423"/>
      <c r="N125" s="423"/>
      <c r="O125" s="423"/>
      <c r="P125" s="426" t="s">
        <v>52</v>
      </c>
      <c r="Q125" s="426"/>
      <c r="R125" s="428">
        <f>SUM(M131:O152)</f>
        <v>0</v>
      </c>
      <c r="S125" s="429"/>
      <c r="T125" s="431" t="s">
        <v>34</v>
      </c>
      <c r="U125" s="431"/>
      <c r="V125" s="433"/>
      <c r="W125" s="434"/>
    </row>
    <row r="126" spans="1:23">
      <c r="A126" s="424"/>
      <c r="B126" s="425"/>
      <c r="C126" s="425"/>
      <c r="D126" s="425"/>
      <c r="E126" s="425"/>
      <c r="F126" s="425"/>
      <c r="G126" s="425"/>
      <c r="H126" s="425"/>
      <c r="I126" s="425"/>
      <c r="J126" s="425"/>
      <c r="K126" s="425"/>
      <c r="L126" s="425"/>
      <c r="M126" s="425"/>
      <c r="N126" s="425"/>
      <c r="O126" s="425"/>
      <c r="P126" s="427"/>
      <c r="Q126" s="427"/>
      <c r="R126" s="430"/>
      <c r="S126" s="430"/>
      <c r="T126" s="432"/>
      <c r="U126" s="432"/>
      <c r="V126" s="435"/>
      <c r="W126" s="436"/>
    </row>
    <row r="127" spans="1:23">
      <c r="A127" s="424"/>
      <c r="B127" s="425"/>
      <c r="C127" s="425"/>
      <c r="D127" s="425"/>
      <c r="E127" s="425"/>
      <c r="F127" s="425"/>
      <c r="G127" s="425"/>
      <c r="H127" s="425"/>
      <c r="I127" s="425"/>
      <c r="J127" s="425"/>
      <c r="K127" s="425"/>
      <c r="L127" s="425"/>
      <c r="M127" s="425"/>
      <c r="N127" s="425"/>
      <c r="O127" s="425"/>
      <c r="P127" s="427"/>
      <c r="Q127" s="427"/>
      <c r="R127" s="430"/>
      <c r="S127" s="430"/>
      <c r="T127" s="432"/>
      <c r="U127" s="432"/>
      <c r="V127" s="435"/>
      <c r="W127" s="436"/>
    </row>
    <row r="128" spans="1:23">
      <c r="A128" s="424"/>
      <c r="B128" s="425"/>
      <c r="C128" s="425"/>
      <c r="D128" s="425"/>
      <c r="E128" s="425"/>
      <c r="F128" s="425"/>
      <c r="G128" s="425"/>
      <c r="H128" s="425"/>
      <c r="I128" s="425"/>
      <c r="J128" s="425"/>
      <c r="K128" s="425"/>
      <c r="L128" s="425"/>
      <c r="M128" s="425"/>
      <c r="N128" s="425"/>
      <c r="O128" s="425"/>
      <c r="P128" s="427"/>
      <c r="Q128" s="427"/>
      <c r="R128" s="430"/>
      <c r="S128" s="430"/>
      <c r="T128" s="432"/>
      <c r="U128" s="432"/>
      <c r="V128" s="435"/>
      <c r="W128" s="436"/>
    </row>
    <row r="129" spans="1:23">
      <c r="A129" s="437" t="s">
        <v>5</v>
      </c>
      <c r="B129" s="438"/>
      <c r="C129" s="438"/>
      <c r="D129" s="438" t="s">
        <v>53</v>
      </c>
      <c r="E129" s="438"/>
      <c r="F129" s="438" t="s">
        <v>45</v>
      </c>
      <c r="G129" s="438"/>
      <c r="H129" s="438" t="s">
        <v>55</v>
      </c>
      <c r="I129" s="438"/>
      <c r="J129" s="438" t="s">
        <v>46</v>
      </c>
      <c r="K129" s="438"/>
      <c r="L129" s="438"/>
      <c r="M129" s="438" t="s">
        <v>54</v>
      </c>
      <c r="N129" s="438"/>
      <c r="O129" s="438"/>
      <c r="P129" s="438" t="s">
        <v>21</v>
      </c>
      <c r="Q129" s="438"/>
      <c r="R129" s="438" t="s">
        <v>47</v>
      </c>
      <c r="S129" s="438"/>
      <c r="T129" s="438" t="s">
        <v>48</v>
      </c>
      <c r="U129" s="438"/>
      <c r="V129" s="438" t="s">
        <v>51</v>
      </c>
      <c r="W129" s="439"/>
    </row>
    <row r="130" spans="1:23">
      <c r="A130" s="437"/>
      <c r="B130" s="438"/>
      <c r="C130" s="438"/>
      <c r="D130" s="438"/>
      <c r="E130" s="438"/>
      <c r="F130" s="438"/>
      <c r="G130" s="438"/>
      <c r="H130" s="438"/>
      <c r="I130" s="438"/>
      <c r="J130" s="438"/>
      <c r="K130" s="438"/>
      <c r="L130" s="438"/>
      <c r="M130" s="438"/>
      <c r="N130" s="438"/>
      <c r="O130" s="438"/>
      <c r="P130" s="438"/>
      <c r="Q130" s="438"/>
      <c r="R130" s="438"/>
      <c r="S130" s="438"/>
      <c r="T130" s="438"/>
      <c r="U130" s="438"/>
      <c r="V130" s="438"/>
      <c r="W130" s="439"/>
    </row>
    <row r="131" spans="1:23" ht="14.55" customHeight="1">
      <c r="A131" s="395"/>
      <c r="B131" s="396"/>
      <c r="C131" s="397"/>
      <c r="D131" s="401"/>
      <c r="E131" s="401"/>
      <c r="F131" s="402"/>
      <c r="G131" s="402"/>
      <c r="H131" s="403" t="str">
        <f>IF(ISNUMBER(D131), D131/F131, "")</f>
        <v/>
      </c>
      <c r="I131" s="403"/>
      <c r="J131" s="404"/>
      <c r="K131" s="404"/>
      <c r="L131" s="404"/>
      <c r="M131" s="405" t="str">
        <f t="shared" ref="M131" si="94">IF(AND(ISNUMBER(D131), ISNUMBER(F131), ISNUMBER(J131)), (D131/F131)*J131, "")</f>
        <v/>
      </c>
      <c r="N131" s="405"/>
      <c r="O131" s="405"/>
      <c r="P131" s="418" t="s">
        <v>37</v>
      </c>
      <c r="Q131" s="418"/>
      <c r="R131" s="419">
        <v>0.9</v>
      </c>
      <c r="S131" s="420"/>
      <c r="T131" s="421">
        <f>1-$R$1</f>
        <v>1</v>
      </c>
      <c r="U131" s="420"/>
      <c r="V131" s="393" t="str">
        <f>IFERROR(IF($R$1&gt;=R131, "Achieved", ROUND((R131 - $R$1) / $J$151 * $F$151, 1)),"")</f>
        <v/>
      </c>
      <c r="W131" s="394"/>
    </row>
    <row r="132" spans="1:23" ht="14.55" customHeight="1">
      <c r="A132" s="398"/>
      <c r="B132" s="399"/>
      <c r="C132" s="400"/>
      <c r="D132" s="401"/>
      <c r="E132" s="401"/>
      <c r="F132" s="402"/>
      <c r="G132" s="402"/>
      <c r="H132" s="403"/>
      <c r="I132" s="403"/>
      <c r="J132" s="404"/>
      <c r="K132" s="404"/>
      <c r="L132" s="404"/>
      <c r="M132" s="405"/>
      <c r="N132" s="405"/>
      <c r="O132" s="405"/>
      <c r="P132" s="418"/>
      <c r="Q132" s="418"/>
      <c r="R132" s="420"/>
      <c r="S132" s="420"/>
      <c r="T132" s="420"/>
      <c r="U132" s="420"/>
      <c r="V132" s="393"/>
      <c r="W132" s="394"/>
    </row>
    <row r="133" spans="1:23" ht="14.55" customHeight="1">
      <c r="A133" s="395"/>
      <c r="B133" s="396"/>
      <c r="C133" s="397"/>
      <c r="D133" s="401"/>
      <c r="E133" s="401"/>
      <c r="F133" s="402"/>
      <c r="G133" s="402"/>
      <c r="H133" s="403" t="str">
        <f t="shared" ref="H133" si="95">IF(ISNUMBER(D133), D133/F133, "")</f>
        <v/>
      </c>
      <c r="I133" s="403"/>
      <c r="J133" s="404"/>
      <c r="K133" s="404"/>
      <c r="L133" s="404"/>
      <c r="M133" s="405" t="str">
        <f t="shared" ref="M133" si="96">IF(AND(ISNUMBER(D133), ISNUMBER(F133), ISNUMBER(J133)), (D133/F133)*J133, "")</f>
        <v/>
      </c>
      <c r="N133" s="405"/>
      <c r="O133" s="405"/>
      <c r="P133" s="418"/>
      <c r="Q133" s="418"/>
      <c r="R133" s="420"/>
      <c r="S133" s="420"/>
      <c r="T133" s="420"/>
      <c r="U133" s="420"/>
      <c r="V133" s="393"/>
      <c r="W133" s="394"/>
    </row>
    <row r="134" spans="1:23" ht="14.55" customHeight="1">
      <c r="A134" s="398"/>
      <c r="B134" s="399"/>
      <c r="C134" s="400"/>
      <c r="D134" s="401"/>
      <c r="E134" s="401"/>
      <c r="F134" s="402"/>
      <c r="G134" s="402"/>
      <c r="H134" s="403"/>
      <c r="I134" s="403"/>
      <c r="J134" s="404"/>
      <c r="K134" s="404"/>
      <c r="L134" s="404"/>
      <c r="M134" s="405"/>
      <c r="N134" s="405"/>
      <c r="O134" s="405"/>
      <c r="P134" s="418"/>
      <c r="Q134" s="418"/>
      <c r="R134" s="420"/>
      <c r="S134" s="420"/>
      <c r="T134" s="420"/>
      <c r="U134" s="420"/>
      <c r="V134" s="393"/>
      <c r="W134" s="394"/>
    </row>
    <row r="135" spans="1:23" ht="14.55" customHeight="1">
      <c r="A135" s="395"/>
      <c r="B135" s="396"/>
      <c r="C135" s="397"/>
      <c r="D135" s="401"/>
      <c r="E135" s="401"/>
      <c r="F135" s="402"/>
      <c r="G135" s="402"/>
      <c r="H135" s="403" t="str">
        <f t="shared" ref="H135" si="97">IF(ISNUMBER(D135), D135/F135, "")</f>
        <v/>
      </c>
      <c r="I135" s="403"/>
      <c r="J135" s="404"/>
      <c r="K135" s="404"/>
      <c r="L135" s="404"/>
      <c r="M135" s="405" t="str">
        <f t="shared" ref="M135" si="98">IF(AND(ISNUMBER(D135), ISNUMBER(F135), ISNUMBER(J135)), (D135/F135)*J135, "")</f>
        <v/>
      </c>
      <c r="N135" s="405"/>
      <c r="O135" s="405"/>
      <c r="P135" s="418" t="s">
        <v>38</v>
      </c>
      <c r="Q135" s="418"/>
      <c r="R135" s="419">
        <v>0.85</v>
      </c>
      <c r="S135" s="420"/>
      <c r="T135" s="421">
        <f t="shared" ref="T135" si="99">1-$R$1</f>
        <v>1</v>
      </c>
      <c r="U135" s="420"/>
      <c r="V135" s="393" t="str">
        <f>IFERROR(IF($R$1&gt;=R135, "Achieved", ROUND((R135 - $R$1) / $J$151 * $F$151, 1)),"")</f>
        <v/>
      </c>
      <c r="W135" s="394"/>
    </row>
    <row r="136" spans="1:23" ht="14.55" customHeight="1">
      <c r="A136" s="398"/>
      <c r="B136" s="399"/>
      <c r="C136" s="400"/>
      <c r="D136" s="401"/>
      <c r="E136" s="401"/>
      <c r="F136" s="402"/>
      <c r="G136" s="402"/>
      <c r="H136" s="403"/>
      <c r="I136" s="403"/>
      <c r="J136" s="404"/>
      <c r="K136" s="404"/>
      <c r="L136" s="404"/>
      <c r="M136" s="405"/>
      <c r="N136" s="405"/>
      <c r="O136" s="405"/>
      <c r="P136" s="418"/>
      <c r="Q136" s="418"/>
      <c r="R136" s="420"/>
      <c r="S136" s="420"/>
      <c r="T136" s="420"/>
      <c r="U136" s="420"/>
      <c r="V136" s="393"/>
      <c r="W136" s="394"/>
    </row>
    <row r="137" spans="1:23" ht="14.55" customHeight="1">
      <c r="A137" s="395"/>
      <c r="B137" s="396"/>
      <c r="C137" s="397"/>
      <c r="D137" s="401"/>
      <c r="E137" s="401"/>
      <c r="F137" s="402"/>
      <c r="G137" s="402"/>
      <c r="H137" s="403" t="str">
        <f t="shared" ref="H137" si="100">IF(ISNUMBER(D137), D137/F137, "")</f>
        <v/>
      </c>
      <c r="I137" s="403"/>
      <c r="J137" s="404"/>
      <c r="K137" s="404"/>
      <c r="L137" s="404"/>
      <c r="M137" s="405" t="str">
        <f t="shared" ref="M137" si="101">IF(AND(ISNUMBER(D137), ISNUMBER(F137), ISNUMBER(J137)), (D137/F137)*J137, "")</f>
        <v/>
      </c>
      <c r="N137" s="405"/>
      <c r="O137" s="405"/>
      <c r="P137" s="418"/>
      <c r="Q137" s="418"/>
      <c r="R137" s="420"/>
      <c r="S137" s="420"/>
      <c r="T137" s="420"/>
      <c r="U137" s="420"/>
      <c r="V137" s="393"/>
      <c r="W137" s="394"/>
    </row>
    <row r="138" spans="1:23" ht="14.55" customHeight="1">
      <c r="A138" s="398"/>
      <c r="B138" s="399"/>
      <c r="C138" s="400"/>
      <c r="D138" s="401"/>
      <c r="E138" s="401"/>
      <c r="F138" s="402"/>
      <c r="G138" s="402"/>
      <c r="H138" s="403"/>
      <c r="I138" s="403"/>
      <c r="J138" s="404"/>
      <c r="K138" s="404"/>
      <c r="L138" s="404"/>
      <c r="M138" s="405"/>
      <c r="N138" s="405"/>
      <c r="O138" s="405"/>
      <c r="P138" s="418"/>
      <c r="Q138" s="418"/>
      <c r="R138" s="420"/>
      <c r="S138" s="420"/>
      <c r="T138" s="420"/>
      <c r="U138" s="420"/>
      <c r="V138" s="393"/>
      <c r="W138" s="394"/>
    </row>
    <row r="139" spans="1:23" ht="14.55" customHeight="1">
      <c r="A139" s="395"/>
      <c r="B139" s="396"/>
      <c r="C139" s="397"/>
      <c r="D139" s="401"/>
      <c r="E139" s="401"/>
      <c r="F139" s="402"/>
      <c r="G139" s="402"/>
      <c r="H139" s="403" t="str">
        <f t="shared" ref="H139" si="102">IF(ISNUMBER(D139), D139/F139, "")</f>
        <v/>
      </c>
      <c r="I139" s="403"/>
      <c r="J139" s="404"/>
      <c r="K139" s="404"/>
      <c r="L139" s="404"/>
      <c r="M139" s="405" t="str">
        <f t="shared" ref="M139" si="103">IF(AND(ISNUMBER(D139), ISNUMBER(F139), ISNUMBER(J139)), (D139/F139)*J139, "")</f>
        <v/>
      </c>
      <c r="N139" s="405"/>
      <c r="O139" s="405"/>
      <c r="P139" s="418" t="s">
        <v>41</v>
      </c>
      <c r="Q139" s="418"/>
      <c r="R139" s="419">
        <v>0.8</v>
      </c>
      <c r="S139" s="420"/>
      <c r="T139" s="421">
        <f t="shared" ref="T139" si="104">1-$R$1</f>
        <v>1</v>
      </c>
      <c r="U139" s="420"/>
      <c r="V139" s="393" t="str">
        <f>IFERROR(IF($R$1&gt;=R139, "Achieved", ROUND((R139 - $R$1) / $J$151 * $F$151, 1)),"")</f>
        <v/>
      </c>
      <c r="W139" s="394"/>
    </row>
    <row r="140" spans="1:23" ht="14.55" customHeight="1">
      <c r="A140" s="398"/>
      <c r="B140" s="399"/>
      <c r="C140" s="400"/>
      <c r="D140" s="401"/>
      <c r="E140" s="401"/>
      <c r="F140" s="402"/>
      <c r="G140" s="402"/>
      <c r="H140" s="403"/>
      <c r="I140" s="403"/>
      <c r="J140" s="404"/>
      <c r="K140" s="404"/>
      <c r="L140" s="404"/>
      <c r="M140" s="405"/>
      <c r="N140" s="405"/>
      <c r="O140" s="405"/>
      <c r="P140" s="418"/>
      <c r="Q140" s="418"/>
      <c r="R140" s="420"/>
      <c r="S140" s="420"/>
      <c r="T140" s="420"/>
      <c r="U140" s="420"/>
      <c r="V140" s="393"/>
      <c r="W140" s="394"/>
    </row>
    <row r="141" spans="1:23" ht="14.55" customHeight="1">
      <c r="A141" s="395"/>
      <c r="B141" s="396"/>
      <c r="C141" s="397"/>
      <c r="D141" s="401"/>
      <c r="E141" s="401"/>
      <c r="F141" s="402"/>
      <c r="G141" s="402"/>
      <c r="H141" s="403" t="str">
        <f t="shared" ref="H141" si="105">IF(ISNUMBER(D141), D141/F141, "")</f>
        <v/>
      </c>
      <c r="I141" s="403"/>
      <c r="J141" s="404"/>
      <c r="K141" s="404"/>
      <c r="L141" s="404"/>
      <c r="M141" s="405" t="str">
        <f>IF(AND(ISNUMBER(D141), ISNUMBER(F141), ISNUMBER(J141)), (D141/F141)*J141, "")</f>
        <v/>
      </c>
      <c r="N141" s="405"/>
      <c r="O141" s="405"/>
      <c r="P141" s="418"/>
      <c r="Q141" s="418"/>
      <c r="R141" s="420"/>
      <c r="S141" s="420"/>
      <c r="T141" s="420"/>
      <c r="U141" s="420"/>
      <c r="V141" s="393"/>
      <c r="W141" s="394"/>
    </row>
    <row r="142" spans="1:23" ht="14.55" customHeight="1">
      <c r="A142" s="398"/>
      <c r="B142" s="399"/>
      <c r="C142" s="400"/>
      <c r="D142" s="401"/>
      <c r="E142" s="401"/>
      <c r="F142" s="402"/>
      <c r="G142" s="402"/>
      <c r="H142" s="403"/>
      <c r="I142" s="403"/>
      <c r="J142" s="404"/>
      <c r="K142" s="404"/>
      <c r="L142" s="404"/>
      <c r="M142" s="405"/>
      <c r="N142" s="405"/>
      <c r="O142" s="405"/>
      <c r="P142" s="418"/>
      <c r="Q142" s="418"/>
      <c r="R142" s="420"/>
      <c r="S142" s="420"/>
      <c r="T142" s="420"/>
      <c r="U142" s="420"/>
      <c r="V142" s="393"/>
      <c r="W142" s="394"/>
    </row>
    <row r="143" spans="1:23" ht="14.55" customHeight="1">
      <c r="A143" s="395"/>
      <c r="B143" s="396"/>
      <c r="C143" s="397"/>
      <c r="D143" s="401"/>
      <c r="E143" s="401"/>
      <c r="F143" s="402"/>
      <c r="G143" s="402"/>
      <c r="H143" s="403" t="str">
        <f t="shared" ref="H143" si="106">IF(ISNUMBER(D143), D143/F143, "")</f>
        <v/>
      </c>
      <c r="I143" s="403"/>
      <c r="J143" s="404"/>
      <c r="K143" s="404"/>
      <c r="L143" s="404"/>
      <c r="M143" s="405" t="str">
        <f t="shared" ref="M143" si="107">IF(AND(ISNUMBER(D143), ISNUMBER(F143), ISNUMBER(J143)), (D143/F143)*J143, "")</f>
        <v/>
      </c>
      <c r="N143" s="405"/>
      <c r="O143" s="405"/>
      <c r="P143" s="418" t="s">
        <v>49</v>
      </c>
      <c r="Q143" s="418"/>
      <c r="R143" s="419">
        <v>0.77</v>
      </c>
      <c r="S143" s="420"/>
      <c r="T143" s="421">
        <f t="shared" ref="T143" si="108">1-$R$1</f>
        <v>1</v>
      </c>
      <c r="U143" s="420"/>
      <c r="V143" s="393" t="str">
        <f>IFERROR(IF($R$1&gt;=R143, "Achieved", ROUND((R143 - $R$1) / $J$151 * $F$151, 1)),"")</f>
        <v/>
      </c>
      <c r="W143" s="394"/>
    </row>
    <row r="144" spans="1:23" ht="14.55" customHeight="1">
      <c r="A144" s="398"/>
      <c r="B144" s="399"/>
      <c r="C144" s="400"/>
      <c r="D144" s="401"/>
      <c r="E144" s="401"/>
      <c r="F144" s="402"/>
      <c r="G144" s="402"/>
      <c r="H144" s="403"/>
      <c r="I144" s="403"/>
      <c r="J144" s="404"/>
      <c r="K144" s="404"/>
      <c r="L144" s="404"/>
      <c r="M144" s="405"/>
      <c r="N144" s="405"/>
      <c r="O144" s="405"/>
      <c r="P144" s="418"/>
      <c r="Q144" s="418"/>
      <c r="R144" s="420"/>
      <c r="S144" s="420"/>
      <c r="T144" s="420"/>
      <c r="U144" s="420"/>
      <c r="V144" s="393"/>
      <c r="W144" s="394"/>
    </row>
    <row r="145" spans="1:23" ht="14.55" customHeight="1">
      <c r="A145" s="395"/>
      <c r="B145" s="396"/>
      <c r="C145" s="397"/>
      <c r="D145" s="401"/>
      <c r="E145" s="401"/>
      <c r="F145" s="402"/>
      <c r="G145" s="402"/>
      <c r="H145" s="403" t="str">
        <f t="shared" ref="H145" si="109">IF(ISNUMBER(D145), D145/F145, "")</f>
        <v/>
      </c>
      <c r="I145" s="403"/>
      <c r="J145" s="404"/>
      <c r="K145" s="404"/>
      <c r="L145" s="404"/>
      <c r="M145" s="405" t="str">
        <f t="shared" ref="M145" si="110">IF(AND(ISNUMBER(D145), ISNUMBER(F145), ISNUMBER(J145)), (D145/F145)*J145, "")</f>
        <v/>
      </c>
      <c r="N145" s="405"/>
      <c r="O145" s="405"/>
      <c r="P145" s="418"/>
      <c r="Q145" s="418"/>
      <c r="R145" s="420"/>
      <c r="S145" s="420"/>
      <c r="T145" s="420"/>
      <c r="U145" s="420"/>
      <c r="V145" s="393"/>
      <c r="W145" s="394"/>
    </row>
    <row r="146" spans="1:23" ht="14.55" customHeight="1">
      <c r="A146" s="398"/>
      <c r="B146" s="399"/>
      <c r="C146" s="400"/>
      <c r="D146" s="401"/>
      <c r="E146" s="401"/>
      <c r="F146" s="402"/>
      <c r="G146" s="402"/>
      <c r="H146" s="403"/>
      <c r="I146" s="403"/>
      <c r="J146" s="404"/>
      <c r="K146" s="404"/>
      <c r="L146" s="404"/>
      <c r="M146" s="405"/>
      <c r="N146" s="405"/>
      <c r="O146" s="405"/>
      <c r="P146" s="418"/>
      <c r="Q146" s="418"/>
      <c r="R146" s="420"/>
      <c r="S146" s="420"/>
      <c r="T146" s="420"/>
      <c r="U146" s="420"/>
      <c r="V146" s="393"/>
      <c r="W146" s="394"/>
    </row>
    <row r="147" spans="1:23" ht="14.55" customHeight="1">
      <c r="A147" s="395"/>
      <c r="B147" s="396"/>
      <c r="C147" s="397"/>
      <c r="D147" s="401"/>
      <c r="E147" s="401"/>
      <c r="F147" s="402"/>
      <c r="G147" s="402"/>
      <c r="H147" s="403" t="str">
        <f t="shared" ref="H147" si="111">IF(ISNUMBER(D147), D147/F147, "")</f>
        <v/>
      </c>
      <c r="I147" s="403"/>
      <c r="J147" s="404"/>
      <c r="K147" s="404"/>
      <c r="L147" s="404"/>
      <c r="M147" s="405" t="str">
        <f t="shared" ref="M147" si="112">IF(AND(ISNUMBER(D147), ISNUMBER(F147), ISNUMBER(J147)), (D147/F147)*J147, "")</f>
        <v/>
      </c>
      <c r="N147" s="405"/>
      <c r="O147" s="405"/>
      <c r="P147" s="418" t="s">
        <v>50</v>
      </c>
      <c r="Q147" s="418"/>
      <c r="R147" s="419">
        <v>0.73</v>
      </c>
      <c r="S147" s="420"/>
      <c r="T147" s="421">
        <f t="shared" ref="T147" si="113">1-$R$1</f>
        <v>1</v>
      </c>
      <c r="U147" s="420"/>
      <c r="V147" s="393" t="str">
        <f>IFERROR(IF($R$1&gt;=R147, "Achieved", ROUND((R147 - $R$1) / $J$151 * $F$151, 1)),"")</f>
        <v/>
      </c>
      <c r="W147" s="394"/>
    </row>
    <row r="148" spans="1:23" ht="14.55" customHeight="1">
      <c r="A148" s="398"/>
      <c r="B148" s="399"/>
      <c r="C148" s="400"/>
      <c r="D148" s="401"/>
      <c r="E148" s="401"/>
      <c r="F148" s="402"/>
      <c r="G148" s="402"/>
      <c r="H148" s="403"/>
      <c r="I148" s="403"/>
      <c r="J148" s="404"/>
      <c r="K148" s="404"/>
      <c r="L148" s="404"/>
      <c r="M148" s="405"/>
      <c r="N148" s="405"/>
      <c r="O148" s="405"/>
      <c r="P148" s="418"/>
      <c r="Q148" s="418"/>
      <c r="R148" s="420"/>
      <c r="S148" s="420"/>
      <c r="T148" s="420"/>
      <c r="U148" s="420"/>
      <c r="V148" s="393"/>
      <c r="W148" s="394"/>
    </row>
    <row r="149" spans="1:23" ht="14.55" customHeight="1">
      <c r="A149" s="395"/>
      <c r="B149" s="396"/>
      <c r="C149" s="397"/>
      <c r="D149" s="401"/>
      <c r="E149" s="401"/>
      <c r="F149" s="402"/>
      <c r="G149" s="402"/>
      <c r="H149" s="403" t="str">
        <f t="shared" ref="H149" si="114">IF(ISNUMBER(D149), D149/F149, "")</f>
        <v/>
      </c>
      <c r="I149" s="403"/>
      <c r="J149" s="404"/>
      <c r="K149" s="404"/>
      <c r="L149" s="404"/>
      <c r="M149" s="405" t="str">
        <f t="shared" ref="M149" si="115">IF(AND(ISNUMBER(D149), ISNUMBER(F149), ISNUMBER(J149)), (D149/F149)*J149, "")</f>
        <v/>
      </c>
      <c r="N149" s="405"/>
      <c r="O149" s="405"/>
      <c r="P149" s="418"/>
      <c r="Q149" s="418"/>
      <c r="R149" s="420"/>
      <c r="S149" s="420"/>
      <c r="T149" s="420"/>
      <c r="U149" s="420"/>
      <c r="V149" s="393"/>
      <c r="W149" s="394"/>
    </row>
    <row r="150" spans="1:23" ht="14.55" customHeight="1">
      <c r="A150" s="398"/>
      <c r="B150" s="399"/>
      <c r="C150" s="400"/>
      <c r="D150" s="401"/>
      <c r="E150" s="401"/>
      <c r="F150" s="402"/>
      <c r="G150" s="402"/>
      <c r="H150" s="403"/>
      <c r="I150" s="403"/>
      <c r="J150" s="404"/>
      <c r="K150" s="404"/>
      <c r="L150" s="404"/>
      <c r="M150" s="405"/>
      <c r="N150" s="405"/>
      <c r="O150" s="405"/>
      <c r="P150" s="418"/>
      <c r="Q150" s="418"/>
      <c r="R150" s="420"/>
      <c r="S150" s="420"/>
      <c r="T150" s="420"/>
      <c r="U150" s="420"/>
      <c r="V150" s="393"/>
      <c r="W150" s="394"/>
    </row>
    <row r="151" spans="1:23" ht="14.55" customHeight="1">
      <c r="A151" s="406" t="s">
        <v>64</v>
      </c>
      <c r="B151" s="407"/>
      <c r="C151" s="408"/>
      <c r="D151" s="401"/>
      <c r="E151" s="401"/>
      <c r="F151" s="402"/>
      <c r="G151" s="402"/>
      <c r="H151" s="403" t="str">
        <f t="shared" ref="H151" si="116">IF(ISNUMBER(D151), D151/F151, "")</f>
        <v/>
      </c>
      <c r="I151" s="403"/>
      <c r="J151" s="404"/>
      <c r="K151" s="404"/>
      <c r="L151" s="404"/>
      <c r="M151" s="405" t="str">
        <f t="shared" ref="M151" si="117">IF(AND(ISNUMBER(D151), ISNUMBER(F151), ISNUMBER(J151)), (D151/F151)*J151, "")</f>
        <v/>
      </c>
      <c r="N151" s="405"/>
      <c r="O151" s="405"/>
      <c r="P151" s="416" t="s">
        <v>22</v>
      </c>
      <c r="Q151" s="416"/>
      <c r="R151" s="417"/>
      <c r="S151" s="417"/>
      <c r="T151" s="416" t="s">
        <v>21</v>
      </c>
      <c r="U151" s="416"/>
      <c r="V151" s="417"/>
      <c r="W151" s="417"/>
    </row>
    <row r="152" spans="1:23" ht="14.55" customHeight="1">
      <c r="A152" s="409"/>
      <c r="B152" s="410"/>
      <c r="C152" s="411"/>
      <c r="D152" s="412"/>
      <c r="E152" s="412"/>
      <c r="F152" s="413"/>
      <c r="G152" s="413"/>
      <c r="H152" s="414"/>
      <c r="I152" s="414"/>
      <c r="J152" s="404"/>
      <c r="K152" s="404"/>
      <c r="L152" s="404"/>
      <c r="M152" s="415"/>
      <c r="N152" s="415"/>
      <c r="O152" s="415"/>
      <c r="P152" s="416"/>
      <c r="Q152" s="416"/>
      <c r="R152" s="417"/>
      <c r="S152" s="417"/>
      <c r="T152" s="416"/>
      <c r="U152" s="416"/>
      <c r="V152" s="417"/>
      <c r="W152" s="417"/>
    </row>
    <row r="153" spans="1:23" ht="14.55" customHeight="1">
      <c r="A153" s="440" t="s">
        <v>44</v>
      </c>
      <c r="B153" s="441"/>
      <c r="C153" s="441"/>
      <c r="D153" s="441"/>
      <c r="E153" s="441"/>
      <c r="F153" s="441"/>
      <c r="G153" s="441"/>
      <c r="H153" s="441"/>
      <c r="I153" s="441"/>
      <c r="J153" s="441"/>
      <c r="K153" s="441"/>
      <c r="L153" s="441"/>
      <c r="M153" s="441"/>
      <c r="N153" s="441"/>
      <c r="O153" s="441"/>
      <c r="P153" s="441"/>
      <c r="Q153" s="441"/>
      <c r="R153" s="441"/>
      <c r="S153" s="441"/>
      <c r="T153" s="441"/>
      <c r="U153" s="441"/>
      <c r="V153" s="441"/>
      <c r="W153" s="446"/>
    </row>
    <row r="154" spans="1:23" ht="14.55" customHeight="1">
      <c r="A154" s="442"/>
      <c r="B154" s="443"/>
      <c r="C154" s="443"/>
      <c r="D154" s="443"/>
      <c r="E154" s="443"/>
      <c r="F154" s="443"/>
      <c r="G154" s="443"/>
      <c r="H154" s="443"/>
      <c r="I154" s="443"/>
      <c r="J154" s="443"/>
      <c r="K154" s="443"/>
      <c r="L154" s="443"/>
      <c r="M154" s="443"/>
      <c r="N154" s="443"/>
      <c r="O154" s="443"/>
      <c r="P154" s="443"/>
      <c r="Q154" s="443"/>
      <c r="R154" s="443"/>
      <c r="S154" s="443"/>
      <c r="T154" s="443"/>
      <c r="U154" s="443"/>
      <c r="V154" s="443"/>
      <c r="W154" s="447"/>
    </row>
    <row r="155" spans="1:23" ht="14.55" customHeight="1">
      <c r="A155" s="444"/>
      <c r="B155" s="445"/>
      <c r="C155" s="445"/>
      <c r="D155" s="445"/>
      <c r="E155" s="445"/>
      <c r="F155" s="445"/>
      <c r="G155" s="445"/>
      <c r="H155" s="445"/>
      <c r="I155" s="445"/>
      <c r="J155" s="445"/>
      <c r="K155" s="445"/>
      <c r="L155" s="445"/>
      <c r="M155" s="445"/>
      <c r="N155" s="445"/>
      <c r="O155" s="445"/>
      <c r="P155" s="445"/>
      <c r="Q155" s="445"/>
      <c r="R155" s="445"/>
      <c r="S155" s="445"/>
      <c r="T155" s="445"/>
      <c r="U155" s="445"/>
      <c r="V155" s="445"/>
      <c r="W155" s="448"/>
    </row>
    <row r="156" spans="1:23">
      <c r="A156" s="422"/>
      <c r="B156" s="423"/>
      <c r="C156" s="423"/>
      <c r="D156" s="423"/>
      <c r="E156" s="423"/>
      <c r="F156" s="423"/>
      <c r="G156" s="423"/>
      <c r="H156" s="423"/>
      <c r="I156" s="423"/>
      <c r="J156" s="423"/>
      <c r="K156" s="423"/>
      <c r="L156" s="423"/>
      <c r="M156" s="423"/>
      <c r="N156" s="423"/>
      <c r="O156" s="423"/>
      <c r="P156" s="426" t="s">
        <v>52</v>
      </c>
      <c r="Q156" s="426"/>
      <c r="R156" s="428">
        <f>SUM(M162:O183)</f>
        <v>0</v>
      </c>
      <c r="S156" s="429"/>
      <c r="T156" s="431" t="s">
        <v>34</v>
      </c>
      <c r="U156" s="431"/>
      <c r="V156" s="433"/>
      <c r="W156" s="434"/>
    </row>
    <row r="157" spans="1:23">
      <c r="A157" s="424"/>
      <c r="B157" s="425"/>
      <c r="C157" s="425"/>
      <c r="D157" s="425"/>
      <c r="E157" s="425"/>
      <c r="F157" s="425"/>
      <c r="G157" s="425"/>
      <c r="H157" s="425"/>
      <c r="I157" s="425"/>
      <c r="J157" s="425"/>
      <c r="K157" s="425"/>
      <c r="L157" s="425"/>
      <c r="M157" s="425"/>
      <c r="N157" s="425"/>
      <c r="O157" s="425"/>
      <c r="P157" s="427"/>
      <c r="Q157" s="427"/>
      <c r="R157" s="430"/>
      <c r="S157" s="430"/>
      <c r="T157" s="432"/>
      <c r="U157" s="432"/>
      <c r="V157" s="435"/>
      <c r="W157" s="436"/>
    </row>
    <row r="158" spans="1:23">
      <c r="A158" s="424"/>
      <c r="B158" s="425"/>
      <c r="C158" s="425"/>
      <c r="D158" s="425"/>
      <c r="E158" s="425"/>
      <c r="F158" s="425"/>
      <c r="G158" s="425"/>
      <c r="H158" s="425"/>
      <c r="I158" s="425"/>
      <c r="J158" s="425"/>
      <c r="K158" s="425"/>
      <c r="L158" s="425"/>
      <c r="M158" s="425"/>
      <c r="N158" s="425"/>
      <c r="O158" s="425"/>
      <c r="P158" s="427"/>
      <c r="Q158" s="427"/>
      <c r="R158" s="430"/>
      <c r="S158" s="430"/>
      <c r="T158" s="432"/>
      <c r="U158" s="432"/>
      <c r="V158" s="435"/>
      <c r="W158" s="436"/>
    </row>
    <row r="159" spans="1:23">
      <c r="A159" s="424"/>
      <c r="B159" s="425"/>
      <c r="C159" s="425"/>
      <c r="D159" s="425"/>
      <c r="E159" s="425"/>
      <c r="F159" s="425"/>
      <c r="G159" s="425"/>
      <c r="H159" s="425"/>
      <c r="I159" s="425"/>
      <c r="J159" s="425"/>
      <c r="K159" s="425"/>
      <c r="L159" s="425"/>
      <c r="M159" s="425"/>
      <c r="N159" s="425"/>
      <c r="O159" s="425"/>
      <c r="P159" s="427"/>
      <c r="Q159" s="427"/>
      <c r="R159" s="430"/>
      <c r="S159" s="430"/>
      <c r="T159" s="432"/>
      <c r="U159" s="432"/>
      <c r="V159" s="435"/>
      <c r="W159" s="436"/>
    </row>
    <row r="160" spans="1:23">
      <c r="A160" s="437" t="s">
        <v>5</v>
      </c>
      <c r="B160" s="438"/>
      <c r="C160" s="438"/>
      <c r="D160" s="438" t="s">
        <v>53</v>
      </c>
      <c r="E160" s="438"/>
      <c r="F160" s="438" t="s">
        <v>45</v>
      </c>
      <c r="G160" s="438"/>
      <c r="H160" s="438" t="s">
        <v>55</v>
      </c>
      <c r="I160" s="438"/>
      <c r="J160" s="438" t="s">
        <v>46</v>
      </c>
      <c r="K160" s="438"/>
      <c r="L160" s="438"/>
      <c r="M160" s="438" t="s">
        <v>54</v>
      </c>
      <c r="N160" s="438"/>
      <c r="O160" s="438"/>
      <c r="P160" s="438" t="s">
        <v>21</v>
      </c>
      <c r="Q160" s="438"/>
      <c r="R160" s="438" t="s">
        <v>47</v>
      </c>
      <c r="S160" s="438"/>
      <c r="T160" s="438" t="s">
        <v>48</v>
      </c>
      <c r="U160" s="438"/>
      <c r="V160" s="438" t="s">
        <v>51</v>
      </c>
      <c r="W160" s="439"/>
    </row>
    <row r="161" spans="1:23">
      <c r="A161" s="437"/>
      <c r="B161" s="438"/>
      <c r="C161" s="438"/>
      <c r="D161" s="438"/>
      <c r="E161" s="438"/>
      <c r="F161" s="438"/>
      <c r="G161" s="438"/>
      <c r="H161" s="438"/>
      <c r="I161" s="438"/>
      <c r="J161" s="438"/>
      <c r="K161" s="438"/>
      <c r="L161" s="438"/>
      <c r="M161" s="438"/>
      <c r="N161" s="438"/>
      <c r="O161" s="438"/>
      <c r="P161" s="438"/>
      <c r="Q161" s="438"/>
      <c r="R161" s="438"/>
      <c r="S161" s="438"/>
      <c r="T161" s="438"/>
      <c r="U161" s="438"/>
      <c r="V161" s="438"/>
      <c r="W161" s="439"/>
    </row>
    <row r="162" spans="1:23" ht="14.55" customHeight="1">
      <c r="A162" s="395"/>
      <c r="B162" s="396"/>
      <c r="C162" s="397"/>
      <c r="D162" s="401"/>
      <c r="E162" s="401"/>
      <c r="F162" s="402"/>
      <c r="G162" s="402"/>
      <c r="H162" s="403" t="str">
        <f>IF(ISNUMBER(D162), D162/F162, "")</f>
        <v/>
      </c>
      <c r="I162" s="403"/>
      <c r="J162" s="404"/>
      <c r="K162" s="404"/>
      <c r="L162" s="404"/>
      <c r="M162" s="405" t="str">
        <f t="shared" ref="M162" si="118">IF(AND(ISNUMBER(D162), ISNUMBER(F162), ISNUMBER(J162)), (D162/F162)*J162, "")</f>
        <v/>
      </c>
      <c r="N162" s="405"/>
      <c r="O162" s="405"/>
      <c r="P162" s="418" t="s">
        <v>37</v>
      </c>
      <c r="Q162" s="418"/>
      <c r="R162" s="419">
        <v>0.9</v>
      </c>
      <c r="S162" s="420"/>
      <c r="T162" s="421">
        <f>1-$R$1</f>
        <v>1</v>
      </c>
      <c r="U162" s="420"/>
      <c r="V162" s="393" t="str">
        <f>IFERROR(IF($R$1&gt;=R162, "Achieved", ROUND((R162 - $R$1) / $J$182 * $F$182, 1)),"")</f>
        <v/>
      </c>
      <c r="W162" s="394"/>
    </row>
    <row r="163" spans="1:23" ht="14.55" customHeight="1">
      <c r="A163" s="398"/>
      <c r="B163" s="399"/>
      <c r="C163" s="400"/>
      <c r="D163" s="401"/>
      <c r="E163" s="401"/>
      <c r="F163" s="402"/>
      <c r="G163" s="402"/>
      <c r="H163" s="403"/>
      <c r="I163" s="403"/>
      <c r="J163" s="404"/>
      <c r="K163" s="404"/>
      <c r="L163" s="404"/>
      <c r="M163" s="405"/>
      <c r="N163" s="405"/>
      <c r="O163" s="405"/>
      <c r="P163" s="418"/>
      <c r="Q163" s="418"/>
      <c r="R163" s="420"/>
      <c r="S163" s="420"/>
      <c r="T163" s="420"/>
      <c r="U163" s="420"/>
      <c r="V163" s="393"/>
      <c r="W163" s="394"/>
    </row>
    <row r="164" spans="1:23" ht="14.55" customHeight="1">
      <c r="A164" s="395"/>
      <c r="B164" s="396"/>
      <c r="C164" s="397"/>
      <c r="D164" s="401"/>
      <c r="E164" s="401"/>
      <c r="F164" s="402"/>
      <c r="G164" s="402"/>
      <c r="H164" s="403" t="str">
        <f t="shared" ref="H164" si="119">IF(ISNUMBER(D164), D164/F164, "")</f>
        <v/>
      </c>
      <c r="I164" s="403"/>
      <c r="J164" s="404"/>
      <c r="K164" s="404"/>
      <c r="L164" s="404"/>
      <c r="M164" s="405" t="str">
        <f t="shared" ref="M164" si="120">IF(AND(ISNUMBER(D164), ISNUMBER(F164), ISNUMBER(J164)), (D164/F164)*J164, "")</f>
        <v/>
      </c>
      <c r="N164" s="405"/>
      <c r="O164" s="405"/>
      <c r="P164" s="418"/>
      <c r="Q164" s="418"/>
      <c r="R164" s="420"/>
      <c r="S164" s="420"/>
      <c r="T164" s="420"/>
      <c r="U164" s="420"/>
      <c r="V164" s="393"/>
      <c r="W164" s="394"/>
    </row>
    <row r="165" spans="1:23" ht="14.55" customHeight="1">
      <c r="A165" s="398"/>
      <c r="B165" s="399"/>
      <c r="C165" s="400"/>
      <c r="D165" s="401"/>
      <c r="E165" s="401"/>
      <c r="F165" s="402"/>
      <c r="G165" s="402"/>
      <c r="H165" s="403"/>
      <c r="I165" s="403"/>
      <c r="J165" s="404"/>
      <c r="K165" s="404"/>
      <c r="L165" s="404"/>
      <c r="M165" s="405"/>
      <c r="N165" s="405"/>
      <c r="O165" s="405"/>
      <c r="P165" s="418"/>
      <c r="Q165" s="418"/>
      <c r="R165" s="420"/>
      <c r="S165" s="420"/>
      <c r="T165" s="420"/>
      <c r="U165" s="420"/>
      <c r="V165" s="393"/>
      <c r="W165" s="394"/>
    </row>
    <row r="166" spans="1:23" ht="14.55" customHeight="1">
      <c r="A166" s="395"/>
      <c r="B166" s="396"/>
      <c r="C166" s="397"/>
      <c r="D166" s="401"/>
      <c r="E166" s="401"/>
      <c r="F166" s="402"/>
      <c r="G166" s="402"/>
      <c r="H166" s="403" t="str">
        <f t="shared" ref="H166" si="121">IF(ISNUMBER(D166), D166/F166, "")</f>
        <v/>
      </c>
      <c r="I166" s="403"/>
      <c r="J166" s="404"/>
      <c r="K166" s="404"/>
      <c r="L166" s="404"/>
      <c r="M166" s="405" t="str">
        <f t="shared" ref="M166" si="122">IF(AND(ISNUMBER(D166), ISNUMBER(F166), ISNUMBER(J166)), (D166/F166)*J166, "")</f>
        <v/>
      </c>
      <c r="N166" s="405"/>
      <c r="O166" s="405"/>
      <c r="P166" s="418" t="s">
        <v>38</v>
      </c>
      <c r="Q166" s="418"/>
      <c r="R166" s="419">
        <v>0.85</v>
      </c>
      <c r="S166" s="420"/>
      <c r="T166" s="421">
        <f t="shared" ref="T166" si="123">1-$R$1</f>
        <v>1</v>
      </c>
      <c r="U166" s="420"/>
      <c r="V166" s="393" t="str">
        <f>IFERROR(IF($R$1&gt;=R166, "Achieved", ROUND((R166 - $R$1) / $J$182 * $F$182, 1)),"")</f>
        <v/>
      </c>
      <c r="W166" s="394"/>
    </row>
    <row r="167" spans="1:23" ht="14.55" customHeight="1">
      <c r="A167" s="398"/>
      <c r="B167" s="399"/>
      <c r="C167" s="400"/>
      <c r="D167" s="401"/>
      <c r="E167" s="401"/>
      <c r="F167" s="402"/>
      <c r="G167" s="402"/>
      <c r="H167" s="403"/>
      <c r="I167" s="403"/>
      <c r="J167" s="404"/>
      <c r="K167" s="404"/>
      <c r="L167" s="404"/>
      <c r="M167" s="405"/>
      <c r="N167" s="405"/>
      <c r="O167" s="405"/>
      <c r="P167" s="418"/>
      <c r="Q167" s="418"/>
      <c r="R167" s="420"/>
      <c r="S167" s="420"/>
      <c r="T167" s="420"/>
      <c r="U167" s="420"/>
      <c r="V167" s="393"/>
      <c r="W167" s="394"/>
    </row>
    <row r="168" spans="1:23" ht="14.55" customHeight="1">
      <c r="A168" s="395"/>
      <c r="B168" s="396"/>
      <c r="C168" s="397"/>
      <c r="D168" s="401"/>
      <c r="E168" s="401"/>
      <c r="F168" s="402"/>
      <c r="G168" s="402"/>
      <c r="H168" s="403" t="str">
        <f t="shared" ref="H168" si="124">IF(ISNUMBER(D168), D168/F168, "")</f>
        <v/>
      </c>
      <c r="I168" s="403"/>
      <c r="J168" s="404"/>
      <c r="K168" s="404"/>
      <c r="L168" s="404"/>
      <c r="M168" s="405" t="str">
        <f t="shared" ref="M168" si="125">IF(AND(ISNUMBER(D168), ISNUMBER(F168), ISNUMBER(J168)), (D168/F168)*J168, "")</f>
        <v/>
      </c>
      <c r="N168" s="405"/>
      <c r="O168" s="405"/>
      <c r="P168" s="418"/>
      <c r="Q168" s="418"/>
      <c r="R168" s="420"/>
      <c r="S168" s="420"/>
      <c r="T168" s="420"/>
      <c r="U168" s="420"/>
      <c r="V168" s="393"/>
      <c r="W168" s="394"/>
    </row>
    <row r="169" spans="1:23" ht="14.55" customHeight="1">
      <c r="A169" s="398"/>
      <c r="B169" s="399"/>
      <c r="C169" s="400"/>
      <c r="D169" s="401"/>
      <c r="E169" s="401"/>
      <c r="F169" s="402"/>
      <c r="G169" s="402"/>
      <c r="H169" s="403"/>
      <c r="I169" s="403"/>
      <c r="J169" s="404"/>
      <c r="K169" s="404"/>
      <c r="L169" s="404"/>
      <c r="M169" s="405"/>
      <c r="N169" s="405"/>
      <c r="O169" s="405"/>
      <c r="P169" s="418"/>
      <c r="Q169" s="418"/>
      <c r="R169" s="420"/>
      <c r="S169" s="420"/>
      <c r="T169" s="420"/>
      <c r="U169" s="420"/>
      <c r="V169" s="393"/>
      <c r="W169" s="394"/>
    </row>
    <row r="170" spans="1:23" ht="14.55" customHeight="1">
      <c r="A170" s="395"/>
      <c r="B170" s="396"/>
      <c r="C170" s="397"/>
      <c r="D170" s="401"/>
      <c r="E170" s="401"/>
      <c r="F170" s="402"/>
      <c r="G170" s="402"/>
      <c r="H170" s="403" t="str">
        <f t="shared" ref="H170" si="126">IF(ISNUMBER(D170), D170/F170, "")</f>
        <v/>
      </c>
      <c r="I170" s="403"/>
      <c r="J170" s="404"/>
      <c r="K170" s="404"/>
      <c r="L170" s="404"/>
      <c r="M170" s="405" t="str">
        <f t="shared" ref="M170" si="127">IF(AND(ISNUMBER(D170), ISNUMBER(F170), ISNUMBER(J170)), (D170/F170)*J170, "")</f>
        <v/>
      </c>
      <c r="N170" s="405"/>
      <c r="O170" s="405"/>
      <c r="P170" s="418" t="s">
        <v>41</v>
      </c>
      <c r="Q170" s="418"/>
      <c r="R170" s="419">
        <v>0.8</v>
      </c>
      <c r="S170" s="420"/>
      <c r="T170" s="421">
        <f t="shared" ref="T170" si="128">1-$R$1</f>
        <v>1</v>
      </c>
      <c r="U170" s="420"/>
      <c r="V170" s="393" t="str">
        <f>IFERROR(IF($R$1&gt;=R170, "Achieved", ROUND((R170 - $R$1) / $J$182 * $F$182, 1)),"")</f>
        <v/>
      </c>
      <c r="W170" s="394"/>
    </row>
    <row r="171" spans="1:23" ht="14.55" customHeight="1">
      <c r="A171" s="398"/>
      <c r="B171" s="399"/>
      <c r="C171" s="400"/>
      <c r="D171" s="401"/>
      <c r="E171" s="401"/>
      <c r="F171" s="402"/>
      <c r="G171" s="402"/>
      <c r="H171" s="403"/>
      <c r="I171" s="403"/>
      <c r="J171" s="404"/>
      <c r="K171" s="404"/>
      <c r="L171" s="404"/>
      <c r="M171" s="405"/>
      <c r="N171" s="405"/>
      <c r="O171" s="405"/>
      <c r="P171" s="418"/>
      <c r="Q171" s="418"/>
      <c r="R171" s="420"/>
      <c r="S171" s="420"/>
      <c r="T171" s="420"/>
      <c r="U171" s="420"/>
      <c r="V171" s="393"/>
      <c r="W171" s="394"/>
    </row>
    <row r="172" spans="1:23" ht="14.55" customHeight="1">
      <c r="A172" s="395"/>
      <c r="B172" s="396"/>
      <c r="C172" s="397"/>
      <c r="D172" s="401"/>
      <c r="E172" s="401"/>
      <c r="F172" s="402"/>
      <c r="G172" s="402"/>
      <c r="H172" s="403" t="str">
        <f t="shared" ref="H172" si="129">IF(ISNUMBER(D172), D172/F172, "")</f>
        <v/>
      </c>
      <c r="I172" s="403"/>
      <c r="J172" s="404"/>
      <c r="K172" s="404"/>
      <c r="L172" s="404"/>
      <c r="M172" s="405" t="str">
        <f>IF(AND(ISNUMBER(D172), ISNUMBER(F172), ISNUMBER(J172)), (D172/F172)*J172, "")</f>
        <v/>
      </c>
      <c r="N172" s="405"/>
      <c r="O172" s="405"/>
      <c r="P172" s="418"/>
      <c r="Q172" s="418"/>
      <c r="R172" s="420"/>
      <c r="S172" s="420"/>
      <c r="T172" s="420"/>
      <c r="U172" s="420"/>
      <c r="V172" s="393"/>
      <c r="W172" s="394"/>
    </row>
    <row r="173" spans="1:23" ht="14.55" customHeight="1">
      <c r="A173" s="398"/>
      <c r="B173" s="399"/>
      <c r="C173" s="400"/>
      <c r="D173" s="401"/>
      <c r="E173" s="401"/>
      <c r="F173" s="402"/>
      <c r="G173" s="402"/>
      <c r="H173" s="403"/>
      <c r="I173" s="403"/>
      <c r="J173" s="404"/>
      <c r="K173" s="404"/>
      <c r="L173" s="404"/>
      <c r="M173" s="405"/>
      <c r="N173" s="405"/>
      <c r="O173" s="405"/>
      <c r="P173" s="418"/>
      <c r="Q173" s="418"/>
      <c r="R173" s="420"/>
      <c r="S173" s="420"/>
      <c r="T173" s="420"/>
      <c r="U173" s="420"/>
      <c r="V173" s="393"/>
      <c r="W173" s="394"/>
    </row>
    <row r="174" spans="1:23" ht="14.55" customHeight="1">
      <c r="A174" s="395"/>
      <c r="B174" s="396"/>
      <c r="C174" s="397"/>
      <c r="D174" s="401"/>
      <c r="E174" s="401"/>
      <c r="F174" s="402"/>
      <c r="G174" s="402"/>
      <c r="H174" s="403" t="str">
        <f t="shared" ref="H174" si="130">IF(ISNUMBER(D174), D174/F174, "")</f>
        <v/>
      </c>
      <c r="I174" s="403"/>
      <c r="J174" s="404"/>
      <c r="K174" s="404"/>
      <c r="L174" s="404"/>
      <c r="M174" s="405" t="str">
        <f t="shared" ref="M174" si="131">IF(AND(ISNUMBER(D174), ISNUMBER(F174), ISNUMBER(J174)), (D174/F174)*J174, "")</f>
        <v/>
      </c>
      <c r="N174" s="405"/>
      <c r="O174" s="405"/>
      <c r="P174" s="418" t="s">
        <v>49</v>
      </c>
      <c r="Q174" s="418"/>
      <c r="R174" s="419">
        <v>0.77</v>
      </c>
      <c r="S174" s="420"/>
      <c r="T174" s="421">
        <f t="shared" ref="T174" si="132">1-$R$1</f>
        <v>1</v>
      </c>
      <c r="U174" s="420"/>
      <c r="V174" s="393" t="str">
        <f>IFERROR(IF($R$1&gt;=R174, "Achieved", ROUND((R174 - $R$1) / $J$182 * $F$182, 1)),"")</f>
        <v/>
      </c>
      <c r="W174" s="394"/>
    </row>
    <row r="175" spans="1:23" ht="14.55" customHeight="1">
      <c r="A175" s="398"/>
      <c r="B175" s="399"/>
      <c r="C175" s="400"/>
      <c r="D175" s="401"/>
      <c r="E175" s="401"/>
      <c r="F175" s="402"/>
      <c r="G175" s="402"/>
      <c r="H175" s="403"/>
      <c r="I175" s="403"/>
      <c r="J175" s="404"/>
      <c r="K175" s="404"/>
      <c r="L175" s="404"/>
      <c r="M175" s="405"/>
      <c r="N175" s="405"/>
      <c r="O175" s="405"/>
      <c r="P175" s="418"/>
      <c r="Q175" s="418"/>
      <c r="R175" s="420"/>
      <c r="S175" s="420"/>
      <c r="T175" s="420"/>
      <c r="U175" s="420"/>
      <c r="V175" s="393"/>
      <c r="W175" s="394"/>
    </row>
    <row r="176" spans="1:23" ht="14.55" customHeight="1">
      <c r="A176" s="395"/>
      <c r="B176" s="396"/>
      <c r="C176" s="397"/>
      <c r="D176" s="401"/>
      <c r="E176" s="401"/>
      <c r="F176" s="402"/>
      <c r="G176" s="402"/>
      <c r="H176" s="403" t="str">
        <f t="shared" ref="H176" si="133">IF(ISNUMBER(D176), D176/F176, "")</f>
        <v/>
      </c>
      <c r="I176" s="403"/>
      <c r="J176" s="404"/>
      <c r="K176" s="404"/>
      <c r="L176" s="404"/>
      <c r="M176" s="405" t="str">
        <f t="shared" ref="M176" si="134">IF(AND(ISNUMBER(D176), ISNUMBER(F176), ISNUMBER(J176)), (D176/F176)*J176, "")</f>
        <v/>
      </c>
      <c r="N176" s="405"/>
      <c r="O176" s="405"/>
      <c r="P176" s="418"/>
      <c r="Q176" s="418"/>
      <c r="R176" s="420"/>
      <c r="S176" s="420"/>
      <c r="T176" s="420"/>
      <c r="U176" s="420"/>
      <c r="V176" s="393"/>
      <c r="W176" s="394"/>
    </row>
    <row r="177" spans="1:23" ht="14.55" customHeight="1">
      <c r="A177" s="398"/>
      <c r="B177" s="399"/>
      <c r="C177" s="400"/>
      <c r="D177" s="401"/>
      <c r="E177" s="401"/>
      <c r="F177" s="402"/>
      <c r="G177" s="402"/>
      <c r="H177" s="403"/>
      <c r="I177" s="403"/>
      <c r="J177" s="404"/>
      <c r="K177" s="404"/>
      <c r="L177" s="404"/>
      <c r="M177" s="405"/>
      <c r="N177" s="405"/>
      <c r="O177" s="405"/>
      <c r="P177" s="418"/>
      <c r="Q177" s="418"/>
      <c r="R177" s="420"/>
      <c r="S177" s="420"/>
      <c r="T177" s="420"/>
      <c r="U177" s="420"/>
      <c r="V177" s="393"/>
      <c r="W177" s="394"/>
    </row>
    <row r="178" spans="1:23" ht="14.55" customHeight="1">
      <c r="A178" s="395"/>
      <c r="B178" s="396"/>
      <c r="C178" s="397"/>
      <c r="D178" s="401"/>
      <c r="E178" s="401"/>
      <c r="F178" s="402"/>
      <c r="G178" s="402"/>
      <c r="H178" s="403" t="str">
        <f t="shared" ref="H178" si="135">IF(ISNUMBER(D178), D178/F178, "")</f>
        <v/>
      </c>
      <c r="I178" s="403"/>
      <c r="J178" s="404"/>
      <c r="K178" s="404"/>
      <c r="L178" s="404"/>
      <c r="M178" s="405" t="str">
        <f t="shared" ref="M178" si="136">IF(AND(ISNUMBER(D178), ISNUMBER(F178), ISNUMBER(J178)), (D178/F178)*J178, "")</f>
        <v/>
      </c>
      <c r="N178" s="405"/>
      <c r="O178" s="405"/>
      <c r="P178" s="418" t="s">
        <v>50</v>
      </c>
      <c r="Q178" s="418"/>
      <c r="R178" s="419">
        <v>0.73</v>
      </c>
      <c r="S178" s="420"/>
      <c r="T178" s="421">
        <f t="shared" ref="T178" si="137">1-$R$1</f>
        <v>1</v>
      </c>
      <c r="U178" s="420"/>
      <c r="V178" s="393" t="str">
        <f>IFERROR(IF($R$1&gt;=R178, "Achieved", ROUND((R178 - $R$1) / $J$182 * $F$182, 1)),"")</f>
        <v/>
      </c>
      <c r="W178" s="394"/>
    </row>
    <row r="179" spans="1:23" ht="14.55" customHeight="1">
      <c r="A179" s="398"/>
      <c r="B179" s="399"/>
      <c r="C179" s="400"/>
      <c r="D179" s="401"/>
      <c r="E179" s="401"/>
      <c r="F179" s="402"/>
      <c r="G179" s="402"/>
      <c r="H179" s="403"/>
      <c r="I179" s="403"/>
      <c r="J179" s="404"/>
      <c r="K179" s="404"/>
      <c r="L179" s="404"/>
      <c r="M179" s="405"/>
      <c r="N179" s="405"/>
      <c r="O179" s="405"/>
      <c r="P179" s="418"/>
      <c r="Q179" s="418"/>
      <c r="R179" s="420"/>
      <c r="S179" s="420"/>
      <c r="T179" s="420"/>
      <c r="U179" s="420"/>
      <c r="V179" s="393"/>
      <c r="W179" s="394"/>
    </row>
    <row r="180" spans="1:23" ht="14.55" customHeight="1">
      <c r="A180" s="395"/>
      <c r="B180" s="396"/>
      <c r="C180" s="397"/>
      <c r="D180" s="401"/>
      <c r="E180" s="401"/>
      <c r="F180" s="402"/>
      <c r="G180" s="402"/>
      <c r="H180" s="403" t="str">
        <f t="shared" ref="H180" si="138">IF(ISNUMBER(D180), D180/F180, "")</f>
        <v/>
      </c>
      <c r="I180" s="403"/>
      <c r="J180" s="404"/>
      <c r="K180" s="404"/>
      <c r="L180" s="404"/>
      <c r="M180" s="405" t="str">
        <f t="shared" ref="M180" si="139">IF(AND(ISNUMBER(D180), ISNUMBER(F180), ISNUMBER(J180)), (D180/F180)*J180, "")</f>
        <v/>
      </c>
      <c r="N180" s="405"/>
      <c r="O180" s="405"/>
      <c r="P180" s="418"/>
      <c r="Q180" s="418"/>
      <c r="R180" s="420"/>
      <c r="S180" s="420"/>
      <c r="T180" s="420"/>
      <c r="U180" s="420"/>
      <c r="V180" s="393"/>
      <c r="W180" s="394"/>
    </row>
    <row r="181" spans="1:23" ht="14.55" customHeight="1">
      <c r="A181" s="398"/>
      <c r="B181" s="399"/>
      <c r="C181" s="400"/>
      <c r="D181" s="401"/>
      <c r="E181" s="401"/>
      <c r="F181" s="402"/>
      <c r="G181" s="402"/>
      <c r="H181" s="403"/>
      <c r="I181" s="403"/>
      <c r="J181" s="404"/>
      <c r="K181" s="404"/>
      <c r="L181" s="404"/>
      <c r="M181" s="405"/>
      <c r="N181" s="405"/>
      <c r="O181" s="405"/>
      <c r="P181" s="418"/>
      <c r="Q181" s="418"/>
      <c r="R181" s="420"/>
      <c r="S181" s="420"/>
      <c r="T181" s="420"/>
      <c r="U181" s="420"/>
      <c r="V181" s="393"/>
      <c r="W181" s="394"/>
    </row>
    <row r="182" spans="1:23" ht="14.55" customHeight="1">
      <c r="A182" s="406" t="s">
        <v>64</v>
      </c>
      <c r="B182" s="407"/>
      <c r="C182" s="408"/>
      <c r="D182" s="401"/>
      <c r="E182" s="401"/>
      <c r="F182" s="402"/>
      <c r="G182" s="402"/>
      <c r="H182" s="403" t="str">
        <f t="shared" ref="H182" si="140">IF(ISNUMBER(D182), D182/F182, "")</f>
        <v/>
      </c>
      <c r="I182" s="403"/>
      <c r="J182" s="404"/>
      <c r="K182" s="404"/>
      <c r="L182" s="404"/>
      <c r="M182" s="405" t="str">
        <f t="shared" ref="M182" si="141">IF(AND(ISNUMBER(D182), ISNUMBER(F182), ISNUMBER(J182)), (D182/F182)*J182, "")</f>
        <v/>
      </c>
      <c r="N182" s="405"/>
      <c r="O182" s="405"/>
      <c r="P182" s="416" t="s">
        <v>22</v>
      </c>
      <c r="Q182" s="416"/>
      <c r="R182" s="417"/>
      <c r="S182" s="417"/>
      <c r="T182" s="416" t="s">
        <v>21</v>
      </c>
      <c r="U182" s="416"/>
      <c r="V182" s="417"/>
      <c r="W182" s="417"/>
    </row>
    <row r="183" spans="1:23" ht="14.55" customHeight="1">
      <c r="A183" s="409"/>
      <c r="B183" s="410"/>
      <c r="C183" s="411"/>
      <c r="D183" s="412"/>
      <c r="E183" s="412"/>
      <c r="F183" s="413"/>
      <c r="G183" s="413"/>
      <c r="H183" s="414"/>
      <c r="I183" s="414"/>
      <c r="J183" s="404"/>
      <c r="K183" s="404"/>
      <c r="L183" s="404"/>
      <c r="M183" s="415"/>
      <c r="N183" s="415"/>
      <c r="O183" s="415"/>
      <c r="P183" s="416"/>
      <c r="Q183" s="416"/>
      <c r="R183" s="417"/>
      <c r="S183" s="417"/>
      <c r="T183" s="416"/>
      <c r="U183" s="416"/>
      <c r="V183" s="417"/>
      <c r="W183" s="417"/>
    </row>
    <row r="184" spans="1:23" ht="14.55" customHeight="1">
      <c r="A184" s="440" t="s">
        <v>44</v>
      </c>
      <c r="B184" s="441"/>
      <c r="C184" s="441"/>
      <c r="D184" s="441"/>
      <c r="E184" s="441"/>
      <c r="F184" s="441"/>
      <c r="G184" s="441"/>
      <c r="H184" s="441"/>
      <c r="I184" s="441"/>
      <c r="J184" s="441"/>
      <c r="K184" s="441"/>
      <c r="L184" s="441"/>
      <c r="M184" s="441"/>
      <c r="N184" s="441"/>
      <c r="O184" s="441"/>
      <c r="P184" s="441"/>
      <c r="Q184" s="441"/>
      <c r="R184" s="441"/>
      <c r="S184" s="441"/>
      <c r="T184" s="441"/>
      <c r="U184" s="441"/>
      <c r="V184" s="441"/>
      <c r="W184" s="446"/>
    </row>
    <row r="185" spans="1:23" ht="14.55" customHeight="1">
      <c r="A185" s="442"/>
      <c r="B185" s="443"/>
      <c r="C185" s="443"/>
      <c r="D185" s="443"/>
      <c r="E185" s="443"/>
      <c r="F185" s="443"/>
      <c r="G185" s="443"/>
      <c r="H185" s="443"/>
      <c r="I185" s="443"/>
      <c r="J185" s="443"/>
      <c r="K185" s="443"/>
      <c r="L185" s="443"/>
      <c r="M185" s="443"/>
      <c r="N185" s="443"/>
      <c r="O185" s="443"/>
      <c r="P185" s="443"/>
      <c r="Q185" s="443"/>
      <c r="R185" s="443"/>
      <c r="S185" s="443"/>
      <c r="T185" s="443"/>
      <c r="U185" s="443"/>
      <c r="V185" s="443"/>
      <c r="W185" s="447"/>
    </row>
    <row r="186" spans="1:23" ht="14.55" customHeight="1">
      <c r="A186" s="444"/>
      <c r="B186" s="445"/>
      <c r="C186" s="445"/>
      <c r="D186" s="445"/>
      <c r="E186" s="445"/>
      <c r="F186" s="445"/>
      <c r="G186" s="445"/>
      <c r="H186" s="445"/>
      <c r="I186" s="445"/>
      <c r="J186" s="445"/>
      <c r="K186" s="445"/>
      <c r="L186" s="445"/>
      <c r="M186" s="445"/>
      <c r="N186" s="445"/>
      <c r="O186" s="445"/>
      <c r="P186" s="445"/>
      <c r="Q186" s="445"/>
      <c r="R186" s="445"/>
      <c r="S186" s="445"/>
      <c r="T186" s="445"/>
      <c r="U186" s="445"/>
      <c r="V186" s="445"/>
      <c r="W186" s="448"/>
    </row>
  </sheetData>
  <mergeCells count="642">
    <mergeCell ref="A60:C62"/>
    <mergeCell ref="D60:W62"/>
    <mergeCell ref="A91:C93"/>
    <mergeCell ref="D91:W93"/>
    <mergeCell ref="A122:C124"/>
    <mergeCell ref="D122:W124"/>
    <mergeCell ref="A153:C155"/>
    <mergeCell ref="D153:W155"/>
    <mergeCell ref="A184:C186"/>
    <mergeCell ref="D184:W186"/>
    <mergeCell ref="M147:O148"/>
    <mergeCell ref="P147:Q150"/>
    <mergeCell ref="R147:S150"/>
    <mergeCell ref="T147:U150"/>
    <mergeCell ref="M151:O152"/>
    <mergeCell ref="P151:Q152"/>
    <mergeCell ref="R151:S152"/>
    <mergeCell ref="T151:U152"/>
    <mergeCell ref="V151:W152"/>
    <mergeCell ref="A151:C152"/>
    <mergeCell ref="D151:E152"/>
    <mergeCell ref="F151:G152"/>
    <mergeCell ref="H151:I152"/>
    <mergeCell ref="J151:L152"/>
    <mergeCell ref="A143:C144"/>
    <mergeCell ref="D143:E144"/>
    <mergeCell ref="F143:G144"/>
    <mergeCell ref="H143:I144"/>
    <mergeCell ref="J143:L144"/>
    <mergeCell ref="V147:W150"/>
    <mergeCell ref="M149:O150"/>
    <mergeCell ref="A147:C148"/>
    <mergeCell ref="D147:E148"/>
    <mergeCell ref="F147:G148"/>
    <mergeCell ref="H147:I148"/>
    <mergeCell ref="J147:L148"/>
    <mergeCell ref="A145:C146"/>
    <mergeCell ref="D145:E146"/>
    <mergeCell ref="F145:G146"/>
    <mergeCell ref="H145:I146"/>
    <mergeCell ref="J145:L146"/>
    <mergeCell ref="A149:C150"/>
    <mergeCell ref="D149:E150"/>
    <mergeCell ref="F149:G150"/>
    <mergeCell ref="H149:I150"/>
    <mergeCell ref="J149:L150"/>
    <mergeCell ref="M139:O140"/>
    <mergeCell ref="P139:Q142"/>
    <mergeCell ref="R139:S142"/>
    <mergeCell ref="T139:U142"/>
    <mergeCell ref="M143:O144"/>
    <mergeCell ref="P143:Q146"/>
    <mergeCell ref="R143:S146"/>
    <mergeCell ref="T143:U146"/>
    <mergeCell ref="V143:W146"/>
    <mergeCell ref="M145:O146"/>
    <mergeCell ref="F131:G132"/>
    <mergeCell ref="H131:I132"/>
    <mergeCell ref="J131:L132"/>
    <mergeCell ref="A133:C134"/>
    <mergeCell ref="D133:E134"/>
    <mergeCell ref="F133:G134"/>
    <mergeCell ref="H133:I134"/>
    <mergeCell ref="V139:W142"/>
    <mergeCell ref="M141:O142"/>
    <mergeCell ref="A139:C140"/>
    <mergeCell ref="D139:E140"/>
    <mergeCell ref="F139:G140"/>
    <mergeCell ref="H139:I140"/>
    <mergeCell ref="J139:L140"/>
    <mergeCell ref="A137:C138"/>
    <mergeCell ref="D137:E138"/>
    <mergeCell ref="F137:G138"/>
    <mergeCell ref="H137:I138"/>
    <mergeCell ref="J137:L138"/>
    <mergeCell ref="A141:C142"/>
    <mergeCell ref="D141:E142"/>
    <mergeCell ref="F141:G142"/>
    <mergeCell ref="H141:I142"/>
    <mergeCell ref="J141:L142"/>
    <mergeCell ref="M135:O136"/>
    <mergeCell ref="P135:Q138"/>
    <mergeCell ref="R135:S138"/>
    <mergeCell ref="T135:U138"/>
    <mergeCell ref="V135:W138"/>
    <mergeCell ref="M137:O138"/>
    <mergeCell ref="A135:C136"/>
    <mergeCell ref="D135:E136"/>
    <mergeCell ref="F135:G136"/>
    <mergeCell ref="H135:I136"/>
    <mergeCell ref="J135:L136"/>
    <mergeCell ref="J133:L134"/>
    <mergeCell ref="M131:O132"/>
    <mergeCell ref="P131:Q134"/>
    <mergeCell ref="A125:O128"/>
    <mergeCell ref="P125:Q128"/>
    <mergeCell ref="R125:S128"/>
    <mergeCell ref="T125:U128"/>
    <mergeCell ref="V125:W128"/>
    <mergeCell ref="M129:O130"/>
    <mergeCell ref="P129:Q130"/>
    <mergeCell ref="R129:S130"/>
    <mergeCell ref="T129:U130"/>
    <mergeCell ref="V129:W130"/>
    <mergeCell ref="A129:C130"/>
    <mergeCell ref="D129:E130"/>
    <mergeCell ref="F129:G130"/>
    <mergeCell ref="H129:I130"/>
    <mergeCell ref="J129:L130"/>
    <mergeCell ref="R131:S134"/>
    <mergeCell ref="T131:U134"/>
    <mergeCell ref="V131:W134"/>
    <mergeCell ref="M133:O134"/>
    <mergeCell ref="A131:C132"/>
    <mergeCell ref="D131:E132"/>
    <mergeCell ref="M120:O121"/>
    <mergeCell ref="P120:Q121"/>
    <mergeCell ref="R120:S121"/>
    <mergeCell ref="T120:U121"/>
    <mergeCell ref="V120:W121"/>
    <mergeCell ref="A120:C121"/>
    <mergeCell ref="D120:E121"/>
    <mergeCell ref="F120:G121"/>
    <mergeCell ref="H120:I121"/>
    <mergeCell ref="J120:L121"/>
    <mergeCell ref="V116:W119"/>
    <mergeCell ref="M118:O119"/>
    <mergeCell ref="A116:C117"/>
    <mergeCell ref="D116:E117"/>
    <mergeCell ref="F116:G117"/>
    <mergeCell ref="H116:I117"/>
    <mergeCell ref="J116:L117"/>
    <mergeCell ref="A114:C115"/>
    <mergeCell ref="D114:E115"/>
    <mergeCell ref="F114:G115"/>
    <mergeCell ref="H114:I115"/>
    <mergeCell ref="J114:L115"/>
    <mergeCell ref="A118:C119"/>
    <mergeCell ref="D118:E119"/>
    <mergeCell ref="F118:G119"/>
    <mergeCell ref="H118:I119"/>
    <mergeCell ref="J118:L119"/>
    <mergeCell ref="M116:O117"/>
    <mergeCell ref="P116:Q119"/>
    <mergeCell ref="R116:S119"/>
    <mergeCell ref="T116:U119"/>
    <mergeCell ref="M112:O113"/>
    <mergeCell ref="P112:Q115"/>
    <mergeCell ref="R112:S115"/>
    <mergeCell ref="T112:U115"/>
    <mergeCell ref="V112:W115"/>
    <mergeCell ref="M114:O115"/>
    <mergeCell ref="A112:C113"/>
    <mergeCell ref="D112:E113"/>
    <mergeCell ref="F112:G113"/>
    <mergeCell ref="H112:I113"/>
    <mergeCell ref="J112:L113"/>
    <mergeCell ref="M100:O101"/>
    <mergeCell ref="P100:Q103"/>
    <mergeCell ref="V108:W111"/>
    <mergeCell ref="M110:O111"/>
    <mergeCell ref="A108:C109"/>
    <mergeCell ref="D108:E109"/>
    <mergeCell ref="F108:G109"/>
    <mergeCell ref="H108:I109"/>
    <mergeCell ref="J108:L109"/>
    <mergeCell ref="A106:C107"/>
    <mergeCell ref="D106:E107"/>
    <mergeCell ref="F106:G107"/>
    <mergeCell ref="H106:I107"/>
    <mergeCell ref="J106:L107"/>
    <mergeCell ref="A110:C111"/>
    <mergeCell ref="D110:E111"/>
    <mergeCell ref="F110:G111"/>
    <mergeCell ref="H110:I111"/>
    <mergeCell ref="J110:L111"/>
    <mergeCell ref="M108:O109"/>
    <mergeCell ref="P108:Q111"/>
    <mergeCell ref="R108:S111"/>
    <mergeCell ref="T108:U111"/>
    <mergeCell ref="M104:O105"/>
    <mergeCell ref="P104:Q107"/>
    <mergeCell ref="R104:S107"/>
    <mergeCell ref="T104:U107"/>
    <mergeCell ref="V104:W107"/>
    <mergeCell ref="M106:O107"/>
    <mergeCell ref="A104:C105"/>
    <mergeCell ref="D104:E105"/>
    <mergeCell ref="F104:G105"/>
    <mergeCell ref="H104:I105"/>
    <mergeCell ref="J104:L105"/>
    <mergeCell ref="M98:O99"/>
    <mergeCell ref="P98:Q99"/>
    <mergeCell ref="R100:S103"/>
    <mergeCell ref="T100:U103"/>
    <mergeCell ref="R98:S99"/>
    <mergeCell ref="T98:U99"/>
    <mergeCell ref="V98:W99"/>
    <mergeCell ref="A98:C99"/>
    <mergeCell ref="D98:E99"/>
    <mergeCell ref="F98:G99"/>
    <mergeCell ref="H98:I99"/>
    <mergeCell ref="J98:L99"/>
    <mergeCell ref="V100:W103"/>
    <mergeCell ref="M102:O103"/>
    <mergeCell ref="A100:C101"/>
    <mergeCell ref="D100:E101"/>
    <mergeCell ref="F100:G101"/>
    <mergeCell ref="H100:I101"/>
    <mergeCell ref="J100:L101"/>
    <mergeCell ref="A102:C103"/>
    <mergeCell ref="D102:E103"/>
    <mergeCell ref="F102:G103"/>
    <mergeCell ref="H102:I103"/>
    <mergeCell ref="J102:L103"/>
    <mergeCell ref="M89:O90"/>
    <mergeCell ref="P89:Q90"/>
    <mergeCell ref="R89:S90"/>
    <mergeCell ref="T89:U90"/>
    <mergeCell ref="V89:W90"/>
    <mergeCell ref="R94:S97"/>
    <mergeCell ref="T94:U97"/>
    <mergeCell ref="V94:W97"/>
    <mergeCell ref="V85:W88"/>
    <mergeCell ref="M87:O88"/>
    <mergeCell ref="A94:O97"/>
    <mergeCell ref="P94:Q97"/>
    <mergeCell ref="A89:C90"/>
    <mergeCell ref="D89:E90"/>
    <mergeCell ref="F89:G90"/>
    <mergeCell ref="H89:I90"/>
    <mergeCell ref="J89:L90"/>
    <mergeCell ref="A87:C88"/>
    <mergeCell ref="D87:E88"/>
    <mergeCell ref="F87:G88"/>
    <mergeCell ref="H87:I88"/>
    <mergeCell ref="J87:L88"/>
    <mergeCell ref="M85:O86"/>
    <mergeCell ref="P85:Q88"/>
    <mergeCell ref="M81:O82"/>
    <mergeCell ref="P81:Q84"/>
    <mergeCell ref="R81:S84"/>
    <mergeCell ref="T81:U84"/>
    <mergeCell ref="R85:S88"/>
    <mergeCell ref="T85:U88"/>
    <mergeCell ref="A81:C82"/>
    <mergeCell ref="D81:E82"/>
    <mergeCell ref="F81:G82"/>
    <mergeCell ref="H81:I82"/>
    <mergeCell ref="J81:L82"/>
    <mergeCell ref="A85:C86"/>
    <mergeCell ref="D85:E86"/>
    <mergeCell ref="F85:G86"/>
    <mergeCell ref="H85:I86"/>
    <mergeCell ref="J85:L86"/>
    <mergeCell ref="A83:C84"/>
    <mergeCell ref="D83:E84"/>
    <mergeCell ref="F83:G84"/>
    <mergeCell ref="H83:I84"/>
    <mergeCell ref="J83:L84"/>
    <mergeCell ref="V81:W84"/>
    <mergeCell ref="M83:O84"/>
    <mergeCell ref="F69:G70"/>
    <mergeCell ref="H69:I70"/>
    <mergeCell ref="J69:L70"/>
    <mergeCell ref="A71:C72"/>
    <mergeCell ref="D71:E72"/>
    <mergeCell ref="F71:G72"/>
    <mergeCell ref="H71:I72"/>
    <mergeCell ref="V77:W80"/>
    <mergeCell ref="M79:O80"/>
    <mergeCell ref="A77:C78"/>
    <mergeCell ref="D77:E78"/>
    <mergeCell ref="F77:G78"/>
    <mergeCell ref="H77:I78"/>
    <mergeCell ref="J77:L78"/>
    <mergeCell ref="A75:C76"/>
    <mergeCell ref="D75:E76"/>
    <mergeCell ref="F75:G76"/>
    <mergeCell ref="H75:I76"/>
    <mergeCell ref="J75:L76"/>
    <mergeCell ref="A79:C80"/>
    <mergeCell ref="D79:E80"/>
    <mergeCell ref="F79:G80"/>
    <mergeCell ref="H79:I80"/>
    <mergeCell ref="J79:L80"/>
    <mergeCell ref="M73:O74"/>
    <mergeCell ref="P73:Q76"/>
    <mergeCell ref="R73:S76"/>
    <mergeCell ref="T73:U76"/>
    <mergeCell ref="V73:W76"/>
    <mergeCell ref="M75:O76"/>
    <mergeCell ref="A73:C74"/>
    <mergeCell ref="D73:E74"/>
    <mergeCell ref="F73:G74"/>
    <mergeCell ref="H73:I74"/>
    <mergeCell ref="J73:L74"/>
    <mergeCell ref="M77:O78"/>
    <mergeCell ref="P77:Q80"/>
    <mergeCell ref="R77:S80"/>
    <mergeCell ref="T77:U80"/>
    <mergeCell ref="J71:L72"/>
    <mergeCell ref="M69:O70"/>
    <mergeCell ref="P69:Q72"/>
    <mergeCell ref="A63:O66"/>
    <mergeCell ref="P63:Q66"/>
    <mergeCell ref="R63:S66"/>
    <mergeCell ref="T63:U66"/>
    <mergeCell ref="V63:W66"/>
    <mergeCell ref="M67:O68"/>
    <mergeCell ref="P67:Q68"/>
    <mergeCell ref="R67:S68"/>
    <mergeCell ref="T67:U68"/>
    <mergeCell ref="V67:W68"/>
    <mergeCell ref="A67:C68"/>
    <mergeCell ref="D67:E68"/>
    <mergeCell ref="F67:G68"/>
    <mergeCell ref="H67:I68"/>
    <mergeCell ref="J67:L68"/>
    <mergeCell ref="R69:S72"/>
    <mergeCell ref="T69:U72"/>
    <mergeCell ref="V69:W72"/>
    <mergeCell ref="M71:O72"/>
    <mergeCell ref="A69:C70"/>
    <mergeCell ref="D69:E70"/>
    <mergeCell ref="M58:O59"/>
    <mergeCell ref="P58:Q59"/>
    <mergeCell ref="R58:S59"/>
    <mergeCell ref="T58:U59"/>
    <mergeCell ref="V58:W59"/>
    <mergeCell ref="A58:C59"/>
    <mergeCell ref="D58:E59"/>
    <mergeCell ref="F58:G59"/>
    <mergeCell ref="H58:I59"/>
    <mergeCell ref="J58:L59"/>
    <mergeCell ref="V54:W57"/>
    <mergeCell ref="M56:O57"/>
    <mergeCell ref="A54:C55"/>
    <mergeCell ref="D54:E55"/>
    <mergeCell ref="F54:G55"/>
    <mergeCell ref="H54:I55"/>
    <mergeCell ref="J54:L55"/>
    <mergeCell ref="A52:C53"/>
    <mergeCell ref="D52:E53"/>
    <mergeCell ref="F52:G53"/>
    <mergeCell ref="H52:I53"/>
    <mergeCell ref="J52:L53"/>
    <mergeCell ref="A56:C57"/>
    <mergeCell ref="D56:E57"/>
    <mergeCell ref="F56:G57"/>
    <mergeCell ref="H56:I57"/>
    <mergeCell ref="J56:L57"/>
    <mergeCell ref="M54:O55"/>
    <mergeCell ref="P54:Q57"/>
    <mergeCell ref="R54:S57"/>
    <mergeCell ref="T54:U57"/>
    <mergeCell ref="M50:O51"/>
    <mergeCell ref="P50:Q53"/>
    <mergeCell ref="R50:S53"/>
    <mergeCell ref="T50:U53"/>
    <mergeCell ref="V50:W53"/>
    <mergeCell ref="M52:O53"/>
    <mergeCell ref="A50:C51"/>
    <mergeCell ref="D50:E51"/>
    <mergeCell ref="F50:G51"/>
    <mergeCell ref="H50:I51"/>
    <mergeCell ref="J50:L51"/>
    <mergeCell ref="V46:W49"/>
    <mergeCell ref="M48:O49"/>
    <mergeCell ref="A46:C47"/>
    <mergeCell ref="D46:E47"/>
    <mergeCell ref="F46:G47"/>
    <mergeCell ref="H46:I47"/>
    <mergeCell ref="J46:L47"/>
    <mergeCell ref="A44:C45"/>
    <mergeCell ref="D44:E45"/>
    <mergeCell ref="F44:G45"/>
    <mergeCell ref="H44:I45"/>
    <mergeCell ref="J44:L45"/>
    <mergeCell ref="A48:C49"/>
    <mergeCell ref="D48:E49"/>
    <mergeCell ref="F48:G49"/>
    <mergeCell ref="H48:I49"/>
    <mergeCell ref="J48:L49"/>
    <mergeCell ref="M46:O47"/>
    <mergeCell ref="P46:Q49"/>
    <mergeCell ref="R46:S49"/>
    <mergeCell ref="T46:U49"/>
    <mergeCell ref="V36:W37"/>
    <mergeCell ref="A36:C37"/>
    <mergeCell ref="D36:E37"/>
    <mergeCell ref="F36:G37"/>
    <mergeCell ref="H36:I37"/>
    <mergeCell ref="J36:L37"/>
    <mergeCell ref="R38:S41"/>
    <mergeCell ref="T38:U41"/>
    <mergeCell ref="M42:O43"/>
    <mergeCell ref="P42:Q45"/>
    <mergeCell ref="R42:S45"/>
    <mergeCell ref="T42:U45"/>
    <mergeCell ref="V42:W45"/>
    <mergeCell ref="M44:O45"/>
    <mergeCell ref="A42:C43"/>
    <mergeCell ref="D42:E43"/>
    <mergeCell ref="F42:G43"/>
    <mergeCell ref="H42:I43"/>
    <mergeCell ref="J42:L43"/>
    <mergeCell ref="V38:W41"/>
    <mergeCell ref="M40:O41"/>
    <mergeCell ref="A38:C39"/>
    <mergeCell ref="D38:E39"/>
    <mergeCell ref="F38:G39"/>
    <mergeCell ref="A19:C20"/>
    <mergeCell ref="V32:W35"/>
    <mergeCell ref="P27:Q28"/>
    <mergeCell ref="R27:S28"/>
    <mergeCell ref="T27:U28"/>
    <mergeCell ref="V27:W28"/>
    <mergeCell ref="A27:C28"/>
    <mergeCell ref="J27:L28"/>
    <mergeCell ref="M27:O28"/>
    <mergeCell ref="D27:E28"/>
    <mergeCell ref="H27:I28"/>
    <mergeCell ref="F27:G28"/>
    <mergeCell ref="F21:G22"/>
    <mergeCell ref="V23:W26"/>
    <mergeCell ref="A29:C31"/>
    <mergeCell ref="D29:W31"/>
    <mergeCell ref="J40:L41"/>
    <mergeCell ref="M38:O39"/>
    <mergeCell ref="P38:Q41"/>
    <mergeCell ref="A32:O35"/>
    <mergeCell ref="P32:Q35"/>
    <mergeCell ref="R32:S35"/>
    <mergeCell ref="T32:U35"/>
    <mergeCell ref="M36:O37"/>
    <mergeCell ref="P36:Q37"/>
    <mergeCell ref="R36:S37"/>
    <mergeCell ref="T36:U37"/>
    <mergeCell ref="H38:I39"/>
    <mergeCell ref="J38:L39"/>
    <mergeCell ref="A40:C41"/>
    <mergeCell ref="D40:E41"/>
    <mergeCell ref="F40:G41"/>
    <mergeCell ref="H40:I41"/>
    <mergeCell ref="T1:U4"/>
    <mergeCell ref="V1:W4"/>
    <mergeCell ref="P23:Q26"/>
    <mergeCell ref="R7:S10"/>
    <mergeCell ref="T7:U10"/>
    <mergeCell ref="V7:W10"/>
    <mergeCell ref="R11:S14"/>
    <mergeCell ref="T11:U14"/>
    <mergeCell ref="V11:W14"/>
    <mergeCell ref="R15:S18"/>
    <mergeCell ref="T15:U18"/>
    <mergeCell ref="V15:W18"/>
    <mergeCell ref="R19:S22"/>
    <mergeCell ref="T19:U22"/>
    <mergeCell ref="V19:W22"/>
    <mergeCell ref="R23:S26"/>
    <mergeCell ref="T23:U26"/>
    <mergeCell ref="T5:U6"/>
    <mergeCell ref="V5:W6"/>
    <mergeCell ref="P15:Q18"/>
    <mergeCell ref="J9:L10"/>
    <mergeCell ref="A25:C26"/>
    <mergeCell ref="J25:L26"/>
    <mergeCell ref="M25:O26"/>
    <mergeCell ref="D25:E26"/>
    <mergeCell ref="H25:I26"/>
    <mergeCell ref="F25:G26"/>
    <mergeCell ref="J21:L22"/>
    <mergeCell ref="M21:O22"/>
    <mergeCell ref="J23:L24"/>
    <mergeCell ref="M23:O24"/>
    <mergeCell ref="D21:E22"/>
    <mergeCell ref="D23:E24"/>
    <mergeCell ref="F23:G24"/>
    <mergeCell ref="H17:I18"/>
    <mergeCell ref="H19:I20"/>
    <mergeCell ref="H21:I22"/>
    <mergeCell ref="H23:I24"/>
    <mergeCell ref="F9:G10"/>
    <mergeCell ref="F11:G12"/>
    <mergeCell ref="F13:G14"/>
    <mergeCell ref="F15:G16"/>
    <mergeCell ref="F17:G18"/>
    <mergeCell ref="F19:G20"/>
    <mergeCell ref="A1:O4"/>
    <mergeCell ref="P1:Q4"/>
    <mergeCell ref="R1:S4"/>
    <mergeCell ref="M11:O12"/>
    <mergeCell ref="J13:L14"/>
    <mergeCell ref="D5:E6"/>
    <mergeCell ref="A23:C24"/>
    <mergeCell ref="J7:L8"/>
    <mergeCell ref="J11:L12"/>
    <mergeCell ref="J15:L16"/>
    <mergeCell ref="J17:L18"/>
    <mergeCell ref="J19:L20"/>
    <mergeCell ref="A21:C22"/>
    <mergeCell ref="A7:C8"/>
    <mergeCell ref="A9:C10"/>
    <mergeCell ref="A11:C12"/>
    <mergeCell ref="A13:C14"/>
    <mergeCell ref="A15:C16"/>
    <mergeCell ref="D7:E8"/>
    <mergeCell ref="D9:E10"/>
    <mergeCell ref="D11:E12"/>
    <mergeCell ref="D13:E14"/>
    <mergeCell ref="D15:E16"/>
    <mergeCell ref="D17:E18"/>
    <mergeCell ref="A17:C18"/>
    <mergeCell ref="M15:O16"/>
    <mergeCell ref="M17:O18"/>
    <mergeCell ref="M19:O20"/>
    <mergeCell ref="R5:S6"/>
    <mergeCell ref="P19:Q22"/>
    <mergeCell ref="P7:Q10"/>
    <mergeCell ref="P11:Q14"/>
    <mergeCell ref="P5:Q6"/>
    <mergeCell ref="M13:O14"/>
    <mergeCell ref="M7:O8"/>
    <mergeCell ref="M9:O10"/>
    <mergeCell ref="F5:G6"/>
    <mergeCell ref="H5:I6"/>
    <mergeCell ref="H11:I12"/>
    <mergeCell ref="H15:I16"/>
    <mergeCell ref="F7:G8"/>
    <mergeCell ref="H7:I8"/>
    <mergeCell ref="H9:I10"/>
    <mergeCell ref="A5:C6"/>
    <mergeCell ref="J5:L6"/>
    <mergeCell ref="M5:O6"/>
    <mergeCell ref="D19:E20"/>
    <mergeCell ref="H13:I14"/>
    <mergeCell ref="A156:O159"/>
    <mergeCell ref="P156:Q159"/>
    <mergeCell ref="R156:S159"/>
    <mergeCell ref="T156:U159"/>
    <mergeCell ref="V156:W159"/>
    <mergeCell ref="A160:C161"/>
    <mergeCell ref="D160:E161"/>
    <mergeCell ref="F160:G161"/>
    <mergeCell ref="H160:I161"/>
    <mergeCell ref="J160:L161"/>
    <mergeCell ref="M160:O161"/>
    <mergeCell ref="P160:Q161"/>
    <mergeCell ref="R160:S161"/>
    <mergeCell ref="T160:U161"/>
    <mergeCell ref="V160:W161"/>
    <mergeCell ref="A162:C163"/>
    <mergeCell ref="D162:E163"/>
    <mergeCell ref="F162:G163"/>
    <mergeCell ref="H162:I163"/>
    <mergeCell ref="J162:L163"/>
    <mergeCell ref="M162:O163"/>
    <mergeCell ref="P162:Q165"/>
    <mergeCell ref="R162:S165"/>
    <mergeCell ref="T162:U165"/>
    <mergeCell ref="T170:U173"/>
    <mergeCell ref="V162:W165"/>
    <mergeCell ref="A164:C165"/>
    <mergeCell ref="D164:E165"/>
    <mergeCell ref="F164:G165"/>
    <mergeCell ref="H164:I165"/>
    <mergeCell ref="J164:L165"/>
    <mergeCell ref="M164:O165"/>
    <mergeCell ref="A166:C167"/>
    <mergeCell ref="D166:E167"/>
    <mergeCell ref="F166:G167"/>
    <mergeCell ref="H166:I167"/>
    <mergeCell ref="J166:L167"/>
    <mergeCell ref="M166:O167"/>
    <mergeCell ref="P166:Q169"/>
    <mergeCell ref="R166:S169"/>
    <mergeCell ref="T166:U169"/>
    <mergeCell ref="V166:W169"/>
    <mergeCell ref="A168:C169"/>
    <mergeCell ref="D168:E169"/>
    <mergeCell ref="F168:G169"/>
    <mergeCell ref="H168:I169"/>
    <mergeCell ref="J168:L169"/>
    <mergeCell ref="M168:O169"/>
    <mergeCell ref="M176:O177"/>
    <mergeCell ref="A170:C171"/>
    <mergeCell ref="D170:E171"/>
    <mergeCell ref="F170:G171"/>
    <mergeCell ref="H170:I171"/>
    <mergeCell ref="J170:L171"/>
    <mergeCell ref="M170:O171"/>
    <mergeCell ref="P170:Q173"/>
    <mergeCell ref="R170:S173"/>
    <mergeCell ref="R178:S181"/>
    <mergeCell ref="T178:U181"/>
    <mergeCell ref="V170:W173"/>
    <mergeCell ref="A172:C173"/>
    <mergeCell ref="D172:E173"/>
    <mergeCell ref="F172:G173"/>
    <mergeCell ref="H172:I173"/>
    <mergeCell ref="J172:L173"/>
    <mergeCell ref="M172:O173"/>
    <mergeCell ref="A174:C175"/>
    <mergeCell ref="D174:E175"/>
    <mergeCell ref="F174:G175"/>
    <mergeCell ref="H174:I175"/>
    <mergeCell ref="J174:L175"/>
    <mergeCell ref="M174:O175"/>
    <mergeCell ref="P174:Q177"/>
    <mergeCell ref="R174:S177"/>
    <mergeCell ref="T174:U177"/>
    <mergeCell ref="V174:W177"/>
    <mergeCell ref="A176:C177"/>
    <mergeCell ref="D176:E177"/>
    <mergeCell ref="F176:G177"/>
    <mergeCell ref="H176:I177"/>
    <mergeCell ref="J176:L177"/>
    <mergeCell ref="V178:W181"/>
    <mergeCell ref="A180:C181"/>
    <mergeCell ref="D180:E181"/>
    <mergeCell ref="F180:G181"/>
    <mergeCell ref="H180:I181"/>
    <mergeCell ref="J180:L181"/>
    <mergeCell ref="M180:O181"/>
    <mergeCell ref="A182:C183"/>
    <mergeCell ref="D182:E183"/>
    <mergeCell ref="F182:G183"/>
    <mergeCell ref="H182:I183"/>
    <mergeCell ref="J182:L183"/>
    <mergeCell ref="M182:O183"/>
    <mergeCell ref="P182:Q183"/>
    <mergeCell ref="R182:S183"/>
    <mergeCell ref="T182:U183"/>
    <mergeCell ref="V182:W183"/>
    <mergeCell ref="A178:C179"/>
    <mergeCell ref="D178:E179"/>
    <mergeCell ref="F178:G179"/>
    <mergeCell ref="H178:I179"/>
    <mergeCell ref="J178:L179"/>
    <mergeCell ref="M178:O179"/>
    <mergeCell ref="P178:Q181"/>
  </mergeCells>
  <phoneticPr fontId="17" type="noConversion"/>
  <conditionalFormatting sqref="R1:S4">
    <cfRule type="dataBar" priority="58">
      <dataBar>
        <cfvo type="num" val="0"/>
        <cfvo type="num" val="1"/>
        <color rgb="FFFF0000"/>
      </dataBar>
      <extLst>
        <ext xmlns:x14="http://schemas.microsoft.com/office/spreadsheetml/2009/9/main" uri="{B025F937-C7B1-47D3-B67F-A62EFF666E3E}">
          <x14:id>{2C6B4DBA-B795-4D7A-BD62-5DD928DC5F68}</x14:id>
        </ext>
      </extLst>
    </cfRule>
  </conditionalFormatting>
  <conditionalFormatting sqref="M7:O28">
    <cfRule type="expression" dxfId="35" priority="53">
      <formula>M7&lt;=0.75*J7</formula>
    </cfRule>
    <cfRule type="expression" dxfId="34" priority="54">
      <formula>AND(M7&gt;=0.75*J7, M7&lt;=0.8*J7)</formula>
    </cfRule>
    <cfRule type="expression" dxfId="33" priority="55">
      <formula>AND(M7&gt;=0.8*J7, M7&lt;=0.85*J7)</formula>
    </cfRule>
    <cfRule type="expression" dxfId="32" priority="56">
      <formula>AND(M7&gt;=J7*0.85, M7&lt;=0.9*J7)</formula>
    </cfRule>
    <cfRule type="expression" dxfId="31" priority="57">
      <formula>M7&gt;=0.9*J7</formula>
    </cfRule>
  </conditionalFormatting>
  <conditionalFormatting sqref="M7:O28">
    <cfRule type="expression" dxfId="30" priority="43">
      <formula>ISBLANK(D7)</formula>
    </cfRule>
  </conditionalFormatting>
  <conditionalFormatting sqref="H7:I28">
    <cfRule type="dataBar" priority="41">
      <dataBar>
        <cfvo type="num" val="0"/>
        <cfvo type="num" val="1"/>
        <color rgb="FFFF0000"/>
      </dataBar>
      <extLst>
        <ext xmlns:x14="http://schemas.microsoft.com/office/spreadsheetml/2009/9/main" uri="{B025F937-C7B1-47D3-B67F-A62EFF666E3E}">
          <x14:id>{E9DB6AD6-630E-437C-B3FC-FC7B240446C0}</x14:id>
        </ext>
      </extLst>
    </cfRule>
  </conditionalFormatting>
  <conditionalFormatting sqref="R32:S35">
    <cfRule type="dataBar" priority="40">
      <dataBar>
        <cfvo type="num" val="0"/>
        <cfvo type="num" val="1"/>
        <color rgb="FFFF0000"/>
      </dataBar>
      <extLst>
        <ext xmlns:x14="http://schemas.microsoft.com/office/spreadsheetml/2009/9/main" uri="{B025F937-C7B1-47D3-B67F-A62EFF666E3E}">
          <x14:id>{BAE3C87B-05FC-4F23-B0AC-91585A0A0A56}</x14:id>
        </ext>
      </extLst>
    </cfRule>
  </conditionalFormatting>
  <conditionalFormatting sqref="M38:O59">
    <cfRule type="expression" dxfId="29" priority="35">
      <formula>M38&lt;=0.75*J38</formula>
    </cfRule>
    <cfRule type="expression" dxfId="28" priority="36">
      <formula>AND(M38&gt;=0.75*J38, M38&lt;=0.8*J38)</formula>
    </cfRule>
    <cfRule type="expression" dxfId="27" priority="37">
      <formula>AND(M38&gt;=0.8*J38, M38&lt;=0.85*J38)</formula>
    </cfRule>
    <cfRule type="expression" dxfId="26" priority="38">
      <formula>AND(M38&gt;=J38*0.85, M38&lt;=0.9*J38)</formula>
    </cfRule>
    <cfRule type="expression" dxfId="25" priority="39">
      <formula>M38&gt;=0.9*J38</formula>
    </cfRule>
  </conditionalFormatting>
  <conditionalFormatting sqref="M38:O59">
    <cfRule type="expression" dxfId="24" priority="34">
      <formula>ISBLANK(D38)</formula>
    </cfRule>
  </conditionalFormatting>
  <conditionalFormatting sqref="H38:I59">
    <cfRule type="dataBar" priority="33">
      <dataBar>
        <cfvo type="num" val="0"/>
        <cfvo type="num" val="1"/>
        <color rgb="FFFF0000"/>
      </dataBar>
      <extLst>
        <ext xmlns:x14="http://schemas.microsoft.com/office/spreadsheetml/2009/9/main" uri="{B025F937-C7B1-47D3-B67F-A62EFF666E3E}">
          <x14:id>{481AF28D-BBBB-4454-96B7-24A2FCFB3C18}</x14:id>
        </ext>
      </extLst>
    </cfRule>
  </conditionalFormatting>
  <conditionalFormatting sqref="R63:S66">
    <cfRule type="dataBar" priority="32">
      <dataBar>
        <cfvo type="num" val="0"/>
        <cfvo type="num" val="1"/>
        <color rgb="FFFF0000"/>
      </dataBar>
      <extLst>
        <ext xmlns:x14="http://schemas.microsoft.com/office/spreadsheetml/2009/9/main" uri="{B025F937-C7B1-47D3-B67F-A62EFF666E3E}">
          <x14:id>{DB8CDA8A-CF10-44E7-91D0-46BFD7B982B5}</x14:id>
        </ext>
      </extLst>
    </cfRule>
  </conditionalFormatting>
  <conditionalFormatting sqref="M69:O90">
    <cfRule type="expression" dxfId="23" priority="27">
      <formula>M69&lt;=0.75*J69</formula>
    </cfRule>
    <cfRule type="expression" dxfId="22" priority="28">
      <formula>AND(M69&gt;=0.75*J69, M69&lt;=0.8*J69)</formula>
    </cfRule>
    <cfRule type="expression" dxfId="21" priority="29">
      <formula>AND(M69&gt;=0.8*J69, M69&lt;=0.85*J69)</formula>
    </cfRule>
    <cfRule type="expression" dxfId="20" priority="30">
      <formula>AND(M69&gt;=J69*0.85, M69&lt;=0.9*J69)</formula>
    </cfRule>
    <cfRule type="expression" dxfId="19" priority="31">
      <formula>M69&gt;=0.9*J69</formula>
    </cfRule>
  </conditionalFormatting>
  <conditionalFormatting sqref="M69:O90">
    <cfRule type="expression" dxfId="18" priority="26">
      <formula>ISBLANK(D69)</formula>
    </cfRule>
  </conditionalFormatting>
  <conditionalFormatting sqref="H69:I90">
    <cfRule type="dataBar" priority="25">
      <dataBar>
        <cfvo type="num" val="0"/>
        <cfvo type="num" val="1"/>
        <color rgb="FFFF0000"/>
      </dataBar>
      <extLst>
        <ext xmlns:x14="http://schemas.microsoft.com/office/spreadsheetml/2009/9/main" uri="{B025F937-C7B1-47D3-B67F-A62EFF666E3E}">
          <x14:id>{859A8B62-E114-4B5F-9774-2694A5C5BEA3}</x14:id>
        </ext>
      </extLst>
    </cfRule>
  </conditionalFormatting>
  <conditionalFormatting sqref="R94:S97">
    <cfRule type="dataBar" priority="24">
      <dataBar>
        <cfvo type="num" val="0"/>
        <cfvo type="num" val="1"/>
        <color rgb="FFFF0000"/>
      </dataBar>
      <extLst>
        <ext xmlns:x14="http://schemas.microsoft.com/office/spreadsheetml/2009/9/main" uri="{B025F937-C7B1-47D3-B67F-A62EFF666E3E}">
          <x14:id>{9AEFA581-86B4-4935-885E-2DE9A5B694A0}</x14:id>
        </ext>
      </extLst>
    </cfRule>
  </conditionalFormatting>
  <conditionalFormatting sqref="M100:O121">
    <cfRule type="expression" dxfId="17" priority="19">
      <formula>M100&lt;=0.75*J100</formula>
    </cfRule>
    <cfRule type="expression" dxfId="16" priority="20">
      <formula>AND(M100&gt;=0.75*J100, M100&lt;=0.8*J100)</formula>
    </cfRule>
    <cfRule type="expression" dxfId="15" priority="21">
      <formula>AND(M100&gt;=0.8*J100, M100&lt;=0.85*J100)</formula>
    </cfRule>
    <cfRule type="expression" dxfId="14" priority="22">
      <formula>AND(M100&gt;=J100*0.85, M100&lt;=0.9*J100)</formula>
    </cfRule>
    <cfRule type="expression" dxfId="13" priority="23">
      <formula>M100&gt;=0.9*J100</formula>
    </cfRule>
  </conditionalFormatting>
  <conditionalFormatting sqref="M100:O121">
    <cfRule type="expression" dxfId="12" priority="18">
      <formula>ISBLANK(D100)</formula>
    </cfRule>
  </conditionalFormatting>
  <conditionalFormatting sqref="H100:I121">
    <cfRule type="dataBar" priority="17">
      <dataBar>
        <cfvo type="num" val="0"/>
        <cfvo type="num" val="1"/>
        <color rgb="FFFF0000"/>
      </dataBar>
      <extLst>
        <ext xmlns:x14="http://schemas.microsoft.com/office/spreadsheetml/2009/9/main" uri="{B025F937-C7B1-47D3-B67F-A62EFF666E3E}">
          <x14:id>{DBC85C44-76C5-4836-AF22-3E4AE09556F0}</x14:id>
        </ext>
      </extLst>
    </cfRule>
  </conditionalFormatting>
  <conditionalFormatting sqref="R125:S128">
    <cfRule type="dataBar" priority="16">
      <dataBar>
        <cfvo type="num" val="0"/>
        <cfvo type="num" val="1"/>
        <color rgb="FFFF0000"/>
      </dataBar>
      <extLst>
        <ext xmlns:x14="http://schemas.microsoft.com/office/spreadsheetml/2009/9/main" uri="{B025F937-C7B1-47D3-B67F-A62EFF666E3E}">
          <x14:id>{1108F94F-132D-4D8D-AB1A-9F485BE2FF42}</x14:id>
        </ext>
      </extLst>
    </cfRule>
  </conditionalFormatting>
  <conditionalFormatting sqref="M131:O152">
    <cfRule type="expression" dxfId="11" priority="11">
      <formula>M131&lt;=0.75*J131</formula>
    </cfRule>
    <cfRule type="expression" dxfId="10" priority="12">
      <formula>AND(M131&gt;=0.75*J131, M131&lt;=0.8*J131)</formula>
    </cfRule>
    <cfRule type="expression" dxfId="9" priority="13">
      <formula>AND(M131&gt;=0.8*J131, M131&lt;=0.85*J131)</formula>
    </cfRule>
    <cfRule type="expression" dxfId="8" priority="14">
      <formula>AND(M131&gt;=J131*0.85, M131&lt;=0.9*J131)</formula>
    </cfRule>
    <cfRule type="expression" dxfId="7" priority="15">
      <formula>M131&gt;=0.9*J131</formula>
    </cfRule>
  </conditionalFormatting>
  <conditionalFormatting sqref="M131:O152">
    <cfRule type="expression" dxfId="6" priority="10">
      <formula>ISBLANK(D131)</formula>
    </cfRule>
  </conditionalFormatting>
  <conditionalFormatting sqref="H131:I152">
    <cfRule type="dataBar" priority="9">
      <dataBar>
        <cfvo type="num" val="0"/>
        <cfvo type="num" val="1"/>
        <color rgb="FFFF0000"/>
      </dataBar>
      <extLst>
        <ext xmlns:x14="http://schemas.microsoft.com/office/spreadsheetml/2009/9/main" uri="{B025F937-C7B1-47D3-B67F-A62EFF666E3E}">
          <x14:id>{A20AEE84-016B-444C-A77F-4ABC8F38436B}</x14:id>
        </ext>
      </extLst>
    </cfRule>
  </conditionalFormatting>
  <conditionalFormatting sqref="R156:S159">
    <cfRule type="dataBar" priority="8">
      <dataBar>
        <cfvo type="num" val="0"/>
        <cfvo type="num" val="1"/>
        <color rgb="FFFF0000"/>
      </dataBar>
      <extLst>
        <ext xmlns:x14="http://schemas.microsoft.com/office/spreadsheetml/2009/9/main" uri="{B025F937-C7B1-47D3-B67F-A62EFF666E3E}">
          <x14:id>{7BB9062F-14FC-4A96-8080-FF1607891903}</x14:id>
        </ext>
      </extLst>
    </cfRule>
  </conditionalFormatting>
  <conditionalFormatting sqref="M162:O183">
    <cfRule type="expression" dxfId="5" priority="3">
      <formula>M162&lt;=0.75*J162</formula>
    </cfRule>
    <cfRule type="expression" dxfId="4" priority="4">
      <formula>AND(M162&gt;=0.75*J162, M162&lt;=0.8*J162)</formula>
    </cfRule>
    <cfRule type="expression" dxfId="3" priority="5">
      <formula>AND(M162&gt;=0.8*J162, M162&lt;=0.85*J162)</formula>
    </cfRule>
    <cfRule type="expression" dxfId="2" priority="6">
      <formula>AND(M162&gt;=J162*0.85, M162&lt;=0.9*J162)</formula>
    </cfRule>
    <cfRule type="expression" dxfId="1" priority="7">
      <formula>M162&gt;=0.9*J162</formula>
    </cfRule>
  </conditionalFormatting>
  <conditionalFormatting sqref="M162:O183">
    <cfRule type="expression" dxfId="0" priority="2">
      <formula>ISBLANK(D162)</formula>
    </cfRule>
  </conditionalFormatting>
  <conditionalFormatting sqref="H162:I183">
    <cfRule type="dataBar" priority="1">
      <dataBar>
        <cfvo type="num" val="0"/>
        <cfvo type="num" val="1"/>
        <color rgb="FFFF0000"/>
      </dataBar>
      <extLst>
        <ext xmlns:x14="http://schemas.microsoft.com/office/spreadsheetml/2009/9/main" uri="{B025F937-C7B1-47D3-B67F-A62EFF666E3E}">
          <x14:id>{6D515A31-46D3-4BCD-96CC-61F537075810}</x14:id>
        </ext>
      </extLst>
    </cfRule>
  </conditionalFormatting>
  <dataValidations count="2">
    <dataValidation type="list" allowBlank="1" showInputMessage="1" showErrorMessage="1" sqref="V1:W4 V32:W35 V63:W66 V94:W97 V125:W128 V156:W159" xr:uid="{078AE2FC-A549-4F16-BE38-3B3B991B79C2}">
      <formula1>"Yes, No"</formula1>
    </dataValidation>
    <dataValidation type="list" allowBlank="1" showInputMessage="1" showErrorMessage="1" sqref="R27:S28 V27:W28 R58:S59 V182:W183 R89:S90 V58:W59 R120:S121 V89:W90 R151:S152 V151:W152 R182:S183 V120:W121" xr:uid="{258D3E58-75EB-43C5-8795-F4096567A854}">
      <formula1>"A+, A, A-, B+, B, B-"</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C6B4DBA-B795-4D7A-BD62-5DD928DC5F68}">
            <x14:dataBar minLength="0" maxLength="100" border="1">
              <x14:cfvo type="num">
                <xm:f>0</xm:f>
              </x14:cfvo>
              <x14:cfvo type="num">
                <xm:f>1</xm:f>
              </x14:cfvo>
              <x14:borderColor rgb="FF000000"/>
              <x14:negativeFillColor rgb="FFFF0000"/>
              <x14:axisColor rgb="FF000000"/>
            </x14:dataBar>
          </x14:cfRule>
          <xm:sqref>R1:S4</xm:sqref>
        </x14:conditionalFormatting>
        <x14:conditionalFormatting xmlns:xm="http://schemas.microsoft.com/office/excel/2006/main">
          <x14:cfRule type="dataBar" id="{E9DB6AD6-630E-437C-B3FC-FC7B240446C0}">
            <x14:dataBar minLength="0" maxLength="100" border="1">
              <x14:cfvo type="num">
                <xm:f>0</xm:f>
              </x14:cfvo>
              <x14:cfvo type="num">
                <xm:f>1</xm:f>
              </x14:cfvo>
              <x14:borderColor rgb="FF000000"/>
              <x14:negativeFillColor rgb="FFFF0000"/>
              <x14:axisColor rgb="FF000000"/>
            </x14:dataBar>
          </x14:cfRule>
          <xm:sqref>H7:I28</xm:sqref>
        </x14:conditionalFormatting>
        <x14:conditionalFormatting xmlns:xm="http://schemas.microsoft.com/office/excel/2006/main">
          <x14:cfRule type="dataBar" id="{BAE3C87B-05FC-4F23-B0AC-91585A0A0A56}">
            <x14:dataBar minLength="0" maxLength="100" border="1">
              <x14:cfvo type="num">
                <xm:f>0</xm:f>
              </x14:cfvo>
              <x14:cfvo type="num">
                <xm:f>1</xm:f>
              </x14:cfvo>
              <x14:borderColor rgb="FF000000"/>
              <x14:negativeFillColor rgb="FFFF0000"/>
              <x14:axisColor rgb="FF000000"/>
            </x14:dataBar>
          </x14:cfRule>
          <xm:sqref>R32:S35</xm:sqref>
        </x14:conditionalFormatting>
        <x14:conditionalFormatting xmlns:xm="http://schemas.microsoft.com/office/excel/2006/main">
          <x14:cfRule type="dataBar" id="{481AF28D-BBBB-4454-96B7-24A2FCFB3C18}">
            <x14:dataBar minLength="0" maxLength="100" border="1">
              <x14:cfvo type="num">
                <xm:f>0</xm:f>
              </x14:cfvo>
              <x14:cfvo type="num">
                <xm:f>1</xm:f>
              </x14:cfvo>
              <x14:borderColor rgb="FF000000"/>
              <x14:negativeFillColor rgb="FFFF0000"/>
              <x14:axisColor rgb="FF000000"/>
            </x14:dataBar>
          </x14:cfRule>
          <xm:sqref>H38:I59</xm:sqref>
        </x14:conditionalFormatting>
        <x14:conditionalFormatting xmlns:xm="http://schemas.microsoft.com/office/excel/2006/main">
          <x14:cfRule type="dataBar" id="{DB8CDA8A-CF10-44E7-91D0-46BFD7B982B5}">
            <x14:dataBar minLength="0" maxLength="100" border="1">
              <x14:cfvo type="num">
                <xm:f>0</xm:f>
              </x14:cfvo>
              <x14:cfvo type="num">
                <xm:f>1</xm:f>
              </x14:cfvo>
              <x14:borderColor rgb="FF000000"/>
              <x14:negativeFillColor rgb="FFFF0000"/>
              <x14:axisColor rgb="FF000000"/>
            </x14:dataBar>
          </x14:cfRule>
          <xm:sqref>R63:S66</xm:sqref>
        </x14:conditionalFormatting>
        <x14:conditionalFormatting xmlns:xm="http://schemas.microsoft.com/office/excel/2006/main">
          <x14:cfRule type="dataBar" id="{859A8B62-E114-4B5F-9774-2694A5C5BEA3}">
            <x14:dataBar minLength="0" maxLength="100" border="1">
              <x14:cfvo type="num">
                <xm:f>0</xm:f>
              </x14:cfvo>
              <x14:cfvo type="num">
                <xm:f>1</xm:f>
              </x14:cfvo>
              <x14:borderColor rgb="FF000000"/>
              <x14:negativeFillColor rgb="FFFF0000"/>
              <x14:axisColor rgb="FF000000"/>
            </x14:dataBar>
          </x14:cfRule>
          <xm:sqref>H69:I90</xm:sqref>
        </x14:conditionalFormatting>
        <x14:conditionalFormatting xmlns:xm="http://schemas.microsoft.com/office/excel/2006/main">
          <x14:cfRule type="dataBar" id="{9AEFA581-86B4-4935-885E-2DE9A5B694A0}">
            <x14:dataBar minLength="0" maxLength="100" border="1">
              <x14:cfvo type="num">
                <xm:f>0</xm:f>
              </x14:cfvo>
              <x14:cfvo type="num">
                <xm:f>1</xm:f>
              </x14:cfvo>
              <x14:borderColor rgb="FF000000"/>
              <x14:negativeFillColor rgb="FFFF0000"/>
              <x14:axisColor rgb="FF000000"/>
            </x14:dataBar>
          </x14:cfRule>
          <xm:sqref>R94:S97</xm:sqref>
        </x14:conditionalFormatting>
        <x14:conditionalFormatting xmlns:xm="http://schemas.microsoft.com/office/excel/2006/main">
          <x14:cfRule type="dataBar" id="{DBC85C44-76C5-4836-AF22-3E4AE09556F0}">
            <x14:dataBar minLength="0" maxLength="100" border="1">
              <x14:cfvo type="num">
                <xm:f>0</xm:f>
              </x14:cfvo>
              <x14:cfvo type="num">
                <xm:f>1</xm:f>
              </x14:cfvo>
              <x14:borderColor rgb="FF000000"/>
              <x14:negativeFillColor rgb="FFFF0000"/>
              <x14:axisColor rgb="FF000000"/>
            </x14:dataBar>
          </x14:cfRule>
          <xm:sqref>H100:I121</xm:sqref>
        </x14:conditionalFormatting>
        <x14:conditionalFormatting xmlns:xm="http://schemas.microsoft.com/office/excel/2006/main">
          <x14:cfRule type="dataBar" id="{1108F94F-132D-4D8D-AB1A-9F485BE2FF42}">
            <x14:dataBar minLength="0" maxLength="100" border="1">
              <x14:cfvo type="num">
                <xm:f>0</xm:f>
              </x14:cfvo>
              <x14:cfvo type="num">
                <xm:f>1</xm:f>
              </x14:cfvo>
              <x14:borderColor rgb="FF000000"/>
              <x14:negativeFillColor rgb="FFFF0000"/>
              <x14:axisColor rgb="FF000000"/>
            </x14:dataBar>
          </x14:cfRule>
          <xm:sqref>R125:S128</xm:sqref>
        </x14:conditionalFormatting>
        <x14:conditionalFormatting xmlns:xm="http://schemas.microsoft.com/office/excel/2006/main">
          <x14:cfRule type="dataBar" id="{A20AEE84-016B-444C-A77F-4ABC8F38436B}">
            <x14:dataBar minLength="0" maxLength="100" border="1">
              <x14:cfvo type="num">
                <xm:f>0</xm:f>
              </x14:cfvo>
              <x14:cfvo type="num">
                <xm:f>1</xm:f>
              </x14:cfvo>
              <x14:borderColor rgb="FF000000"/>
              <x14:negativeFillColor rgb="FFFF0000"/>
              <x14:axisColor rgb="FF000000"/>
            </x14:dataBar>
          </x14:cfRule>
          <xm:sqref>H131:I152</xm:sqref>
        </x14:conditionalFormatting>
        <x14:conditionalFormatting xmlns:xm="http://schemas.microsoft.com/office/excel/2006/main">
          <x14:cfRule type="dataBar" id="{7BB9062F-14FC-4A96-8080-FF1607891903}">
            <x14:dataBar minLength="0" maxLength="100" border="1">
              <x14:cfvo type="num">
                <xm:f>0</xm:f>
              </x14:cfvo>
              <x14:cfvo type="num">
                <xm:f>1</xm:f>
              </x14:cfvo>
              <x14:borderColor rgb="FF000000"/>
              <x14:negativeFillColor rgb="FFFF0000"/>
              <x14:axisColor rgb="FF000000"/>
            </x14:dataBar>
          </x14:cfRule>
          <xm:sqref>R156:S159</xm:sqref>
        </x14:conditionalFormatting>
        <x14:conditionalFormatting xmlns:xm="http://schemas.microsoft.com/office/excel/2006/main">
          <x14:cfRule type="dataBar" id="{6D515A31-46D3-4BCD-96CC-61F537075810}">
            <x14:dataBar minLength="0" maxLength="100" border="1">
              <x14:cfvo type="num">
                <xm:f>0</xm:f>
              </x14:cfvo>
              <x14:cfvo type="num">
                <xm:f>1</xm:f>
              </x14:cfvo>
              <x14:borderColor rgb="FF000000"/>
              <x14:negativeFillColor rgb="FFFF0000"/>
              <x14:axisColor rgb="FF000000"/>
            </x14:dataBar>
          </x14:cfRule>
          <xm:sqref>H162:I183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8C8C2-239B-469A-886C-1B8783210F68}">
  <sheetPr codeName="Sheet8">
    <tabColor rgb="FF7030A0"/>
  </sheetPr>
  <dimension ref="A1:U368"/>
  <sheetViews>
    <sheetView zoomScale="160" zoomScaleNormal="160" workbookViewId="0">
      <pane ySplit="8" topLeftCell="A9" activePane="bottomLeft" state="frozen"/>
      <selection pane="bottomLeft" activeCell="M10" sqref="M10:M11"/>
    </sheetView>
  </sheetViews>
  <sheetFormatPr defaultRowHeight="14.55" customHeight="1"/>
  <cols>
    <col min="5" max="5" width="8.77734375" customWidth="1"/>
    <col min="12" max="12" width="10.21875" customWidth="1"/>
    <col min="13" max="13" width="9.21875" customWidth="1"/>
    <col min="14" max="14" width="8.77734375" customWidth="1"/>
  </cols>
  <sheetData>
    <row r="1" spans="1:21" ht="14.55" customHeight="1">
      <c r="A1" s="478"/>
      <c r="B1" s="478"/>
      <c r="C1" s="478"/>
      <c r="D1" s="478"/>
      <c r="E1" s="478"/>
      <c r="F1" s="478"/>
      <c r="G1" s="478"/>
      <c r="H1" s="478"/>
      <c r="I1" s="478"/>
      <c r="J1" s="478"/>
      <c r="K1" s="469" t="s">
        <v>27</v>
      </c>
      <c r="L1" s="469"/>
      <c r="M1" s="469" t="s">
        <v>28</v>
      </c>
      <c r="N1" s="469"/>
    </row>
    <row r="2" spans="1:21" ht="14.55" customHeight="1">
      <c r="A2" s="478"/>
      <c r="B2" s="478"/>
      <c r="C2" s="478"/>
      <c r="D2" s="478"/>
      <c r="E2" s="478"/>
      <c r="F2" s="478"/>
      <c r="G2" s="478"/>
      <c r="H2" s="478"/>
      <c r="I2" s="478"/>
      <c r="J2" s="478"/>
      <c r="K2" s="469"/>
      <c r="L2" s="469"/>
      <c r="M2" s="470"/>
      <c r="N2" s="470"/>
    </row>
    <row r="3" spans="1:21" ht="14.55" customHeight="1">
      <c r="A3" s="478"/>
      <c r="B3" s="478"/>
      <c r="C3" s="478"/>
      <c r="D3" s="478"/>
      <c r="E3" s="478"/>
      <c r="F3" s="478"/>
      <c r="G3" s="478"/>
      <c r="H3" s="478"/>
      <c r="I3" s="478"/>
      <c r="J3" s="478"/>
      <c r="K3" s="474" t="s">
        <v>106</v>
      </c>
      <c r="L3" s="475"/>
      <c r="M3" s="12">
        <f>INT(SUM(M10:M368)) + INT(SUM(N10:N368)/60)</f>
        <v>0</v>
      </c>
      <c r="N3" s="10" t="s">
        <v>23</v>
      </c>
    </row>
    <row r="4" spans="1:21" ht="14.55" customHeight="1">
      <c r="A4" s="479"/>
      <c r="B4" s="479"/>
      <c r="C4" s="479"/>
      <c r="D4" s="479"/>
      <c r="E4" s="479"/>
      <c r="F4" s="479"/>
      <c r="G4" s="479"/>
      <c r="H4" s="479"/>
      <c r="I4" s="479"/>
      <c r="J4" s="479"/>
      <c r="K4" s="476"/>
      <c r="L4" s="477"/>
      <c r="M4" s="12">
        <f>MOD(SUM(N10:N368),60)</f>
        <v>0</v>
      </c>
      <c r="N4" s="10" t="s">
        <v>20</v>
      </c>
    </row>
    <row r="5" spans="1:21" ht="14.55" customHeight="1">
      <c r="A5" s="460">
        <f>M3</f>
        <v>0</v>
      </c>
      <c r="B5" s="464"/>
      <c r="C5" s="464"/>
      <c r="D5" s="464"/>
      <c r="E5" s="464"/>
      <c r="F5" s="464"/>
      <c r="G5" s="464"/>
      <c r="H5" s="464"/>
      <c r="I5" s="464"/>
      <c r="J5" s="464"/>
      <c r="K5" s="464"/>
      <c r="L5" s="464"/>
      <c r="M5" s="464"/>
      <c r="N5" s="464"/>
      <c r="O5" s="464"/>
      <c r="P5" s="460">
        <f>M3</f>
        <v>0</v>
      </c>
      <c r="Q5" s="461"/>
    </row>
    <row r="6" spans="1:21" ht="14.55" customHeight="1">
      <c r="A6" s="462"/>
      <c r="B6" s="465"/>
      <c r="C6" s="465"/>
      <c r="D6" s="465"/>
      <c r="E6" s="465"/>
      <c r="F6" s="465"/>
      <c r="G6" s="465"/>
      <c r="H6" s="465"/>
      <c r="I6" s="465"/>
      <c r="J6" s="465"/>
      <c r="K6" s="465"/>
      <c r="L6" s="465"/>
      <c r="M6" s="465"/>
      <c r="N6" s="465"/>
      <c r="O6" s="465"/>
      <c r="P6" s="462"/>
      <c r="Q6" s="463"/>
    </row>
    <row r="7" spans="1:21" ht="14.55" customHeight="1">
      <c r="A7" s="318" t="s">
        <v>25</v>
      </c>
      <c r="B7" s="319"/>
      <c r="C7" s="318" t="s">
        <v>26</v>
      </c>
      <c r="D7" s="322"/>
      <c r="E7" s="322"/>
      <c r="F7" s="322"/>
      <c r="G7" s="322"/>
      <c r="H7" s="322"/>
      <c r="I7" s="322"/>
      <c r="J7" s="319"/>
      <c r="K7" s="318" t="s">
        <v>4</v>
      </c>
      <c r="L7" s="319"/>
      <c r="M7" s="318" t="s">
        <v>29</v>
      </c>
      <c r="N7" s="319"/>
      <c r="O7" s="318" t="s">
        <v>32</v>
      </c>
      <c r="P7" s="322"/>
      <c r="Q7" s="319"/>
    </row>
    <row r="8" spans="1:21" ht="14.55" customHeight="1">
      <c r="A8" s="471"/>
      <c r="B8" s="472"/>
      <c r="C8" s="471"/>
      <c r="D8" s="473"/>
      <c r="E8" s="473"/>
      <c r="F8" s="473"/>
      <c r="G8" s="473"/>
      <c r="H8" s="473"/>
      <c r="I8" s="473"/>
      <c r="J8" s="472"/>
      <c r="K8" s="471"/>
      <c r="L8" s="472"/>
      <c r="M8" s="471"/>
      <c r="N8" s="472"/>
      <c r="O8" s="466"/>
      <c r="P8" s="467"/>
      <c r="Q8" s="468"/>
    </row>
    <row r="9" spans="1:21" ht="14.55" customHeight="1">
      <c r="A9" s="449"/>
      <c r="B9" s="449"/>
      <c r="C9" s="450"/>
      <c r="D9" s="450"/>
      <c r="E9" s="450"/>
      <c r="F9" s="450"/>
      <c r="G9" s="450"/>
      <c r="H9" s="450"/>
      <c r="I9" s="450"/>
      <c r="J9" s="450"/>
      <c r="K9" s="325"/>
      <c r="L9" s="325"/>
      <c r="M9" s="11" t="s">
        <v>23</v>
      </c>
      <c r="N9" s="11" t="s">
        <v>20</v>
      </c>
      <c r="O9" s="451"/>
      <c r="P9" s="452"/>
      <c r="Q9" s="453"/>
    </row>
    <row r="10" spans="1:21" ht="14.55" customHeight="1">
      <c r="A10" s="449"/>
      <c r="B10" s="449"/>
      <c r="C10" s="450"/>
      <c r="D10" s="450"/>
      <c r="E10" s="450"/>
      <c r="F10" s="450"/>
      <c r="G10" s="450"/>
      <c r="H10" s="450"/>
      <c r="I10" s="450"/>
      <c r="J10" s="450"/>
      <c r="K10" s="325"/>
      <c r="L10" s="325"/>
      <c r="M10" s="459"/>
      <c r="N10" s="459"/>
      <c r="O10" s="454"/>
      <c r="P10" s="450"/>
      <c r="Q10" s="455"/>
    </row>
    <row r="11" spans="1:21" ht="14.55" customHeight="1">
      <c r="A11" s="449"/>
      <c r="B11" s="449"/>
      <c r="C11" s="450"/>
      <c r="D11" s="450"/>
      <c r="E11" s="450"/>
      <c r="F11" s="450"/>
      <c r="G11" s="450"/>
      <c r="H11" s="450"/>
      <c r="I11" s="450"/>
      <c r="J11" s="450"/>
      <c r="K11" s="325"/>
      <c r="L11" s="325"/>
      <c r="M11" s="459"/>
      <c r="N11" s="459"/>
      <c r="O11" s="456"/>
      <c r="P11" s="457"/>
      <c r="Q11" s="458"/>
    </row>
    <row r="12" spans="1:21" ht="14.55" customHeight="1">
      <c r="A12" s="449"/>
      <c r="B12" s="449"/>
      <c r="C12" s="450"/>
      <c r="D12" s="450"/>
      <c r="E12" s="450"/>
      <c r="F12" s="450"/>
      <c r="G12" s="450"/>
      <c r="H12" s="450"/>
      <c r="I12" s="450"/>
      <c r="J12" s="450"/>
      <c r="K12" s="325"/>
      <c r="L12" s="325"/>
      <c r="M12" s="11" t="s">
        <v>23</v>
      </c>
      <c r="N12" s="11" t="s">
        <v>20</v>
      </c>
      <c r="O12" s="451"/>
      <c r="P12" s="452"/>
      <c r="Q12" s="453"/>
    </row>
    <row r="13" spans="1:21" ht="14.55" customHeight="1">
      <c r="A13" s="449"/>
      <c r="B13" s="449"/>
      <c r="C13" s="450"/>
      <c r="D13" s="450"/>
      <c r="E13" s="450"/>
      <c r="F13" s="450"/>
      <c r="G13" s="450"/>
      <c r="H13" s="450"/>
      <c r="I13" s="450"/>
      <c r="J13" s="450"/>
      <c r="K13" s="325"/>
      <c r="L13" s="325"/>
      <c r="M13" s="459"/>
      <c r="N13" s="459"/>
      <c r="O13" s="454"/>
      <c r="P13" s="450"/>
      <c r="Q13" s="455"/>
    </row>
    <row r="14" spans="1:21" ht="14.55" customHeight="1">
      <c r="A14" s="449"/>
      <c r="B14" s="449"/>
      <c r="C14" s="450"/>
      <c r="D14" s="450"/>
      <c r="E14" s="450"/>
      <c r="F14" s="450"/>
      <c r="G14" s="450"/>
      <c r="H14" s="450"/>
      <c r="I14" s="450"/>
      <c r="J14" s="450"/>
      <c r="K14" s="325"/>
      <c r="L14" s="325"/>
      <c r="M14" s="459"/>
      <c r="N14" s="459"/>
      <c r="O14" s="456"/>
      <c r="P14" s="457"/>
      <c r="Q14" s="458"/>
    </row>
    <row r="15" spans="1:21" ht="14.55" customHeight="1">
      <c r="A15" s="449"/>
      <c r="B15" s="449"/>
      <c r="C15" s="450"/>
      <c r="D15" s="450"/>
      <c r="E15" s="450"/>
      <c r="F15" s="450"/>
      <c r="G15" s="450"/>
      <c r="H15" s="450"/>
      <c r="I15" s="450"/>
      <c r="J15" s="450"/>
      <c r="K15" s="325"/>
      <c r="L15" s="325"/>
      <c r="M15" s="11" t="s">
        <v>23</v>
      </c>
      <c r="N15" s="11" t="s">
        <v>20</v>
      </c>
      <c r="O15" s="451"/>
      <c r="P15" s="452"/>
      <c r="Q15" s="453"/>
    </row>
    <row r="16" spans="1:21" ht="14.55" customHeight="1">
      <c r="A16" s="449"/>
      <c r="B16" s="449"/>
      <c r="C16" s="450"/>
      <c r="D16" s="450"/>
      <c r="E16" s="450"/>
      <c r="F16" s="450"/>
      <c r="G16" s="450"/>
      <c r="H16" s="450"/>
      <c r="I16" s="450"/>
      <c r="J16" s="450"/>
      <c r="K16" s="325"/>
      <c r="L16" s="325"/>
      <c r="M16" s="459"/>
      <c r="N16" s="459"/>
      <c r="O16" s="454"/>
      <c r="P16" s="450"/>
      <c r="Q16" s="455"/>
      <c r="R16" s="20"/>
      <c r="S16" s="21"/>
      <c r="T16" s="19"/>
      <c r="U16" s="19"/>
    </row>
    <row r="17" spans="1:21" ht="14.55" customHeight="1">
      <c r="A17" s="449"/>
      <c r="B17" s="449"/>
      <c r="C17" s="450"/>
      <c r="D17" s="450"/>
      <c r="E17" s="450"/>
      <c r="F17" s="450"/>
      <c r="G17" s="450"/>
      <c r="H17" s="450"/>
      <c r="I17" s="450"/>
      <c r="J17" s="450"/>
      <c r="K17" s="325"/>
      <c r="L17" s="325"/>
      <c r="M17" s="459"/>
      <c r="N17" s="459"/>
      <c r="O17" s="456"/>
      <c r="P17" s="457"/>
      <c r="Q17" s="458"/>
      <c r="R17" s="20"/>
      <c r="S17" s="21"/>
      <c r="T17" s="19"/>
      <c r="U17" s="19"/>
    </row>
    <row r="18" spans="1:21" ht="14.55" customHeight="1">
      <c r="A18" s="449"/>
      <c r="B18" s="449"/>
      <c r="C18" s="450"/>
      <c r="D18" s="450"/>
      <c r="E18" s="450"/>
      <c r="F18" s="450"/>
      <c r="G18" s="450"/>
      <c r="H18" s="450"/>
      <c r="I18" s="450"/>
      <c r="J18" s="450"/>
      <c r="K18" s="325"/>
      <c r="L18" s="325"/>
      <c r="M18" s="11" t="s">
        <v>23</v>
      </c>
      <c r="N18" s="11" t="s">
        <v>20</v>
      </c>
      <c r="O18" s="451"/>
      <c r="P18" s="452"/>
      <c r="Q18" s="453"/>
    </row>
    <row r="19" spans="1:21" ht="14.55" customHeight="1">
      <c r="A19" s="449"/>
      <c r="B19" s="449"/>
      <c r="C19" s="450"/>
      <c r="D19" s="450"/>
      <c r="E19" s="450"/>
      <c r="F19" s="450"/>
      <c r="G19" s="450"/>
      <c r="H19" s="450"/>
      <c r="I19" s="450"/>
      <c r="J19" s="450"/>
      <c r="K19" s="325"/>
      <c r="L19" s="325"/>
      <c r="M19" s="459"/>
      <c r="N19" s="459"/>
      <c r="O19" s="454"/>
      <c r="P19" s="450"/>
      <c r="Q19" s="455"/>
    </row>
    <row r="20" spans="1:21" ht="14.55" customHeight="1">
      <c r="A20" s="449"/>
      <c r="B20" s="449"/>
      <c r="C20" s="450"/>
      <c r="D20" s="450"/>
      <c r="E20" s="450"/>
      <c r="F20" s="450"/>
      <c r="G20" s="450"/>
      <c r="H20" s="450"/>
      <c r="I20" s="450"/>
      <c r="J20" s="450"/>
      <c r="K20" s="325"/>
      <c r="L20" s="325"/>
      <c r="M20" s="459"/>
      <c r="N20" s="459"/>
      <c r="O20" s="456"/>
      <c r="P20" s="457"/>
      <c r="Q20" s="458"/>
    </row>
    <row r="21" spans="1:21" ht="14.55" customHeight="1">
      <c r="A21" s="449"/>
      <c r="B21" s="449"/>
      <c r="C21" s="450"/>
      <c r="D21" s="450"/>
      <c r="E21" s="450"/>
      <c r="F21" s="450"/>
      <c r="G21" s="450"/>
      <c r="H21" s="450"/>
      <c r="I21" s="450"/>
      <c r="J21" s="450"/>
      <c r="K21" s="325"/>
      <c r="L21" s="325"/>
      <c r="M21" s="11" t="s">
        <v>23</v>
      </c>
      <c r="N21" s="11" t="s">
        <v>20</v>
      </c>
      <c r="O21" s="451"/>
      <c r="P21" s="452"/>
      <c r="Q21" s="453"/>
    </row>
    <row r="22" spans="1:21" ht="14.55" customHeight="1">
      <c r="A22" s="449"/>
      <c r="B22" s="449"/>
      <c r="C22" s="450"/>
      <c r="D22" s="450"/>
      <c r="E22" s="450"/>
      <c r="F22" s="450"/>
      <c r="G22" s="450"/>
      <c r="H22" s="450"/>
      <c r="I22" s="450"/>
      <c r="J22" s="450"/>
      <c r="K22" s="325"/>
      <c r="L22" s="325"/>
      <c r="M22" s="459"/>
      <c r="N22" s="459"/>
      <c r="O22" s="454"/>
      <c r="P22" s="450"/>
      <c r="Q22" s="455"/>
    </row>
    <row r="23" spans="1:21" ht="14.55" customHeight="1">
      <c r="A23" s="449"/>
      <c r="B23" s="449"/>
      <c r="C23" s="450"/>
      <c r="D23" s="450"/>
      <c r="E23" s="450"/>
      <c r="F23" s="450"/>
      <c r="G23" s="450"/>
      <c r="H23" s="450"/>
      <c r="I23" s="450"/>
      <c r="J23" s="450"/>
      <c r="K23" s="325"/>
      <c r="L23" s="325"/>
      <c r="M23" s="459"/>
      <c r="N23" s="459"/>
      <c r="O23" s="456"/>
      <c r="P23" s="457"/>
      <c r="Q23" s="458"/>
    </row>
    <row r="24" spans="1:21" ht="14.55" customHeight="1">
      <c r="A24" s="449"/>
      <c r="B24" s="449"/>
      <c r="C24" s="450"/>
      <c r="D24" s="450"/>
      <c r="E24" s="450"/>
      <c r="F24" s="450"/>
      <c r="G24" s="450"/>
      <c r="H24" s="450"/>
      <c r="I24" s="450"/>
      <c r="J24" s="450"/>
      <c r="K24" s="325"/>
      <c r="L24" s="325"/>
      <c r="M24" s="11" t="s">
        <v>23</v>
      </c>
      <c r="N24" s="11" t="s">
        <v>20</v>
      </c>
      <c r="O24" s="451"/>
      <c r="P24" s="452"/>
      <c r="Q24" s="453"/>
    </row>
    <row r="25" spans="1:21" ht="14.55" customHeight="1">
      <c r="A25" s="449"/>
      <c r="B25" s="449"/>
      <c r="C25" s="450"/>
      <c r="D25" s="450"/>
      <c r="E25" s="450"/>
      <c r="F25" s="450"/>
      <c r="G25" s="450"/>
      <c r="H25" s="450"/>
      <c r="I25" s="450"/>
      <c r="J25" s="450"/>
      <c r="K25" s="325"/>
      <c r="L25" s="325"/>
      <c r="M25" s="459"/>
      <c r="N25" s="459"/>
      <c r="O25" s="454"/>
      <c r="P25" s="450"/>
      <c r="Q25" s="455"/>
    </row>
    <row r="26" spans="1:21" ht="14.55" customHeight="1">
      <c r="A26" s="449"/>
      <c r="B26" s="449"/>
      <c r="C26" s="450"/>
      <c r="D26" s="450"/>
      <c r="E26" s="450"/>
      <c r="F26" s="450"/>
      <c r="G26" s="450"/>
      <c r="H26" s="450"/>
      <c r="I26" s="450"/>
      <c r="J26" s="450"/>
      <c r="K26" s="325"/>
      <c r="L26" s="325"/>
      <c r="M26" s="459"/>
      <c r="N26" s="459"/>
      <c r="O26" s="456"/>
      <c r="P26" s="457"/>
      <c r="Q26" s="458"/>
    </row>
    <row r="27" spans="1:21" ht="14.55" customHeight="1">
      <c r="A27" s="449"/>
      <c r="B27" s="449"/>
      <c r="C27" s="450"/>
      <c r="D27" s="450"/>
      <c r="E27" s="450"/>
      <c r="F27" s="450"/>
      <c r="G27" s="450"/>
      <c r="H27" s="450"/>
      <c r="I27" s="450"/>
      <c r="J27" s="450"/>
      <c r="K27" s="325"/>
      <c r="L27" s="325"/>
      <c r="M27" s="11" t="s">
        <v>23</v>
      </c>
      <c r="N27" s="11" t="s">
        <v>20</v>
      </c>
      <c r="O27" s="451"/>
      <c r="P27" s="452"/>
      <c r="Q27" s="453"/>
    </row>
    <row r="28" spans="1:21" ht="14.55" customHeight="1">
      <c r="A28" s="449"/>
      <c r="B28" s="449"/>
      <c r="C28" s="450"/>
      <c r="D28" s="450"/>
      <c r="E28" s="450"/>
      <c r="F28" s="450"/>
      <c r="G28" s="450"/>
      <c r="H28" s="450"/>
      <c r="I28" s="450"/>
      <c r="J28" s="450"/>
      <c r="K28" s="325"/>
      <c r="L28" s="325"/>
      <c r="M28" s="459"/>
      <c r="N28" s="459"/>
      <c r="O28" s="454"/>
      <c r="P28" s="450"/>
      <c r="Q28" s="455"/>
    </row>
    <row r="29" spans="1:21" ht="14.55" customHeight="1">
      <c r="A29" s="449"/>
      <c r="B29" s="449"/>
      <c r="C29" s="450"/>
      <c r="D29" s="450"/>
      <c r="E29" s="450"/>
      <c r="F29" s="450"/>
      <c r="G29" s="450"/>
      <c r="H29" s="450"/>
      <c r="I29" s="450"/>
      <c r="J29" s="450"/>
      <c r="K29" s="325"/>
      <c r="L29" s="325"/>
      <c r="M29" s="459"/>
      <c r="N29" s="459"/>
      <c r="O29" s="456"/>
      <c r="P29" s="457"/>
      <c r="Q29" s="458"/>
    </row>
    <row r="30" spans="1:21" ht="14.55" customHeight="1">
      <c r="A30" s="449"/>
      <c r="B30" s="449"/>
      <c r="C30" s="450"/>
      <c r="D30" s="450"/>
      <c r="E30" s="450"/>
      <c r="F30" s="450"/>
      <c r="G30" s="450"/>
      <c r="H30" s="450"/>
      <c r="I30" s="450"/>
      <c r="J30" s="450"/>
      <c r="K30" s="325"/>
      <c r="L30" s="325"/>
      <c r="M30" s="11" t="s">
        <v>23</v>
      </c>
      <c r="N30" s="11" t="s">
        <v>20</v>
      </c>
      <c r="O30" s="451"/>
      <c r="P30" s="452"/>
      <c r="Q30" s="453"/>
    </row>
    <row r="31" spans="1:21" ht="14.55" customHeight="1">
      <c r="A31" s="449"/>
      <c r="B31" s="449"/>
      <c r="C31" s="450"/>
      <c r="D31" s="450"/>
      <c r="E31" s="450"/>
      <c r="F31" s="450"/>
      <c r="G31" s="450"/>
      <c r="H31" s="450"/>
      <c r="I31" s="450"/>
      <c r="J31" s="450"/>
      <c r="K31" s="325"/>
      <c r="L31" s="325"/>
      <c r="M31" s="459"/>
      <c r="N31" s="459"/>
      <c r="O31" s="454"/>
      <c r="P31" s="450"/>
      <c r="Q31" s="455"/>
    </row>
    <row r="32" spans="1:21" ht="14.55" customHeight="1">
      <c r="A32" s="449"/>
      <c r="B32" s="449"/>
      <c r="C32" s="450"/>
      <c r="D32" s="450"/>
      <c r="E32" s="450"/>
      <c r="F32" s="450"/>
      <c r="G32" s="450"/>
      <c r="H32" s="450"/>
      <c r="I32" s="450"/>
      <c r="J32" s="450"/>
      <c r="K32" s="325"/>
      <c r="L32" s="325"/>
      <c r="M32" s="459"/>
      <c r="N32" s="459"/>
      <c r="O32" s="456"/>
      <c r="P32" s="457"/>
      <c r="Q32" s="458"/>
    </row>
    <row r="33" spans="1:17" ht="14.55" customHeight="1">
      <c r="A33" s="449"/>
      <c r="B33" s="449"/>
      <c r="C33" s="450"/>
      <c r="D33" s="450"/>
      <c r="E33" s="450"/>
      <c r="F33" s="450"/>
      <c r="G33" s="450"/>
      <c r="H33" s="450"/>
      <c r="I33" s="450"/>
      <c r="J33" s="450"/>
      <c r="K33" s="325"/>
      <c r="L33" s="325"/>
      <c r="M33" s="11" t="s">
        <v>23</v>
      </c>
      <c r="N33" s="11" t="s">
        <v>20</v>
      </c>
      <c r="O33" s="451"/>
      <c r="P33" s="452"/>
      <c r="Q33" s="453"/>
    </row>
    <row r="34" spans="1:17" ht="14.55" customHeight="1">
      <c r="A34" s="449"/>
      <c r="B34" s="449"/>
      <c r="C34" s="450"/>
      <c r="D34" s="450"/>
      <c r="E34" s="450"/>
      <c r="F34" s="450"/>
      <c r="G34" s="450"/>
      <c r="H34" s="450"/>
      <c r="I34" s="450"/>
      <c r="J34" s="450"/>
      <c r="K34" s="325"/>
      <c r="L34" s="325"/>
      <c r="M34" s="459"/>
      <c r="N34" s="459"/>
      <c r="O34" s="454"/>
      <c r="P34" s="450"/>
      <c r="Q34" s="455"/>
    </row>
    <row r="35" spans="1:17" ht="14.55" customHeight="1">
      <c r="A35" s="449"/>
      <c r="B35" s="449"/>
      <c r="C35" s="450"/>
      <c r="D35" s="450"/>
      <c r="E35" s="450"/>
      <c r="F35" s="450"/>
      <c r="G35" s="450"/>
      <c r="H35" s="450"/>
      <c r="I35" s="450"/>
      <c r="J35" s="450"/>
      <c r="K35" s="325"/>
      <c r="L35" s="325"/>
      <c r="M35" s="459"/>
      <c r="N35" s="459"/>
      <c r="O35" s="456"/>
      <c r="P35" s="457"/>
      <c r="Q35" s="458"/>
    </row>
    <row r="36" spans="1:17" ht="14.55" customHeight="1">
      <c r="A36" s="449"/>
      <c r="B36" s="449"/>
      <c r="C36" s="450"/>
      <c r="D36" s="450"/>
      <c r="E36" s="450"/>
      <c r="F36" s="450"/>
      <c r="G36" s="450"/>
      <c r="H36" s="450"/>
      <c r="I36" s="450"/>
      <c r="J36" s="450"/>
      <c r="K36" s="325"/>
      <c r="L36" s="325"/>
      <c r="M36" s="11" t="s">
        <v>23</v>
      </c>
      <c r="N36" s="11" t="s">
        <v>20</v>
      </c>
      <c r="O36" s="451"/>
      <c r="P36" s="452"/>
      <c r="Q36" s="453"/>
    </row>
    <row r="37" spans="1:17" ht="14.55" customHeight="1">
      <c r="A37" s="449"/>
      <c r="B37" s="449"/>
      <c r="C37" s="450"/>
      <c r="D37" s="450"/>
      <c r="E37" s="450"/>
      <c r="F37" s="450"/>
      <c r="G37" s="450"/>
      <c r="H37" s="450"/>
      <c r="I37" s="450"/>
      <c r="J37" s="450"/>
      <c r="K37" s="325"/>
      <c r="L37" s="325"/>
      <c r="M37" s="459"/>
      <c r="N37" s="459"/>
      <c r="O37" s="454"/>
      <c r="P37" s="450"/>
      <c r="Q37" s="455"/>
    </row>
    <row r="38" spans="1:17" ht="14.55" customHeight="1">
      <c r="A38" s="449"/>
      <c r="B38" s="449"/>
      <c r="C38" s="450"/>
      <c r="D38" s="450"/>
      <c r="E38" s="450"/>
      <c r="F38" s="450"/>
      <c r="G38" s="450"/>
      <c r="H38" s="450"/>
      <c r="I38" s="450"/>
      <c r="J38" s="450"/>
      <c r="K38" s="325"/>
      <c r="L38" s="325"/>
      <c r="M38" s="459"/>
      <c r="N38" s="459"/>
      <c r="O38" s="456"/>
      <c r="P38" s="457"/>
      <c r="Q38" s="458"/>
    </row>
    <row r="39" spans="1:17" ht="14.55" customHeight="1">
      <c r="A39" s="449"/>
      <c r="B39" s="449"/>
      <c r="C39" s="450"/>
      <c r="D39" s="450"/>
      <c r="E39" s="450"/>
      <c r="F39" s="450"/>
      <c r="G39" s="450"/>
      <c r="H39" s="450"/>
      <c r="I39" s="450"/>
      <c r="J39" s="450"/>
      <c r="K39" s="325"/>
      <c r="L39" s="325"/>
      <c r="M39" s="11" t="s">
        <v>23</v>
      </c>
      <c r="N39" s="11" t="s">
        <v>20</v>
      </c>
      <c r="O39" s="451"/>
      <c r="P39" s="452"/>
      <c r="Q39" s="453"/>
    </row>
    <row r="40" spans="1:17" ht="14.55" customHeight="1">
      <c r="A40" s="449"/>
      <c r="B40" s="449"/>
      <c r="C40" s="450"/>
      <c r="D40" s="450"/>
      <c r="E40" s="450"/>
      <c r="F40" s="450"/>
      <c r="G40" s="450"/>
      <c r="H40" s="450"/>
      <c r="I40" s="450"/>
      <c r="J40" s="450"/>
      <c r="K40" s="325"/>
      <c r="L40" s="325"/>
      <c r="M40" s="459"/>
      <c r="N40" s="459"/>
      <c r="O40" s="454"/>
      <c r="P40" s="450"/>
      <c r="Q40" s="455"/>
    </row>
    <row r="41" spans="1:17" ht="14.55" customHeight="1">
      <c r="A41" s="449"/>
      <c r="B41" s="449"/>
      <c r="C41" s="450"/>
      <c r="D41" s="450"/>
      <c r="E41" s="450"/>
      <c r="F41" s="450"/>
      <c r="G41" s="450"/>
      <c r="H41" s="450"/>
      <c r="I41" s="450"/>
      <c r="J41" s="450"/>
      <c r="K41" s="325"/>
      <c r="L41" s="325"/>
      <c r="M41" s="459"/>
      <c r="N41" s="459"/>
      <c r="O41" s="456"/>
      <c r="P41" s="457"/>
      <c r="Q41" s="458"/>
    </row>
    <row r="42" spans="1:17" ht="14.55" customHeight="1">
      <c r="A42" s="449"/>
      <c r="B42" s="449"/>
      <c r="C42" s="450"/>
      <c r="D42" s="450"/>
      <c r="E42" s="450"/>
      <c r="F42" s="450"/>
      <c r="G42" s="450"/>
      <c r="H42" s="450"/>
      <c r="I42" s="450"/>
      <c r="J42" s="450"/>
      <c r="K42" s="325"/>
      <c r="L42" s="325"/>
      <c r="M42" s="11" t="s">
        <v>23</v>
      </c>
      <c r="N42" s="11" t="s">
        <v>20</v>
      </c>
      <c r="O42" s="451"/>
      <c r="P42" s="452"/>
      <c r="Q42" s="453"/>
    </row>
    <row r="43" spans="1:17" ht="14.55" customHeight="1">
      <c r="A43" s="449"/>
      <c r="B43" s="449"/>
      <c r="C43" s="450"/>
      <c r="D43" s="450"/>
      <c r="E43" s="450"/>
      <c r="F43" s="450"/>
      <c r="G43" s="450"/>
      <c r="H43" s="450"/>
      <c r="I43" s="450"/>
      <c r="J43" s="450"/>
      <c r="K43" s="325"/>
      <c r="L43" s="325"/>
      <c r="M43" s="459"/>
      <c r="N43" s="459"/>
      <c r="O43" s="454"/>
      <c r="P43" s="450"/>
      <c r="Q43" s="455"/>
    </row>
    <row r="44" spans="1:17" ht="14.55" customHeight="1">
      <c r="A44" s="449"/>
      <c r="B44" s="449"/>
      <c r="C44" s="450"/>
      <c r="D44" s="450"/>
      <c r="E44" s="450"/>
      <c r="F44" s="450"/>
      <c r="G44" s="450"/>
      <c r="H44" s="450"/>
      <c r="I44" s="450"/>
      <c r="J44" s="450"/>
      <c r="K44" s="325"/>
      <c r="L44" s="325"/>
      <c r="M44" s="459"/>
      <c r="N44" s="459"/>
      <c r="O44" s="456"/>
      <c r="P44" s="457"/>
      <c r="Q44" s="458"/>
    </row>
    <row r="45" spans="1:17" ht="14.55" customHeight="1">
      <c r="A45" s="449"/>
      <c r="B45" s="449"/>
      <c r="C45" s="450"/>
      <c r="D45" s="450"/>
      <c r="E45" s="450"/>
      <c r="F45" s="450"/>
      <c r="G45" s="450"/>
      <c r="H45" s="450"/>
      <c r="I45" s="450"/>
      <c r="J45" s="450"/>
      <c r="K45" s="325"/>
      <c r="L45" s="325"/>
      <c r="M45" s="11" t="s">
        <v>23</v>
      </c>
      <c r="N45" s="11" t="s">
        <v>20</v>
      </c>
      <c r="O45" s="451"/>
      <c r="P45" s="452"/>
      <c r="Q45" s="453"/>
    </row>
    <row r="46" spans="1:17" ht="14.55" customHeight="1">
      <c r="A46" s="449"/>
      <c r="B46" s="449"/>
      <c r="C46" s="450"/>
      <c r="D46" s="450"/>
      <c r="E46" s="450"/>
      <c r="F46" s="450"/>
      <c r="G46" s="450"/>
      <c r="H46" s="450"/>
      <c r="I46" s="450"/>
      <c r="J46" s="450"/>
      <c r="K46" s="325"/>
      <c r="L46" s="325"/>
      <c r="M46" s="459"/>
      <c r="N46" s="459"/>
      <c r="O46" s="454"/>
      <c r="P46" s="450"/>
      <c r="Q46" s="455"/>
    </row>
    <row r="47" spans="1:17" ht="14.55" customHeight="1">
      <c r="A47" s="449"/>
      <c r="B47" s="449"/>
      <c r="C47" s="450"/>
      <c r="D47" s="450"/>
      <c r="E47" s="450"/>
      <c r="F47" s="450"/>
      <c r="G47" s="450"/>
      <c r="H47" s="450"/>
      <c r="I47" s="450"/>
      <c r="J47" s="450"/>
      <c r="K47" s="325"/>
      <c r="L47" s="325"/>
      <c r="M47" s="459"/>
      <c r="N47" s="459"/>
      <c r="O47" s="456"/>
      <c r="P47" s="457"/>
      <c r="Q47" s="458"/>
    </row>
    <row r="48" spans="1:17" ht="14.55" customHeight="1">
      <c r="A48" s="449"/>
      <c r="B48" s="449"/>
      <c r="C48" s="450"/>
      <c r="D48" s="450"/>
      <c r="E48" s="450"/>
      <c r="F48" s="450"/>
      <c r="G48" s="450"/>
      <c r="H48" s="450"/>
      <c r="I48" s="450"/>
      <c r="J48" s="450"/>
      <c r="K48" s="325"/>
      <c r="L48" s="325"/>
      <c r="M48" s="11" t="s">
        <v>23</v>
      </c>
      <c r="N48" s="11" t="s">
        <v>20</v>
      </c>
      <c r="O48" s="451"/>
      <c r="P48" s="452"/>
      <c r="Q48" s="453"/>
    </row>
    <row r="49" spans="1:17" ht="14.55" customHeight="1">
      <c r="A49" s="449"/>
      <c r="B49" s="449"/>
      <c r="C49" s="450"/>
      <c r="D49" s="450"/>
      <c r="E49" s="450"/>
      <c r="F49" s="450"/>
      <c r="G49" s="450"/>
      <c r="H49" s="450"/>
      <c r="I49" s="450"/>
      <c r="J49" s="450"/>
      <c r="K49" s="325"/>
      <c r="L49" s="325"/>
      <c r="M49" s="459"/>
      <c r="N49" s="459"/>
      <c r="O49" s="454"/>
      <c r="P49" s="450"/>
      <c r="Q49" s="455"/>
    </row>
    <row r="50" spans="1:17" ht="14.55" customHeight="1">
      <c r="A50" s="449"/>
      <c r="B50" s="449"/>
      <c r="C50" s="450"/>
      <c r="D50" s="450"/>
      <c r="E50" s="450"/>
      <c r="F50" s="450"/>
      <c r="G50" s="450"/>
      <c r="H50" s="450"/>
      <c r="I50" s="450"/>
      <c r="J50" s="450"/>
      <c r="K50" s="325"/>
      <c r="L50" s="325"/>
      <c r="M50" s="459"/>
      <c r="N50" s="459"/>
      <c r="O50" s="456"/>
      <c r="P50" s="457"/>
      <c r="Q50" s="458"/>
    </row>
    <row r="51" spans="1:17" ht="14.55" customHeight="1">
      <c r="A51" s="449"/>
      <c r="B51" s="449"/>
      <c r="C51" s="450"/>
      <c r="D51" s="450"/>
      <c r="E51" s="450"/>
      <c r="F51" s="450"/>
      <c r="G51" s="450"/>
      <c r="H51" s="450"/>
      <c r="I51" s="450"/>
      <c r="J51" s="450"/>
      <c r="K51" s="325"/>
      <c r="L51" s="325"/>
      <c r="M51" s="11" t="s">
        <v>23</v>
      </c>
      <c r="N51" s="11" t="s">
        <v>20</v>
      </c>
      <c r="O51" s="451"/>
      <c r="P51" s="452"/>
      <c r="Q51" s="453"/>
    </row>
    <row r="52" spans="1:17" ht="14.55" customHeight="1">
      <c r="A52" s="449"/>
      <c r="B52" s="449"/>
      <c r="C52" s="450"/>
      <c r="D52" s="450"/>
      <c r="E52" s="450"/>
      <c r="F52" s="450"/>
      <c r="G52" s="450"/>
      <c r="H52" s="450"/>
      <c r="I52" s="450"/>
      <c r="J52" s="450"/>
      <c r="K52" s="325"/>
      <c r="L52" s="325"/>
      <c r="M52" s="459"/>
      <c r="N52" s="459"/>
      <c r="O52" s="454"/>
      <c r="P52" s="450"/>
      <c r="Q52" s="455"/>
    </row>
    <row r="53" spans="1:17" ht="14.55" customHeight="1">
      <c r="A53" s="449"/>
      <c r="B53" s="449"/>
      <c r="C53" s="450"/>
      <c r="D53" s="450"/>
      <c r="E53" s="450"/>
      <c r="F53" s="450"/>
      <c r="G53" s="450"/>
      <c r="H53" s="450"/>
      <c r="I53" s="450"/>
      <c r="J53" s="450"/>
      <c r="K53" s="325"/>
      <c r="L53" s="325"/>
      <c r="M53" s="459"/>
      <c r="N53" s="459"/>
      <c r="O53" s="456"/>
      <c r="P53" s="457"/>
      <c r="Q53" s="458"/>
    </row>
    <row r="54" spans="1:17" ht="14.55" customHeight="1">
      <c r="A54" s="449"/>
      <c r="B54" s="449"/>
      <c r="C54" s="450"/>
      <c r="D54" s="450"/>
      <c r="E54" s="450"/>
      <c r="F54" s="450"/>
      <c r="G54" s="450"/>
      <c r="H54" s="450"/>
      <c r="I54" s="450"/>
      <c r="J54" s="450"/>
      <c r="K54" s="325"/>
      <c r="L54" s="325"/>
      <c r="M54" s="11" t="s">
        <v>23</v>
      </c>
      <c r="N54" s="11" t="s">
        <v>20</v>
      </c>
      <c r="O54" s="451"/>
      <c r="P54" s="452"/>
      <c r="Q54" s="453"/>
    </row>
    <row r="55" spans="1:17" ht="14.55" customHeight="1">
      <c r="A55" s="449"/>
      <c r="B55" s="449"/>
      <c r="C55" s="450"/>
      <c r="D55" s="450"/>
      <c r="E55" s="450"/>
      <c r="F55" s="450"/>
      <c r="G55" s="450"/>
      <c r="H55" s="450"/>
      <c r="I55" s="450"/>
      <c r="J55" s="450"/>
      <c r="K55" s="325"/>
      <c r="L55" s="325"/>
      <c r="M55" s="459"/>
      <c r="N55" s="459"/>
      <c r="O55" s="454"/>
      <c r="P55" s="450"/>
      <c r="Q55" s="455"/>
    </row>
    <row r="56" spans="1:17" ht="14.55" customHeight="1">
      <c r="A56" s="449"/>
      <c r="B56" s="449"/>
      <c r="C56" s="450"/>
      <c r="D56" s="450"/>
      <c r="E56" s="450"/>
      <c r="F56" s="450"/>
      <c r="G56" s="450"/>
      <c r="H56" s="450"/>
      <c r="I56" s="450"/>
      <c r="J56" s="450"/>
      <c r="K56" s="325"/>
      <c r="L56" s="325"/>
      <c r="M56" s="459"/>
      <c r="N56" s="459"/>
      <c r="O56" s="456"/>
      <c r="P56" s="457"/>
      <c r="Q56" s="458"/>
    </row>
    <row r="57" spans="1:17" ht="14.55" customHeight="1">
      <c r="A57" s="449"/>
      <c r="B57" s="449"/>
      <c r="C57" s="450"/>
      <c r="D57" s="450"/>
      <c r="E57" s="450"/>
      <c r="F57" s="450"/>
      <c r="G57" s="450"/>
      <c r="H57" s="450"/>
      <c r="I57" s="450"/>
      <c r="J57" s="450"/>
      <c r="K57" s="325"/>
      <c r="L57" s="325"/>
      <c r="M57" s="11" t="s">
        <v>23</v>
      </c>
      <c r="N57" s="11" t="s">
        <v>20</v>
      </c>
      <c r="O57" s="451"/>
      <c r="P57" s="452"/>
      <c r="Q57" s="453"/>
    </row>
    <row r="58" spans="1:17" ht="14.55" customHeight="1">
      <c r="A58" s="449"/>
      <c r="B58" s="449"/>
      <c r="C58" s="450"/>
      <c r="D58" s="450"/>
      <c r="E58" s="450"/>
      <c r="F58" s="450"/>
      <c r="G58" s="450"/>
      <c r="H58" s="450"/>
      <c r="I58" s="450"/>
      <c r="J58" s="450"/>
      <c r="K58" s="325"/>
      <c r="L58" s="325"/>
      <c r="M58" s="459"/>
      <c r="N58" s="459"/>
      <c r="O58" s="454"/>
      <c r="P58" s="450"/>
      <c r="Q58" s="455"/>
    </row>
    <row r="59" spans="1:17" ht="14.55" customHeight="1">
      <c r="A59" s="449"/>
      <c r="B59" s="449"/>
      <c r="C59" s="450"/>
      <c r="D59" s="450"/>
      <c r="E59" s="450"/>
      <c r="F59" s="450"/>
      <c r="G59" s="450"/>
      <c r="H59" s="450"/>
      <c r="I59" s="450"/>
      <c r="J59" s="450"/>
      <c r="K59" s="325"/>
      <c r="L59" s="325"/>
      <c r="M59" s="459"/>
      <c r="N59" s="459"/>
      <c r="O59" s="456"/>
      <c r="P59" s="457"/>
      <c r="Q59" s="458"/>
    </row>
    <row r="60" spans="1:17" ht="14.55" customHeight="1">
      <c r="A60" s="449"/>
      <c r="B60" s="449"/>
      <c r="C60" s="450"/>
      <c r="D60" s="450"/>
      <c r="E60" s="450"/>
      <c r="F60" s="450"/>
      <c r="G60" s="450"/>
      <c r="H60" s="450"/>
      <c r="I60" s="450"/>
      <c r="J60" s="450"/>
      <c r="K60" s="481"/>
      <c r="L60" s="480"/>
      <c r="M60" s="11" t="s">
        <v>23</v>
      </c>
      <c r="N60" s="11" t="s">
        <v>20</v>
      </c>
      <c r="O60" s="451"/>
      <c r="P60" s="452"/>
      <c r="Q60" s="453"/>
    </row>
    <row r="61" spans="1:17" ht="14.55" customHeight="1">
      <c r="A61" s="449"/>
      <c r="B61" s="449"/>
      <c r="C61" s="450"/>
      <c r="D61" s="450"/>
      <c r="E61" s="450"/>
      <c r="F61" s="450"/>
      <c r="G61" s="450"/>
      <c r="H61" s="450"/>
      <c r="I61" s="450"/>
      <c r="J61" s="450"/>
      <c r="K61" s="480"/>
      <c r="L61" s="480"/>
      <c r="M61" s="459"/>
      <c r="N61" s="459"/>
      <c r="O61" s="454"/>
      <c r="P61" s="450"/>
      <c r="Q61" s="455"/>
    </row>
    <row r="62" spans="1:17" ht="14.55" customHeight="1">
      <c r="A62" s="449"/>
      <c r="B62" s="449"/>
      <c r="C62" s="450"/>
      <c r="D62" s="450"/>
      <c r="E62" s="450"/>
      <c r="F62" s="450"/>
      <c r="G62" s="450"/>
      <c r="H62" s="450"/>
      <c r="I62" s="450"/>
      <c r="J62" s="450"/>
      <c r="K62" s="480"/>
      <c r="L62" s="480"/>
      <c r="M62" s="459"/>
      <c r="N62" s="459"/>
      <c r="O62" s="456"/>
      <c r="P62" s="457"/>
      <c r="Q62" s="458"/>
    </row>
    <row r="63" spans="1:17" ht="14.55" customHeight="1">
      <c r="A63" s="449"/>
      <c r="B63" s="449"/>
      <c r="C63" s="450"/>
      <c r="D63" s="450"/>
      <c r="E63" s="450"/>
      <c r="F63" s="450"/>
      <c r="G63" s="450"/>
      <c r="H63" s="450"/>
      <c r="I63" s="450"/>
      <c r="J63" s="450"/>
      <c r="K63" s="325"/>
      <c r="L63" s="325"/>
      <c r="M63" s="11" t="s">
        <v>23</v>
      </c>
      <c r="N63" s="11" t="s">
        <v>20</v>
      </c>
      <c r="O63" s="451"/>
      <c r="P63" s="452"/>
      <c r="Q63" s="453"/>
    </row>
    <row r="64" spans="1:17" ht="14.55" customHeight="1">
      <c r="A64" s="449"/>
      <c r="B64" s="449"/>
      <c r="C64" s="450"/>
      <c r="D64" s="450"/>
      <c r="E64" s="450"/>
      <c r="F64" s="450"/>
      <c r="G64" s="450"/>
      <c r="H64" s="450"/>
      <c r="I64" s="450"/>
      <c r="J64" s="450"/>
      <c r="K64" s="325"/>
      <c r="L64" s="325"/>
      <c r="M64" s="459"/>
      <c r="N64" s="459"/>
      <c r="O64" s="454"/>
      <c r="P64" s="450"/>
      <c r="Q64" s="455"/>
    </row>
    <row r="65" spans="1:17" ht="14.55" customHeight="1">
      <c r="A65" s="449"/>
      <c r="B65" s="449"/>
      <c r="C65" s="450"/>
      <c r="D65" s="450"/>
      <c r="E65" s="450"/>
      <c r="F65" s="450"/>
      <c r="G65" s="450"/>
      <c r="H65" s="450"/>
      <c r="I65" s="450"/>
      <c r="J65" s="450"/>
      <c r="K65" s="325"/>
      <c r="L65" s="325"/>
      <c r="M65" s="459"/>
      <c r="N65" s="459"/>
      <c r="O65" s="456"/>
      <c r="P65" s="457"/>
      <c r="Q65" s="458"/>
    </row>
    <row r="66" spans="1:17" ht="14.55" customHeight="1">
      <c r="A66" s="449"/>
      <c r="B66" s="449"/>
      <c r="C66" s="450"/>
      <c r="D66" s="450"/>
      <c r="E66" s="450"/>
      <c r="F66" s="450"/>
      <c r="G66" s="450"/>
      <c r="H66" s="450"/>
      <c r="I66" s="450"/>
      <c r="J66" s="450"/>
      <c r="K66" s="325"/>
      <c r="L66" s="325"/>
      <c r="M66" s="11" t="s">
        <v>23</v>
      </c>
      <c r="N66" s="11" t="s">
        <v>20</v>
      </c>
      <c r="O66" s="451"/>
      <c r="P66" s="452"/>
      <c r="Q66" s="453"/>
    </row>
    <row r="67" spans="1:17" ht="14.55" customHeight="1">
      <c r="A67" s="449"/>
      <c r="B67" s="449"/>
      <c r="C67" s="450"/>
      <c r="D67" s="450"/>
      <c r="E67" s="450"/>
      <c r="F67" s="450"/>
      <c r="G67" s="450"/>
      <c r="H67" s="450"/>
      <c r="I67" s="450"/>
      <c r="J67" s="450"/>
      <c r="K67" s="325"/>
      <c r="L67" s="325"/>
      <c r="M67" s="459"/>
      <c r="N67" s="459"/>
      <c r="O67" s="454"/>
      <c r="P67" s="450"/>
      <c r="Q67" s="455"/>
    </row>
    <row r="68" spans="1:17" ht="14.55" customHeight="1">
      <c r="A68" s="449"/>
      <c r="B68" s="449"/>
      <c r="C68" s="450"/>
      <c r="D68" s="450"/>
      <c r="E68" s="450"/>
      <c r="F68" s="450"/>
      <c r="G68" s="450"/>
      <c r="H68" s="450"/>
      <c r="I68" s="450"/>
      <c r="J68" s="450"/>
      <c r="K68" s="325"/>
      <c r="L68" s="325"/>
      <c r="M68" s="459"/>
      <c r="N68" s="459"/>
      <c r="O68" s="456"/>
      <c r="P68" s="457"/>
      <c r="Q68" s="458"/>
    </row>
    <row r="69" spans="1:17" ht="14.55" customHeight="1">
      <c r="A69" s="449"/>
      <c r="B69" s="449"/>
      <c r="C69" s="450"/>
      <c r="D69" s="450"/>
      <c r="E69" s="450"/>
      <c r="F69" s="450"/>
      <c r="G69" s="450"/>
      <c r="H69" s="450"/>
      <c r="I69" s="450"/>
      <c r="J69" s="450"/>
      <c r="K69" s="325"/>
      <c r="L69" s="325"/>
      <c r="M69" s="11" t="s">
        <v>23</v>
      </c>
      <c r="N69" s="11" t="s">
        <v>20</v>
      </c>
      <c r="O69" s="451"/>
      <c r="P69" s="452"/>
      <c r="Q69" s="453"/>
    </row>
    <row r="70" spans="1:17" ht="14.55" customHeight="1">
      <c r="A70" s="449"/>
      <c r="B70" s="449"/>
      <c r="C70" s="450"/>
      <c r="D70" s="450"/>
      <c r="E70" s="450"/>
      <c r="F70" s="450"/>
      <c r="G70" s="450"/>
      <c r="H70" s="450"/>
      <c r="I70" s="450"/>
      <c r="J70" s="450"/>
      <c r="K70" s="325"/>
      <c r="L70" s="325"/>
      <c r="M70" s="459"/>
      <c r="N70" s="459"/>
      <c r="O70" s="454"/>
      <c r="P70" s="450"/>
      <c r="Q70" s="455"/>
    </row>
    <row r="71" spans="1:17" ht="14.55" customHeight="1">
      <c r="A71" s="449"/>
      <c r="B71" s="449"/>
      <c r="C71" s="450"/>
      <c r="D71" s="450"/>
      <c r="E71" s="450"/>
      <c r="F71" s="450"/>
      <c r="G71" s="450"/>
      <c r="H71" s="450"/>
      <c r="I71" s="450"/>
      <c r="J71" s="450"/>
      <c r="K71" s="325"/>
      <c r="L71" s="325"/>
      <c r="M71" s="459"/>
      <c r="N71" s="459"/>
      <c r="O71" s="456"/>
      <c r="P71" s="457"/>
      <c r="Q71" s="458"/>
    </row>
    <row r="72" spans="1:17" ht="14.55" customHeight="1">
      <c r="A72" s="449"/>
      <c r="B72" s="449"/>
      <c r="C72" s="450"/>
      <c r="D72" s="450"/>
      <c r="E72" s="450"/>
      <c r="F72" s="450"/>
      <c r="G72" s="450"/>
      <c r="H72" s="450"/>
      <c r="I72" s="450"/>
      <c r="J72" s="450"/>
      <c r="K72" s="325"/>
      <c r="L72" s="325"/>
      <c r="M72" s="11" t="s">
        <v>23</v>
      </c>
      <c r="N72" s="11" t="s">
        <v>20</v>
      </c>
      <c r="O72" s="451"/>
      <c r="P72" s="452"/>
      <c r="Q72" s="453"/>
    </row>
    <row r="73" spans="1:17" ht="14.55" customHeight="1">
      <c r="A73" s="449"/>
      <c r="B73" s="449"/>
      <c r="C73" s="450"/>
      <c r="D73" s="450"/>
      <c r="E73" s="450"/>
      <c r="F73" s="450"/>
      <c r="G73" s="450"/>
      <c r="H73" s="450"/>
      <c r="I73" s="450"/>
      <c r="J73" s="450"/>
      <c r="K73" s="325"/>
      <c r="L73" s="325"/>
      <c r="M73" s="459"/>
      <c r="N73" s="459"/>
      <c r="O73" s="454"/>
      <c r="P73" s="450"/>
      <c r="Q73" s="455"/>
    </row>
    <row r="74" spans="1:17" ht="14.55" customHeight="1">
      <c r="A74" s="449"/>
      <c r="B74" s="449"/>
      <c r="C74" s="450"/>
      <c r="D74" s="450"/>
      <c r="E74" s="450"/>
      <c r="F74" s="450"/>
      <c r="G74" s="450"/>
      <c r="H74" s="450"/>
      <c r="I74" s="450"/>
      <c r="J74" s="450"/>
      <c r="K74" s="325"/>
      <c r="L74" s="325"/>
      <c r="M74" s="459"/>
      <c r="N74" s="459"/>
      <c r="O74" s="456"/>
      <c r="P74" s="457"/>
      <c r="Q74" s="458"/>
    </row>
    <row r="75" spans="1:17" ht="14.55" customHeight="1">
      <c r="A75" s="449"/>
      <c r="B75" s="449"/>
      <c r="C75" s="450"/>
      <c r="D75" s="450"/>
      <c r="E75" s="450"/>
      <c r="F75" s="450"/>
      <c r="G75" s="450"/>
      <c r="H75" s="450"/>
      <c r="I75" s="450"/>
      <c r="J75" s="450"/>
      <c r="K75" s="325"/>
      <c r="L75" s="325"/>
      <c r="M75" s="11" t="s">
        <v>23</v>
      </c>
      <c r="N75" s="11" t="s">
        <v>20</v>
      </c>
      <c r="O75" s="451"/>
      <c r="P75" s="452"/>
      <c r="Q75" s="453"/>
    </row>
    <row r="76" spans="1:17" ht="14.55" customHeight="1">
      <c r="A76" s="449"/>
      <c r="B76" s="449"/>
      <c r="C76" s="450"/>
      <c r="D76" s="450"/>
      <c r="E76" s="450"/>
      <c r="F76" s="450"/>
      <c r="G76" s="450"/>
      <c r="H76" s="450"/>
      <c r="I76" s="450"/>
      <c r="J76" s="450"/>
      <c r="K76" s="325"/>
      <c r="L76" s="325"/>
      <c r="M76" s="459"/>
      <c r="N76" s="459"/>
      <c r="O76" s="454"/>
      <c r="P76" s="450"/>
      <c r="Q76" s="455"/>
    </row>
    <row r="77" spans="1:17" ht="14.55" customHeight="1">
      <c r="A77" s="449"/>
      <c r="B77" s="449"/>
      <c r="C77" s="450"/>
      <c r="D77" s="450"/>
      <c r="E77" s="450"/>
      <c r="F77" s="450"/>
      <c r="G77" s="450"/>
      <c r="H77" s="450"/>
      <c r="I77" s="450"/>
      <c r="J77" s="450"/>
      <c r="K77" s="325"/>
      <c r="L77" s="325"/>
      <c r="M77" s="459"/>
      <c r="N77" s="459"/>
      <c r="O77" s="456"/>
      <c r="P77" s="457"/>
      <c r="Q77" s="458"/>
    </row>
    <row r="78" spans="1:17" ht="14.55" customHeight="1">
      <c r="A78" s="449"/>
      <c r="B78" s="449"/>
      <c r="C78" s="450"/>
      <c r="D78" s="450"/>
      <c r="E78" s="450"/>
      <c r="F78" s="450"/>
      <c r="G78" s="450"/>
      <c r="H78" s="450"/>
      <c r="I78" s="450"/>
      <c r="J78" s="450"/>
      <c r="K78" s="325"/>
      <c r="L78" s="325"/>
      <c r="M78" s="11" t="s">
        <v>23</v>
      </c>
      <c r="N78" s="11" t="s">
        <v>20</v>
      </c>
      <c r="O78" s="451"/>
      <c r="P78" s="452"/>
      <c r="Q78" s="453"/>
    </row>
    <row r="79" spans="1:17" ht="14.55" customHeight="1">
      <c r="A79" s="449"/>
      <c r="B79" s="449"/>
      <c r="C79" s="450"/>
      <c r="D79" s="450"/>
      <c r="E79" s="450"/>
      <c r="F79" s="450"/>
      <c r="G79" s="450"/>
      <c r="H79" s="450"/>
      <c r="I79" s="450"/>
      <c r="J79" s="450"/>
      <c r="K79" s="325"/>
      <c r="L79" s="325"/>
      <c r="M79" s="459"/>
      <c r="N79" s="459"/>
      <c r="O79" s="454"/>
      <c r="P79" s="450"/>
      <c r="Q79" s="455"/>
    </row>
    <row r="80" spans="1:17" ht="14.55" customHeight="1">
      <c r="A80" s="449"/>
      <c r="B80" s="449"/>
      <c r="C80" s="450"/>
      <c r="D80" s="450"/>
      <c r="E80" s="450"/>
      <c r="F80" s="450"/>
      <c r="G80" s="450"/>
      <c r="H80" s="450"/>
      <c r="I80" s="450"/>
      <c r="J80" s="450"/>
      <c r="K80" s="325"/>
      <c r="L80" s="325"/>
      <c r="M80" s="459"/>
      <c r="N80" s="459"/>
      <c r="O80" s="456"/>
      <c r="P80" s="457"/>
      <c r="Q80" s="458"/>
    </row>
    <row r="81" spans="1:17" ht="14.55" customHeight="1">
      <c r="A81" s="449"/>
      <c r="B81" s="449"/>
      <c r="C81" s="450"/>
      <c r="D81" s="450"/>
      <c r="E81" s="450"/>
      <c r="F81" s="450"/>
      <c r="G81" s="450"/>
      <c r="H81" s="450"/>
      <c r="I81" s="450"/>
      <c r="J81" s="450"/>
      <c r="K81" s="325"/>
      <c r="L81" s="325"/>
      <c r="M81" s="11" t="s">
        <v>23</v>
      </c>
      <c r="N81" s="11" t="s">
        <v>20</v>
      </c>
      <c r="O81" s="451"/>
      <c r="P81" s="452"/>
      <c r="Q81" s="453"/>
    </row>
    <row r="82" spans="1:17" ht="14.55" customHeight="1">
      <c r="A82" s="449"/>
      <c r="B82" s="449"/>
      <c r="C82" s="450"/>
      <c r="D82" s="450"/>
      <c r="E82" s="450"/>
      <c r="F82" s="450"/>
      <c r="G82" s="450"/>
      <c r="H82" s="450"/>
      <c r="I82" s="450"/>
      <c r="J82" s="450"/>
      <c r="K82" s="325"/>
      <c r="L82" s="325"/>
      <c r="M82" s="459"/>
      <c r="N82" s="459"/>
      <c r="O82" s="454"/>
      <c r="P82" s="450"/>
      <c r="Q82" s="455"/>
    </row>
    <row r="83" spans="1:17" ht="14.55" customHeight="1">
      <c r="A83" s="449"/>
      <c r="B83" s="449"/>
      <c r="C83" s="450"/>
      <c r="D83" s="450"/>
      <c r="E83" s="450"/>
      <c r="F83" s="450"/>
      <c r="G83" s="450"/>
      <c r="H83" s="450"/>
      <c r="I83" s="450"/>
      <c r="J83" s="450"/>
      <c r="K83" s="325"/>
      <c r="L83" s="325"/>
      <c r="M83" s="459"/>
      <c r="N83" s="459"/>
      <c r="O83" s="456"/>
      <c r="P83" s="457"/>
      <c r="Q83" s="458"/>
    </row>
    <row r="84" spans="1:17" ht="14.55" customHeight="1">
      <c r="A84" s="449"/>
      <c r="B84" s="449"/>
      <c r="C84" s="450"/>
      <c r="D84" s="450"/>
      <c r="E84" s="450"/>
      <c r="F84" s="450"/>
      <c r="G84" s="450"/>
      <c r="H84" s="450"/>
      <c r="I84" s="450"/>
      <c r="J84" s="450"/>
      <c r="K84" s="480"/>
      <c r="L84" s="480"/>
      <c r="M84" s="11" t="s">
        <v>23</v>
      </c>
      <c r="N84" s="11" t="s">
        <v>20</v>
      </c>
      <c r="O84" s="451"/>
      <c r="P84" s="452"/>
      <c r="Q84" s="453"/>
    </row>
    <row r="85" spans="1:17" ht="14.55" customHeight="1">
      <c r="A85" s="449"/>
      <c r="B85" s="449"/>
      <c r="C85" s="450"/>
      <c r="D85" s="450"/>
      <c r="E85" s="450"/>
      <c r="F85" s="450"/>
      <c r="G85" s="450"/>
      <c r="H85" s="450"/>
      <c r="I85" s="450"/>
      <c r="J85" s="450"/>
      <c r="K85" s="480"/>
      <c r="L85" s="480"/>
      <c r="M85" s="459"/>
      <c r="N85" s="459"/>
      <c r="O85" s="454"/>
      <c r="P85" s="450"/>
      <c r="Q85" s="455"/>
    </row>
    <row r="86" spans="1:17" ht="14.55" customHeight="1">
      <c r="A86" s="449"/>
      <c r="B86" s="449"/>
      <c r="C86" s="450"/>
      <c r="D86" s="450"/>
      <c r="E86" s="450"/>
      <c r="F86" s="450"/>
      <c r="G86" s="450"/>
      <c r="H86" s="450"/>
      <c r="I86" s="450"/>
      <c r="J86" s="450"/>
      <c r="K86" s="480"/>
      <c r="L86" s="480"/>
      <c r="M86" s="459"/>
      <c r="N86" s="459"/>
      <c r="O86" s="456"/>
      <c r="P86" s="457"/>
      <c r="Q86" s="458"/>
    </row>
    <row r="87" spans="1:17" ht="14.55" customHeight="1">
      <c r="A87" s="449"/>
      <c r="B87" s="449"/>
      <c r="C87" s="450"/>
      <c r="D87" s="450"/>
      <c r="E87" s="450"/>
      <c r="F87" s="450"/>
      <c r="G87" s="450"/>
      <c r="H87" s="450"/>
      <c r="I87" s="450"/>
      <c r="J87" s="450"/>
      <c r="K87" s="325"/>
      <c r="L87" s="325"/>
      <c r="M87" s="11" t="s">
        <v>23</v>
      </c>
      <c r="N87" s="11" t="s">
        <v>20</v>
      </c>
      <c r="O87" s="451"/>
      <c r="P87" s="452"/>
      <c r="Q87" s="453"/>
    </row>
    <row r="88" spans="1:17" ht="14.55" customHeight="1">
      <c r="A88" s="449"/>
      <c r="B88" s="449"/>
      <c r="C88" s="450"/>
      <c r="D88" s="450"/>
      <c r="E88" s="450"/>
      <c r="F88" s="450"/>
      <c r="G88" s="450"/>
      <c r="H88" s="450"/>
      <c r="I88" s="450"/>
      <c r="J88" s="450"/>
      <c r="K88" s="325"/>
      <c r="L88" s="325"/>
      <c r="M88" s="459"/>
      <c r="N88" s="459"/>
      <c r="O88" s="454"/>
      <c r="P88" s="450"/>
      <c r="Q88" s="455"/>
    </row>
    <row r="89" spans="1:17" ht="14.55" customHeight="1">
      <c r="A89" s="449"/>
      <c r="B89" s="449"/>
      <c r="C89" s="450"/>
      <c r="D89" s="450"/>
      <c r="E89" s="450"/>
      <c r="F89" s="450"/>
      <c r="G89" s="450"/>
      <c r="H89" s="450"/>
      <c r="I89" s="450"/>
      <c r="J89" s="450"/>
      <c r="K89" s="325"/>
      <c r="L89" s="325"/>
      <c r="M89" s="459"/>
      <c r="N89" s="459"/>
      <c r="O89" s="456"/>
      <c r="P89" s="457"/>
      <c r="Q89" s="458"/>
    </row>
    <row r="90" spans="1:17" ht="14.55" customHeight="1">
      <c r="A90" s="449"/>
      <c r="B90" s="449"/>
      <c r="C90" s="450"/>
      <c r="D90" s="450"/>
      <c r="E90" s="450"/>
      <c r="F90" s="450"/>
      <c r="G90" s="450"/>
      <c r="H90" s="450"/>
      <c r="I90" s="450"/>
      <c r="J90" s="450"/>
      <c r="K90" s="325"/>
      <c r="L90" s="325"/>
      <c r="M90" s="11" t="s">
        <v>23</v>
      </c>
      <c r="N90" s="11" t="s">
        <v>20</v>
      </c>
      <c r="O90" s="451"/>
      <c r="P90" s="452"/>
      <c r="Q90" s="453"/>
    </row>
    <row r="91" spans="1:17" ht="14.55" customHeight="1">
      <c r="A91" s="449"/>
      <c r="B91" s="449"/>
      <c r="C91" s="450"/>
      <c r="D91" s="450"/>
      <c r="E91" s="450"/>
      <c r="F91" s="450"/>
      <c r="G91" s="450"/>
      <c r="H91" s="450"/>
      <c r="I91" s="450"/>
      <c r="J91" s="450"/>
      <c r="K91" s="325"/>
      <c r="L91" s="325"/>
      <c r="M91" s="459"/>
      <c r="N91" s="459"/>
      <c r="O91" s="454"/>
      <c r="P91" s="450"/>
      <c r="Q91" s="455"/>
    </row>
    <row r="92" spans="1:17" ht="14.55" customHeight="1">
      <c r="A92" s="449"/>
      <c r="B92" s="449"/>
      <c r="C92" s="450"/>
      <c r="D92" s="450"/>
      <c r="E92" s="450"/>
      <c r="F92" s="450"/>
      <c r="G92" s="450"/>
      <c r="H92" s="450"/>
      <c r="I92" s="450"/>
      <c r="J92" s="450"/>
      <c r="K92" s="325"/>
      <c r="L92" s="325"/>
      <c r="M92" s="459"/>
      <c r="N92" s="459"/>
      <c r="O92" s="456"/>
      <c r="P92" s="457"/>
      <c r="Q92" s="458"/>
    </row>
    <row r="93" spans="1:17" ht="14.55" customHeight="1">
      <c r="A93" s="449"/>
      <c r="B93" s="449"/>
      <c r="C93" s="450"/>
      <c r="D93" s="450"/>
      <c r="E93" s="450"/>
      <c r="F93" s="450"/>
      <c r="G93" s="450"/>
      <c r="H93" s="450"/>
      <c r="I93" s="450"/>
      <c r="J93" s="450"/>
      <c r="K93" s="325"/>
      <c r="L93" s="325"/>
      <c r="M93" s="11" t="s">
        <v>23</v>
      </c>
      <c r="N93" s="11" t="s">
        <v>20</v>
      </c>
      <c r="O93" s="451"/>
      <c r="P93" s="452"/>
      <c r="Q93" s="453"/>
    </row>
    <row r="94" spans="1:17" ht="14.55" customHeight="1">
      <c r="A94" s="449"/>
      <c r="B94" s="449"/>
      <c r="C94" s="450"/>
      <c r="D94" s="450"/>
      <c r="E94" s="450"/>
      <c r="F94" s="450"/>
      <c r="G94" s="450"/>
      <c r="H94" s="450"/>
      <c r="I94" s="450"/>
      <c r="J94" s="450"/>
      <c r="K94" s="325"/>
      <c r="L94" s="325"/>
      <c r="M94" s="459"/>
      <c r="N94" s="459"/>
      <c r="O94" s="454"/>
      <c r="P94" s="450"/>
      <c r="Q94" s="455"/>
    </row>
    <row r="95" spans="1:17" ht="14.55" customHeight="1">
      <c r="A95" s="449"/>
      <c r="B95" s="449"/>
      <c r="C95" s="450"/>
      <c r="D95" s="450"/>
      <c r="E95" s="450"/>
      <c r="F95" s="450"/>
      <c r="G95" s="450"/>
      <c r="H95" s="450"/>
      <c r="I95" s="450"/>
      <c r="J95" s="450"/>
      <c r="K95" s="325"/>
      <c r="L95" s="325"/>
      <c r="M95" s="459"/>
      <c r="N95" s="459"/>
      <c r="O95" s="456"/>
      <c r="P95" s="457"/>
      <c r="Q95" s="458"/>
    </row>
    <row r="96" spans="1:17" ht="14.55" customHeight="1">
      <c r="A96" s="449"/>
      <c r="B96" s="449"/>
      <c r="C96" s="450"/>
      <c r="D96" s="450"/>
      <c r="E96" s="450"/>
      <c r="F96" s="450"/>
      <c r="G96" s="450"/>
      <c r="H96" s="450"/>
      <c r="I96" s="450"/>
      <c r="J96" s="450"/>
      <c r="K96" s="325"/>
      <c r="L96" s="325"/>
      <c r="M96" s="11" t="s">
        <v>23</v>
      </c>
      <c r="N96" s="11" t="s">
        <v>20</v>
      </c>
      <c r="O96" s="451"/>
      <c r="P96" s="452"/>
      <c r="Q96" s="453"/>
    </row>
    <row r="97" spans="1:17" ht="14.55" customHeight="1">
      <c r="A97" s="449"/>
      <c r="B97" s="449"/>
      <c r="C97" s="450"/>
      <c r="D97" s="450"/>
      <c r="E97" s="450"/>
      <c r="F97" s="450"/>
      <c r="G97" s="450"/>
      <c r="H97" s="450"/>
      <c r="I97" s="450"/>
      <c r="J97" s="450"/>
      <c r="K97" s="325"/>
      <c r="L97" s="325"/>
      <c r="M97" s="459"/>
      <c r="N97" s="459"/>
      <c r="O97" s="454"/>
      <c r="P97" s="450"/>
      <c r="Q97" s="455"/>
    </row>
    <row r="98" spans="1:17" ht="14.55" customHeight="1">
      <c r="A98" s="449"/>
      <c r="B98" s="449"/>
      <c r="C98" s="450"/>
      <c r="D98" s="450"/>
      <c r="E98" s="450"/>
      <c r="F98" s="450"/>
      <c r="G98" s="450"/>
      <c r="H98" s="450"/>
      <c r="I98" s="450"/>
      <c r="J98" s="450"/>
      <c r="K98" s="325"/>
      <c r="L98" s="325"/>
      <c r="M98" s="459"/>
      <c r="N98" s="459"/>
      <c r="O98" s="456"/>
      <c r="P98" s="457"/>
      <c r="Q98" s="458"/>
    </row>
    <row r="99" spans="1:17" ht="14.55" customHeight="1">
      <c r="A99" s="449"/>
      <c r="B99" s="449"/>
      <c r="C99" s="450"/>
      <c r="D99" s="450"/>
      <c r="E99" s="450"/>
      <c r="F99" s="450"/>
      <c r="G99" s="450"/>
      <c r="H99" s="450"/>
      <c r="I99" s="450"/>
      <c r="J99" s="450"/>
      <c r="K99" s="325"/>
      <c r="L99" s="325"/>
      <c r="M99" s="11" t="s">
        <v>23</v>
      </c>
      <c r="N99" s="11" t="s">
        <v>20</v>
      </c>
      <c r="O99" s="451"/>
      <c r="P99" s="452"/>
      <c r="Q99" s="453"/>
    </row>
    <row r="100" spans="1:17" ht="14.55" customHeight="1">
      <c r="A100" s="449"/>
      <c r="B100" s="449"/>
      <c r="C100" s="450"/>
      <c r="D100" s="450"/>
      <c r="E100" s="450"/>
      <c r="F100" s="450"/>
      <c r="G100" s="450"/>
      <c r="H100" s="450"/>
      <c r="I100" s="450"/>
      <c r="J100" s="450"/>
      <c r="K100" s="325"/>
      <c r="L100" s="325"/>
      <c r="M100" s="459"/>
      <c r="N100" s="459"/>
      <c r="O100" s="454"/>
      <c r="P100" s="450"/>
      <c r="Q100" s="455"/>
    </row>
    <row r="101" spans="1:17" ht="14.55" customHeight="1">
      <c r="A101" s="449"/>
      <c r="B101" s="449"/>
      <c r="C101" s="450"/>
      <c r="D101" s="450"/>
      <c r="E101" s="450"/>
      <c r="F101" s="450"/>
      <c r="G101" s="450"/>
      <c r="H101" s="450"/>
      <c r="I101" s="450"/>
      <c r="J101" s="450"/>
      <c r="K101" s="325"/>
      <c r="L101" s="325"/>
      <c r="M101" s="459"/>
      <c r="N101" s="459"/>
      <c r="O101" s="456"/>
      <c r="P101" s="457"/>
      <c r="Q101" s="458"/>
    </row>
    <row r="102" spans="1:17" ht="14.55" customHeight="1">
      <c r="A102" s="449"/>
      <c r="B102" s="449"/>
      <c r="C102" s="450"/>
      <c r="D102" s="450"/>
      <c r="E102" s="450"/>
      <c r="F102" s="450"/>
      <c r="G102" s="450"/>
      <c r="H102" s="450"/>
      <c r="I102" s="450"/>
      <c r="J102" s="450"/>
      <c r="K102" s="325"/>
      <c r="L102" s="325"/>
      <c r="M102" s="11" t="s">
        <v>23</v>
      </c>
      <c r="N102" s="11" t="s">
        <v>20</v>
      </c>
      <c r="O102" s="451"/>
      <c r="P102" s="452"/>
      <c r="Q102" s="453"/>
    </row>
    <row r="103" spans="1:17" ht="14.55" customHeight="1">
      <c r="A103" s="449"/>
      <c r="B103" s="449"/>
      <c r="C103" s="450"/>
      <c r="D103" s="450"/>
      <c r="E103" s="450"/>
      <c r="F103" s="450"/>
      <c r="G103" s="450"/>
      <c r="H103" s="450"/>
      <c r="I103" s="450"/>
      <c r="J103" s="450"/>
      <c r="K103" s="325"/>
      <c r="L103" s="325"/>
      <c r="M103" s="459"/>
      <c r="N103" s="459"/>
      <c r="O103" s="454"/>
      <c r="P103" s="450"/>
      <c r="Q103" s="455"/>
    </row>
    <row r="104" spans="1:17" ht="14.55" customHeight="1">
      <c r="A104" s="449"/>
      <c r="B104" s="449"/>
      <c r="C104" s="450"/>
      <c r="D104" s="450"/>
      <c r="E104" s="450"/>
      <c r="F104" s="450"/>
      <c r="G104" s="450"/>
      <c r="H104" s="450"/>
      <c r="I104" s="450"/>
      <c r="J104" s="450"/>
      <c r="K104" s="325"/>
      <c r="L104" s="325"/>
      <c r="M104" s="459"/>
      <c r="N104" s="459"/>
      <c r="O104" s="456"/>
      <c r="P104" s="457"/>
      <c r="Q104" s="458"/>
    </row>
    <row r="105" spans="1:17" ht="14.55" customHeight="1">
      <c r="A105" s="449"/>
      <c r="B105" s="449"/>
      <c r="C105" s="450"/>
      <c r="D105" s="450"/>
      <c r="E105" s="450"/>
      <c r="F105" s="450"/>
      <c r="G105" s="450"/>
      <c r="H105" s="450"/>
      <c r="I105" s="450"/>
      <c r="J105" s="450"/>
      <c r="K105" s="325"/>
      <c r="L105" s="325"/>
      <c r="M105" s="11" t="s">
        <v>23</v>
      </c>
      <c r="N105" s="11" t="s">
        <v>20</v>
      </c>
      <c r="O105" s="451"/>
      <c r="P105" s="452"/>
      <c r="Q105" s="453"/>
    </row>
    <row r="106" spans="1:17" ht="14.55" customHeight="1">
      <c r="A106" s="449"/>
      <c r="B106" s="449"/>
      <c r="C106" s="450"/>
      <c r="D106" s="450"/>
      <c r="E106" s="450"/>
      <c r="F106" s="450"/>
      <c r="G106" s="450"/>
      <c r="H106" s="450"/>
      <c r="I106" s="450"/>
      <c r="J106" s="450"/>
      <c r="K106" s="325"/>
      <c r="L106" s="325"/>
      <c r="M106" s="459"/>
      <c r="N106" s="459"/>
      <c r="O106" s="454"/>
      <c r="P106" s="450"/>
      <c r="Q106" s="455"/>
    </row>
    <row r="107" spans="1:17" ht="14.55" customHeight="1">
      <c r="A107" s="449"/>
      <c r="B107" s="449"/>
      <c r="C107" s="450"/>
      <c r="D107" s="450"/>
      <c r="E107" s="450"/>
      <c r="F107" s="450"/>
      <c r="G107" s="450"/>
      <c r="H107" s="450"/>
      <c r="I107" s="450"/>
      <c r="J107" s="450"/>
      <c r="K107" s="325"/>
      <c r="L107" s="325"/>
      <c r="M107" s="459"/>
      <c r="N107" s="459"/>
      <c r="O107" s="456"/>
      <c r="P107" s="457"/>
      <c r="Q107" s="458"/>
    </row>
    <row r="108" spans="1:17" ht="14.55" customHeight="1">
      <c r="A108" s="449"/>
      <c r="B108" s="449"/>
      <c r="C108" s="450"/>
      <c r="D108" s="450"/>
      <c r="E108" s="450"/>
      <c r="F108" s="450"/>
      <c r="G108" s="450"/>
      <c r="H108" s="450"/>
      <c r="I108" s="450"/>
      <c r="J108" s="450"/>
      <c r="K108" s="325"/>
      <c r="L108" s="325"/>
      <c r="M108" s="11" t="s">
        <v>23</v>
      </c>
      <c r="N108" s="11" t="s">
        <v>20</v>
      </c>
      <c r="O108" s="451"/>
      <c r="P108" s="452"/>
      <c r="Q108" s="453"/>
    </row>
    <row r="109" spans="1:17" ht="14.55" customHeight="1">
      <c r="A109" s="449"/>
      <c r="B109" s="449"/>
      <c r="C109" s="450"/>
      <c r="D109" s="450"/>
      <c r="E109" s="450"/>
      <c r="F109" s="450"/>
      <c r="G109" s="450"/>
      <c r="H109" s="450"/>
      <c r="I109" s="450"/>
      <c r="J109" s="450"/>
      <c r="K109" s="325"/>
      <c r="L109" s="325"/>
      <c r="M109" s="459"/>
      <c r="N109" s="459"/>
      <c r="O109" s="454"/>
      <c r="P109" s="450"/>
      <c r="Q109" s="455"/>
    </row>
    <row r="110" spans="1:17" ht="14.55" customHeight="1">
      <c r="A110" s="449"/>
      <c r="B110" s="449"/>
      <c r="C110" s="450"/>
      <c r="D110" s="450"/>
      <c r="E110" s="450"/>
      <c r="F110" s="450"/>
      <c r="G110" s="450"/>
      <c r="H110" s="450"/>
      <c r="I110" s="450"/>
      <c r="J110" s="450"/>
      <c r="K110" s="325"/>
      <c r="L110" s="325"/>
      <c r="M110" s="459"/>
      <c r="N110" s="459"/>
      <c r="O110" s="456"/>
      <c r="P110" s="457"/>
      <c r="Q110" s="458"/>
    </row>
    <row r="111" spans="1:17" ht="14.55" customHeight="1">
      <c r="A111" s="449"/>
      <c r="B111" s="449"/>
      <c r="C111" s="450"/>
      <c r="D111" s="450"/>
      <c r="E111" s="450"/>
      <c r="F111" s="450"/>
      <c r="G111" s="450"/>
      <c r="H111" s="450"/>
      <c r="I111" s="450"/>
      <c r="J111" s="450"/>
      <c r="K111" s="325"/>
      <c r="L111" s="325"/>
      <c r="M111" s="11" t="s">
        <v>23</v>
      </c>
      <c r="N111" s="11" t="s">
        <v>20</v>
      </c>
      <c r="O111" s="451"/>
      <c r="P111" s="452"/>
      <c r="Q111" s="453"/>
    </row>
    <row r="112" spans="1:17" ht="14.55" customHeight="1">
      <c r="A112" s="449"/>
      <c r="B112" s="449"/>
      <c r="C112" s="450"/>
      <c r="D112" s="450"/>
      <c r="E112" s="450"/>
      <c r="F112" s="450"/>
      <c r="G112" s="450"/>
      <c r="H112" s="450"/>
      <c r="I112" s="450"/>
      <c r="J112" s="450"/>
      <c r="K112" s="325"/>
      <c r="L112" s="325"/>
      <c r="M112" s="459"/>
      <c r="N112" s="459"/>
      <c r="O112" s="454"/>
      <c r="P112" s="450"/>
      <c r="Q112" s="455"/>
    </row>
    <row r="113" spans="1:17" ht="14.55" customHeight="1">
      <c r="A113" s="449"/>
      <c r="B113" s="449"/>
      <c r="C113" s="450"/>
      <c r="D113" s="450"/>
      <c r="E113" s="450"/>
      <c r="F113" s="450"/>
      <c r="G113" s="450"/>
      <c r="H113" s="450"/>
      <c r="I113" s="450"/>
      <c r="J113" s="450"/>
      <c r="K113" s="325"/>
      <c r="L113" s="325"/>
      <c r="M113" s="459"/>
      <c r="N113" s="459"/>
      <c r="O113" s="456"/>
      <c r="P113" s="457"/>
      <c r="Q113" s="458"/>
    </row>
    <row r="114" spans="1:17" ht="14.55" customHeight="1">
      <c r="A114" s="449"/>
      <c r="B114" s="449"/>
      <c r="C114" s="450"/>
      <c r="D114" s="450"/>
      <c r="E114" s="450"/>
      <c r="F114" s="450"/>
      <c r="G114" s="450"/>
      <c r="H114" s="450"/>
      <c r="I114" s="450"/>
      <c r="J114" s="450"/>
      <c r="K114" s="325"/>
      <c r="L114" s="325"/>
      <c r="M114" s="11" t="s">
        <v>23</v>
      </c>
      <c r="N114" s="11" t="s">
        <v>20</v>
      </c>
      <c r="O114" s="451"/>
      <c r="P114" s="452"/>
      <c r="Q114" s="453"/>
    </row>
    <row r="115" spans="1:17" ht="14.55" customHeight="1">
      <c r="A115" s="449"/>
      <c r="B115" s="449"/>
      <c r="C115" s="450"/>
      <c r="D115" s="450"/>
      <c r="E115" s="450"/>
      <c r="F115" s="450"/>
      <c r="G115" s="450"/>
      <c r="H115" s="450"/>
      <c r="I115" s="450"/>
      <c r="J115" s="450"/>
      <c r="K115" s="325"/>
      <c r="L115" s="325"/>
      <c r="M115" s="459"/>
      <c r="N115" s="459"/>
      <c r="O115" s="454"/>
      <c r="P115" s="450"/>
      <c r="Q115" s="455"/>
    </row>
    <row r="116" spans="1:17" ht="14.55" customHeight="1">
      <c r="A116" s="449"/>
      <c r="B116" s="449"/>
      <c r="C116" s="450"/>
      <c r="D116" s="450"/>
      <c r="E116" s="450"/>
      <c r="F116" s="450"/>
      <c r="G116" s="450"/>
      <c r="H116" s="450"/>
      <c r="I116" s="450"/>
      <c r="J116" s="450"/>
      <c r="K116" s="325"/>
      <c r="L116" s="325"/>
      <c r="M116" s="459"/>
      <c r="N116" s="459"/>
      <c r="O116" s="456"/>
      <c r="P116" s="457"/>
      <c r="Q116" s="458"/>
    </row>
    <row r="117" spans="1:17" ht="14.55" customHeight="1">
      <c r="A117" s="449"/>
      <c r="B117" s="449"/>
      <c r="C117" s="450"/>
      <c r="D117" s="450"/>
      <c r="E117" s="450"/>
      <c r="F117" s="450"/>
      <c r="G117" s="450"/>
      <c r="H117" s="450"/>
      <c r="I117" s="450"/>
      <c r="J117" s="450"/>
      <c r="K117" s="325"/>
      <c r="L117" s="325"/>
      <c r="M117" s="11" t="s">
        <v>23</v>
      </c>
      <c r="N117" s="11" t="s">
        <v>20</v>
      </c>
      <c r="O117" s="451"/>
      <c r="P117" s="452"/>
      <c r="Q117" s="453"/>
    </row>
    <row r="118" spans="1:17" ht="14.55" customHeight="1">
      <c r="A118" s="449"/>
      <c r="B118" s="449"/>
      <c r="C118" s="450"/>
      <c r="D118" s="450"/>
      <c r="E118" s="450"/>
      <c r="F118" s="450"/>
      <c r="G118" s="450"/>
      <c r="H118" s="450"/>
      <c r="I118" s="450"/>
      <c r="J118" s="450"/>
      <c r="K118" s="325"/>
      <c r="L118" s="325"/>
      <c r="M118" s="459"/>
      <c r="N118" s="459"/>
      <c r="O118" s="454"/>
      <c r="P118" s="450"/>
      <c r="Q118" s="455"/>
    </row>
    <row r="119" spans="1:17" ht="14.55" customHeight="1">
      <c r="A119" s="449"/>
      <c r="B119" s="449"/>
      <c r="C119" s="450"/>
      <c r="D119" s="450"/>
      <c r="E119" s="450"/>
      <c r="F119" s="450"/>
      <c r="G119" s="450"/>
      <c r="H119" s="450"/>
      <c r="I119" s="450"/>
      <c r="J119" s="450"/>
      <c r="K119" s="325"/>
      <c r="L119" s="325"/>
      <c r="M119" s="459"/>
      <c r="N119" s="459"/>
      <c r="O119" s="456"/>
      <c r="P119" s="457"/>
      <c r="Q119" s="458"/>
    </row>
    <row r="120" spans="1:17" ht="14.55" customHeight="1">
      <c r="A120" s="449"/>
      <c r="B120" s="449"/>
      <c r="C120" s="450"/>
      <c r="D120" s="450"/>
      <c r="E120" s="450"/>
      <c r="F120" s="450"/>
      <c r="G120" s="450"/>
      <c r="H120" s="450"/>
      <c r="I120" s="450"/>
      <c r="J120" s="450"/>
      <c r="K120" s="325"/>
      <c r="L120" s="325"/>
      <c r="M120" s="11" t="s">
        <v>23</v>
      </c>
      <c r="N120" s="11" t="s">
        <v>20</v>
      </c>
      <c r="O120" s="451"/>
      <c r="P120" s="452"/>
      <c r="Q120" s="453"/>
    </row>
    <row r="121" spans="1:17" ht="14.55" customHeight="1">
      <c r="A121" s="449"/>
      <c r="B121" s="449"/>
      <c r="C121" s="450"/>
      <c r="D121" s="450"/>
      <c r="E121" s="450"/>
      <c r="F121" s="450"/>
      <c r="G121" s="450"/>
      <c r="H121" s="450"/>
      <c r="I121" s="450"/>
      <c r="J121" s="450"/>
      <c r="K121" s="325"/>
      <c r="L121" s="325"/>
      <c r="M121" s="459"/>
      <c r="N121" s="459"/>
      <c r="O121" s="454"/>
      <c r="P121" s="450"/>
      <c r="Q121" s="455"/>
    </row>
    <row r="122" spans="1:17" ht="14.55" customHeight="1">
      <c r="A122" s="449"/>
      <c r="B122" s="449"/>
      <c r="C122" s="450"/>
      <c r="D122" s="450"/>
      <c r="E122" s="450"/>
      <c r="F122" s="450"/>
      <c r="G122" s="450"/>
      <c r="H122" s="450"/>
      <c r="I122" s="450"/>
      <c r="J122" s="450"/>
      <c r="K122" s="325"/>
      <c r="L122" s="325"/>
      <c r="M122" s="459"/>
      <c r="N122" s="459"/>
      <c r="O122" s="456"/>
      <c r="P122" s="457"/>
      <c r="Q122" s="458"/>
    </row>
    <row r="123" spans="1:17" ht="14.55" customHeight="1">
      <c r="A123" s="449"/>
      <c r="B123" s="449"/>
      <c r="C123" s="450"/>
      <c r="D123" s="450"/>
      <c r="E123" s="450"/>
      <c r="F123" s="450"/>
      <c r="G123" s="450"/>
      <c r="H123" s="450"/>
      <c r="I123" s="450"/>
      <c r="J123" s="450"/>
      <c r="K123" s="325"/>
      <c r="L123" s="325"/>
      <c r="M123" s="11" t="s">
        <v>23</v>
      </c>
      <c r="N123" s="11" t="s">
        <v>20</v>
      </c>
      <c r="O123" s="451"/>
      <c r="P123" s="452"/>
      <c r="Q123" s="453"/>
    </row>
    <row r="124" spans="1:17" ht="14.55" customHeight="1">
      <c r="A124" s="449"/>
      <c r="B124" s="449"/>
      <c r="C124" s="450"/>
      <c r="D124" s="450"/>
      <c r="E124" s="450"/>
      <c r="F124" s="450"/>
      <c r="G124" s="450"/>
      <c r="H124" s="450"/>
      <c r="I124" s="450"/>
      <c r="J124" s="450"/>
      <c r="K124" s="325"/>
      <c r="L124" s="325"/>
      <c r="M124" s="459"/>
      <c r="N124" s="459"/>
      <c r="O124" s="454"/>
      <c r="P124" s="450"/>
      <c r="Q124" s="455"/>
    </row>
    <row r="125" spans="1:17" ht="14.55" customHeight="1">
      <c r="A125" s="449"/>
      <c r="B125" s="449"/>
      <c r="C125" s="450"/>
      <c r="D125" s="450"/>
      <c r="E125" s="450"/>
      <c r="F125" s="450"/>
      <c r="G125" s="450"/>
      <c r="H125" s="450"/>
      <c r="I125" s="450"/>
      <c r="J125" s="450"/>
      <c r="K125" s="325"/>
      <c r="L125" s="325"/>
      <c r="M125" s="459"/>
      <c r="N125" s="459"/>
      <c r="O125" s="456"/>
      <c r="P125" s="457"/>
      <c r="Q125" s="458"/>
    </row>
    <row r="126" spans="1:17" ht="14.55" customHeight="1">
      <c r="A126" s="449"/>
      <c r="B126" s="449"/>
      <c r="C126" s="450"/>
      <c r="D126" s="450"/>
      <c r="E126" s="450"/>
      <c r="F126" s="450"/>
      <c r="G126" s="450"/>
      <c r="H126" s="450"/>
      <c r="I126" s="450"/>
      <c r="J126" s="450"/>
      <c r="K126" s="325"/>
      <c r="L126" s="325"/>
      <c r="M126" s="11" t="s">
        <v>23</v>
      </c>
      <c r="N126" s="11" t="s">
        <v>20</v>
      </c>
      <c r="O126" s="451"/>
      <c r="P126" s="452"/>
      <c r="Q126" s="453"/>
    </row>
    <row r="127" spans="1:17" ht="14.55" customHeight="1">
      <c r="A127" s="449"/>
      <c r="B127" s="449"/>
      <c r="C127" s="450"/>
      <c r="D127" s="450"/>
      <c r="E127" s="450"/>
      <c r="F127" s="450"/>
      <c r="G127" s="450"/>
      <c r="H127" s="450"/>
      <c r="I127" s="450"/>
      <c r="J127" s="450"/>
      <c r="K127" s="325"/>
      <c r="L127" s="325"/>
      <c r="M127" s="459"/>
      <c r="N127" s="459"/>
      <c r="O127" s="454"/>
      <c r="P127" s="450"/>
      <c r="Q127" s="455"/>
    </row>
    <row r="128" spans="1:17" ht="14.55" customHeight="1">
      <c r="A128" s="449"/>
      <c r="B128" s="449"/>
      <c r="C128" s="450"/>
      <c r="D128" s="450"/>
      <c r="E128" s="450"/>
      <c r="F128" s="450"/>
      <c r="G128" s="450"/>
      <c r="H128" s="450"/>
      <c r="I128" s="450"/>
      <c r="J128" s="450"/>
      <c r="K128" s="325"/>
      <c r="L128" s="325"/>
      <c r="M128" s="459"/>
      <c r="N128" s="459"/>
      <c r="O128" s="456"/>
      <c r="P128" s="457"/>
      <c r="Q128" s="458"/>
    </row>
    <row r="129" spans="1:17" ht="14.55" customHeight="1">
      <c r="A129" s="449"/>
      <c r="B129" s="449"/>
      <c r="C129" s="450"/>
      <c r="D129" s="450"/>
      <c r="E129" s="450"/>
      <c r="F129" s="450"/>
      <c r="G129" s="450"/>
      <c r="H129" s="450"/>
      <c r="I129" s="450"/>
      <c r="J129" s="450"/>
      <c r="K129" s="325"/>
      <c r="L129" s="325"/>
      <c r="M129" s="11" t="s">
        <v>23</v>
      </c>
      <c r="N129" s="11" t="s">
        <v>20</v>
      </c>
      <c r="O129" s="451"/>
      <c r="P129" s="452"/>
      <c r="Q129" s="453"/>
    </row>
    <row r="130" spans="1:17" ht="14.55" customHeight="1">
      <c r="A130" s="449"/>
      <c r="B130" s="449"/>
      <c r="C130" s="450"/>
      <c r="D130" s="450"/>
      <c r="E130" s="450"/>
      <c r="F130" s="450"/>
      <c r="G130" s="450"/>
      <c r="H130" s="450"/>
      <c r="I130" s="450"/>
      <c r="J130" s="450"/>
      <c r="K130" s="325"/>
      <c r="L130" s="325"/>
      <c r="M130" s="459"/>
      <c r="N130" s="459"/>
      <c r="O130" s="454"/>
      <c r="P130" s="450"/>
      <c r="Q130" s="455"/>
    </row>
    <row r="131" spans="1:17" ht="14.55" customHeight="1">
      <c r="A131" s="449"/>
      <c r="B131" s="449"/>
      <c r="C131" s="450"/>
      <c r="D131" s="450"/>
      <c r="E131" s="450"/>
      <c r="F131" s="450"/>
      <c r="G131" s="450"/>
      <c r="H131" s="450"/>
      <c r="I131" s="450"/>
      <c r="J131" s="450"/>
      <c r="K131" s="325"/>
      <c r="L131" s="325"/>
      <c r="M131" s="459"/>
      <c r="N131" s="459"/>
      <c r="O131" s="456"/>
      <c r="P131" s="457"/>
      <c r="Q131" s="458"/>
    </row>
    <row r="132" spans="1:17" ht="14.55" customHeight="1">
      <c r="A132" s="449"/>
      <c r="B132" s="449"/>
      <c r="C132" s="450"/>
      <c r="D132" s="450"/>
      <c r="E132" s="450"/>
      <c r="F132" s="450"/>
      <c r="G132" s="450"/>
      <c r="H132" s="450"/>
      <c r="I132" s="450"/>
      <c r="J132" s="450"/>
      <c r="K132" s="325"/>
      <c r="L132" s="325"/>
      <c r="M132" s="11" t="s">
        <v>23</v>
      </c>
      <c r="N132" s="11" t="s">
        <v>20</v>
      </c>
      <c r="O132" s="451"/>
      <c r="P132" s="452"/>
      <c r="Q132" s="453"/>
    </row>
    <row r="133" spans="1:17" ht="14.55" customHeight="1">
      <c r="A133" s="449"/>
      <c r="B133" s="449"/>
      <c r="C133" s="450"/>
      <c r="D133" s="450"/>
      <c r="E133" s="450"/>
      <c r="F133" s="450"/>
      <c r="G133" s="450"/>
      <c r="H133" s="450"/>
      <c r="I133" s="450"/>
      <c r="J133" s="450"/>
      <c r="K133" s="325"/>
      <c r="L133" s="325"/>
      <c r="M133" s="459"/>
      <c r="N133" s="459"/>
      <c r="O133" s="454"/>
      <c r="P133" s="450"/>
      <c r="Q133" s="455"/>
    </row>
    <row r="134" spans="1:17" ht="14.55" customHeight="1">
      <c r="A134" s="449"/>
      <c r="B134" s="449"/>
      <c r="C134" s="450"/>
      <c r="D134" s="450"/>
      <c r="E134" s="450"/>
      <c r="F134" s="450"/>
      <c r="G134" s="450"/>
      <c r="H134" s="450"/>
      <c r="I134" s="450"/>
      <c r="J134" s="450"/>
      <c r="K134" s="325"/>
      <c r="L134" s="325"/>
      <c r="M134" s="459"/>
      <c r="N134" s="459"/>
      <c r="O134" s="456"/>
      <c r="P134" s="457"/>
      <c r="Q134" s="458"/>
    </row>
    <row r="135" spans="1:17" ht="14.55" customHeight="1">
      <c r="A135" s="449"/>
      <c r="B135" s="449"/>
      <c r="C135" s="450"/>
      <c r="D135" s="450"/>
      <c r="E135" s="450"/>
      <c r="F135" s="450"/>
      <c r="G135" s="450"/>
      <c r="H135" s="450"/>
      <c r="I135" s="450"/>
      <c r="J135" s="450"/>
      <c r="K135" s="325"/>
      <c r="L135" s="325"/>
      <c r="M135" s="11" t="s">
        <v>23</v>
      </c>
      <c r="N135" s="11" t="s">
        <v>20</v>
      </c>
      <c r="O135" s="451"/>
      <c r="P135" s="452"/>
      <c r="Q135" s="453"/>
    </row>
    <row r="136" spans="1:17" ht="14.55" customHeight="1">
      <c r="A136" s="449"/>
      <c r="B136" s="449"/>
      <c r="C136" s="450"/>
      <c r="D136" s="450"/>
      <c r="E136" s="450"/>
      <c r="F136" s="450"/>
      <c r="G136" s="450"/>
      <c r="H136" s="450"/>
      <c r="I136" s="450"/>
      <c r="J136" s="450"/>
      <c r="K136" s="325"/>
      <c r="L136" s="325"/>
      <c r="M136" s="459"/>
      <c r="N136" s="459"/>
      <c r="O136" s="454"/>
      <c r="P136" s="450"/>
      <c r="Q136" s="455"/>
    </row>
    <row r="137" spans="1:17" ht="14.55" customHeight="1">
      <c r="A137" s="449"/>
      <c r="B137" s="449"/>
      <c r="C137" s="450"/>
      <c r="D137" s="450"/>
      <c r="E137" s="450"/>
      <c r="F137" s="450"/>
      <c r="G137" s="450"/>
      <c r="H137" s="450"/>
      <c r="I137" s="450"/>
      <c r="J137" s="450"/>
      <c r="K137" s="325"/>
      <c r="L137" s="325"/>
      <c r="M137" s="459"/>
      <c r="N137" s="459"/>
      <c r="O137" s="456"/>
      <c r="P137" s="457"/>
      <c r="Q137" s="458"/>
    </row>
    <row r="138" spans="1:17" ht="14.55" customHeight="1">
      <c r="A138" s="449"/>
      <c r="B138" s="449"/>
      <c r="C138" s="450"/>
      <c r="D138" s="450"/>
      <c r="E138" s="450"/>
      <c r="F138" s="450"/>
      <c r="G138" s="450"/>
      <c r="H138" s="450"/>
      <c r="I138" s="450"/>
      <c r="J138" s="450"/>
      <c r="K138" s="325"/>
      <c r="L138" s="325"/>
      <c r="M138" s="11" t="s">
        <v>23</v>
      </c>
      <c r="N138" s="11" t="s">
        <v>20</v>
      </c>
      <c r="O138" s="451"/>
      <c r="P138" s="452"/>
      <c r="Q138" s="453"/>
    </row>
    <row r="139" spans="1:17" ht="14.55" customHeight="1">
      <c r="A139" s="449"/>
      <c r="B139" s="449"/>
      <c r="C139" s="450"/>
      <c r="D139" s="450"/>
      <c r="E139" s="450"/>
      <c r="F139" s="450"/>
      <c r="G139" s="450"/>
      <c r="H139" s="450"/>
      <c r="I139" s="450"/>
      <c r="J139" s="450"/>
      <c r="K139" s="325"/>
      <c r="L139" s="325"/>
      <c r="M139" s="459"/>
      <c r="N139" s="459"/>
      <c r="O139" s="454"/>
      <c r="P139" s="450"/>
      <c r="Q139" s="455"/>
    </row>
    <row r="140" spans="1:17" ht="14.55" customHeight="1">
      <c r="A140" s="449"/>
      <c r="B140" s="449"/>
      <c r="C140" s="450"/>
      <c r="D140" s="450"/>
      <c r="E140" s="450"/>
      <c r="F140" s="450"/>
      <c r="G140" s="450"/>
      <c r="H140" s="450"/>
      <c r="I140" s="450"/>
      <c r="J140" s="450"/>
      <c r="K140" s="325"/>
      <c r="L140" s="325"/>
      <c r="M140" s="459"/>
      <c r="N140" s="459"/>
      <c r="O140" s="456"/>
      <c r="P140" s="457"/>
      <c r="Q140" s="458"/>
    </row>
    <row r="141" spans="1:17" ht="14.55" customHeight="1">
      <c r="A141" s="449"/>
      <c r="B141" s="449"/>
      <c r="C141" s="450"/>
      <c r="D141" s="450"/>
      <c r="E141" s="450"/>
      <c r="F141" s="450"/>
      <c r="G141" s="450"/>
      <c r="H141" s="450"/>
      <c r="I141" s="450"/>
      <c r="J141" s="450"/>
      <c r="K141" s="325"/>
      <c r="L141" s="325"/>
      <c r="M141" s="11" t="s">
        <v>23</v>
      </c>
      <c r="N141" s="11" t="s">
        <v>20</v>
      </c>
      <c r="O141" s="451"/>
      <c r="P141" s="452"/>
      <c r="Q141" s="453"/>
    </row>
    <row r="142" spans="1:17" ht="14.55" customHeight="1">
      <c r="A142" s="449"/>
      <c r="B142" s="449"/>
      <c r="C142" s="450"/>
      <c r="D142" s="450"/>
      <c r="E142" s="450"/>
      <c r="F142" s="450"/>
      <c r="G142" s="450"/>
      <c r="H142" s="450"/>
      <c r="I142" s="450"/>
      <c r="J142" s="450"/>
      <c r="K142" s="325"/>
      <c r="L142" s="325"/>
      <c r="M142" s="459"/>
      <c r="N142" s="459"/>
      <c r="O142" s="454"/>
      <c r="P142" s="450"/>
      <c r="Q142" s="455"/>
    </row>
    <row r="143" spans="1:17" ht="14.55" customHeight="1">
      <c r="A143" s="449"/>
      <c r="B143" s="449"/>
      <c r="C143" s="450"/>
      <c r="D143" s="450"/>
      <c r="E143" s="450"/>
      <c r="F143" s="450"/>
      <c r="G143" s="450"/>
      <c r="H143" s="450"/>
      <c r="I143" s="450"/>
      <c r="J143" s="450"/>
      <c r="K143" s="325"/>
      <c r="L143" s="325"/>
      <c r="M143" s="459"/>
      <c r="N143" s="459"/>
      <c r="O143" s="456"/>
      <c r="P143" s="457"/>
      <c r="Q143" s="458"/>
    </row>
    <row r="144" spans="1:17" ht="14.55" customHeight="1">
      <c r="A144" s="449"/>
      <c r="B144" s="449"/>
      <c r="C144" s="450"/>
      <c r="D144" s="450"/>
      <c r="E144" s="450"/>
      <c r="F144" s="450"/>
      <c r="G144" s="450"/>
      <c r="H144" s="450"/>
      <c r="I144" s="450"/>
      <c r="J144" s="450"/>
      <c r="K144" s="325"/>
      <c r="L144" s="325"/>
      <c r="M144" s="11" t="s">
        <v>23</v>
      </c>
      <c r="N144" s="11" t="s">
        <v>20</v>
      </c>
      <c r="O144" s="451"/>
      <c r="P144" s="452"/>
      <c r="Q144" s="453"/>
    </row>
    <row r="145" spans="1:17" ht="14.55" customHeight="1">
      <c r="A145" s="449"/>
      <c r="B145" s="449"/>
      <c r="C145" s="450"/>
      <c r="D145" s="450"/>
      <c r="E145" s="450"/>
      <c r="F145" s="450"/>
      <c r="G145" s="450"/>
      <c r="H145" s="450"/>
      <c r="I145" s="450"/>
      <c r="J145" s="450"/>
      <c r="K145" s="325"/>
      <c r="L145" s="325"/>
      <c r="M145" s="459"/>
      <c r="N145" s="459"/>
      <c r="O145" s="454"/>
      <c r="P145" s="450"/>
      <c r="Q145" s="455"/>
    </row>
    <row r="146" spans="1:17" ht="14.55" customHeight="1">
      <c r="A146" s="449"/>
      <c r="B146" s="449"/>
      <c r="C146" s="450"/>
      <c r="D146" s="450"/>
      <c r="E146" s="450"/>
      <c r="F146" s="450"/>
      <c r="G146" s="450"/>
      <c r="H146" s="450"/>
      <c r="I146" s="450"/>
      <c r="J146" s="450"/>
      <c r="K146" s="325"/>
      <c r="L146" s="325"/>
      <c r="M146" s="459"/>
      <c r="N146" s="459"/>
      <c r="O146" s="456"/>
      <c r="P146" s="457"/>
      <c r="Q146" s="458"/>
    </row>
    <row r="147" spans="1:17" ht="14.55" customHeight="1">
      <c r="A147" s="449"/>
      <c r="B147" s="449"/>
      <c r="C147" s="450"/>
      <c r="D147" s="450"/>
      <c r="E147" s="450"/>
      <c r="F147" s="450"/>
      <c r="G147" s="450"/>
      <c r="H147" s="450"/>
      <c r="I147" s="450"/>
      <c r="J147" s="450"/>
      <c r="K147" s="325"/>
      <c r="L147" s="325"/>
      <c r="M147" s="11" t="s">
        <v>23</v>
      </c>
      <c r="N147" s="11" t="s">
        <v>20</v>
      </c>
      <c r="O147" s="451"/>
      <c r="P147" s="452"/>
      <c r="Q147" s="453"/>
    </row>
    <row r="148" spans="1:17" ht="14.55" customHeight="1">
      <c r="A148" s="449"/>
      <c r="B148" s="449"/>
      <c r="C148" s="450"/>
      <c r="D148" s="450"/>
      <c r="E148" s="450"/>
      <c r="F148" s="450"/>
      <c r="G148" s="450"/>
      <c r="H148" s="450"/>
      <c r="I148" s="450"/>
      <c r="J148" s="450"/>
      <c r="K148" s="325"/>
      <c r="L148" s="325"/>
      <c r="M148" s="459"/>
      <c r="N148" s="459"/>
      <c r="O148" s="454"/>
      <c r="P148" s="450"/>
      <c r="Q148" s="455"/>
    </row>
    <row r="149" spans="1:17" ht="14.55" customHeight="1">
      <c r="A149" s="449"/>
      <c r="B149" s="449"/>
      <c r="C149" s="450"/>
      <c r="D149" s="450"/>
      <c r="E149" s="450"/>
      <c r="F149" s="450"/>
      <c r="G149" s="450"/>
      <c r="H149" s="450"/>
      <c r="I149" s="450"/>
      <c r="J149" s="450"/>
      <c r="K149" s="325"/>
      <c r="L149" s="325"/>
      <c r="M149" s="459"/>
      <c r="N149" s="459"/>
      <c r="O149" s="456"/>
      <c r="P149" s="457"/>
      <c r="Q149" s="458"/>
    </row>
    <row r="150" spans="1:17" ht="14.55" customHeight="1">
      <c r="A150" s="449"/>
      <c r="B150" s="449"/>
      <c r="C150" s="450"/>
      <c r="D150" s="450"/>
      <c r="E150" s="450"/>
      <c r="F150" s="450"/>
      <c r="G150" s="450"/>
      <c r="H150" s="450"/>
      <c r="I150" s="450"/>
      <c r="J150" s="450"/>
      <c r="K150" s="325"/>
      <c r="L150" s="325"/>
      <c r="M150" s="11" t="s">
        <v>23</v>
      </c>
      <c r="N150" s="11" t="s">
        <v>20</v>
      </c>
      <c r="O150" s="451"/>
      <c r="P150" s="452"/>
      <c r="Q150" s="453"/>
    </row>
    <row r="151" spans="1:17" ht="14.55" customHeight="1">
      <c r="A151" s="449"/>
      <c r="B151" s="449"/>
      <c r="C151" s="450"/>
      <c r="D151" s="450"/>
      <c r="E151" s="450"/>
      <c r="F151" s="450"/>
      <c r="G151" s="450"/>
      <c r="H151" s="450"/>
      <c r="I151" s="450"/>
      <c r="J151" s="450"/>
      <c r="K151" s="325"/>
      <c r="L151" s="325"/>
      <c r="M151" s="459"/>
      <c r="N151" s="459"/>
      <c r="O151" s="454"/>
      <c r="P151" s="450"/>
      <c r="Q151" s="455"/>
    </row>
    <row r="152" spans="1:17" ht="14.55" customHeight="1">
      <c r="A152" s="449"/>
      <c r="B152" s="449"/>
      <c r="C152" s="450"/>
      <c r="D152" s="450"/>
      <c r="E152" s="450"/>
      <c r="F152" s="450"/>
      <c r="G152" s="450"/>
      <c r="H152" s="450"/>
      <c r="I152" s="450"/>
      <c r="J152" s="450"/>
      <c r="K152" s="325"/>
      <c r="L152" s="325"/>
      <c r="M152" s="459"/>
      <c r="N152" s="459"/>
      <c r="O152" s="456"/>
      <c r="P152" s="457"/>
      <c r="Q152" s="458"/>
    </row>
    <row r="153" spans="1:17" ht="14.55" customHeight="1">
      <c r="A153" s="449"/>
      <c r="B153" s="449"/>
      <c r="C153" s="450"/>
      <c r="D153" s="450"/>
      <c r="E153" s="450"/>
      <c r="F153" s="450"/>
      <c r="G153" s="450"/>
      <c r="H153" s="450"/>
      <c r="I153" s="450"/>
      <c r="J153" s="450"/>
      <c r="K153" s="325"/>
      <c r="L153" s="325"/>
      <c r="M153" s="11" t="s">
        <v>23</v>
      </c>
      <c r="N153" s="11" t="s">
        <v>20</v>
      </c>
      <c r="O153" s="451"/>
      <c r="P153" s="452"/>
      <c r="Q153" s="453"/>
    </row>
    <row r="154" spans="1:17" ht="14.55" customHeight="1">
      <c r="A154" s="449"/>
      <c r="B154" s="449"/>
      <c r="C154" s="450"/>
      <c r="D154" s="450"/>
      <c r="E154" s="450"/>
      <c r="F154" s="450"/>
      <c r="G154" s="450"/>
      <c r="H154" s="450"/>
      <c r="I154" s="450"/>
      <c r="J154" s="450"/>
      <c r="K154" s="325"/>
      <c r="L154" s="325"/>
      <c r="M154" s="459"/>
      <c r="N154" s="459"/>
      <c r="O154" s="454"/>
      <c r="P154" s="450"/>
      <c r="Q154" s="455"/>
    </row>
    <row r="155" spans="1:17" ht="14.55" customHeight="1">
      <c r="A155" s="449"/>
      <c r="B155" s="449"/>
      <c r="C155" s="450"/>
      <c r="D155" s="450"/>
      <c r="E155" s="450"/>
      <c r="F155" s="450"/>
      <c r="G155" s="450"/>
      <c r="H155" s="450"/>
      <c r="I155" s="450"/>
      <c r="J155" s="450"/>
      <c r="K155" s="325"/>
      <c r="L155" s="325"/>
      <c r="M155" s="459"/>
      <c r="N155" s="459"/>
      <c r="O155" s="456"/>
      <c r="P155" s="457"/>
      <c r="Q155" s="458"/>
    </row>
    <row r="156" spans="1:17" ht="14.55" customHeight="1">
      <c r="A156" s="449"/>
      <c r="B156" s="449"/>
      <c r="C156" s="450"/>
      <c r="D156" s="450"/>
      <c r="E156" s="450"/>
      <c r="F156" s="450"/>
      <c r="G156" s="450"/>
      <c r="H156" s="450"/>
      <c r="I156" s="450"/>
      <c r="J156" s="450"/>
      <c r="K156" s="325"/>
      <c r="L156" s="325"/>
      <c r="M156" s="11" t="s">
        <v>23</v>
      </c>
      <c r="N156" s="11" t="s">
        <v>20</v>
      </c>
      <c r="O156" s="451"/>
      <c r="P156" s="452"/>
      <c r="Q156" s="453"/>
    </row>
    <row r="157" spans="1:17" ht="14.55" customHeight="1">
      <c r="A157" s="449"/>
      <c r="B157" s="449"/>
      <c r="C157" s="450"/>
      <c r="D157" s="450"/>
      <c r="E157" s="450"/>
      <c r="F157" s="450"/>
      <c r="G157" s="450"/>
      <c r="H157" s="450"/>
      <c r="I157" s="450"/>
      <c r="J157" s="450"/>
      <c r="K157" s="325"/>
      <c r="L157" s="325"/>
      <c r="M157" s="459"/>
      <c r="N157" s="459"/>
      <c r="O157" s="454"/>
      <c r="P157" s="450"/>
      <c r="Q157" s="455"/>
    </row>
    <row r="158" spans="1:17" ht="14.55" customHeight="1">
      <c r="A158" s="449"/>
      <c r="B158" s="449"/>
      <c r="C158" s="450"/>
      <c r="D158" s="450"/>
      <c r="E158" s="450"/>
      <c r="F158" s="450"/>
      <c r="G158" s="450"/>
      <c r="H158" s="450"/>
      <c r="I158" s="450"/>
      <c r="J158" s="450"/>
      <c r="K158" s="325"/>
      <c r="L158" s="325"/>
      <c r="M158" s="459"/>
      <c r="N158" s="459"/>
      <c r="O158" s="456"/>
      <c r="P158" s="457"/>
      <c r="Q158" s="458"/>
    </row>
    <row r="159" spans="1:17" ht="14.55" customHeight="1">
      <c r="A159" s="449"/>
      <c r="B159" s="449"/>
      <c r="C159" s="450"/>
      <c r="D159" s="450"/>
      <c r="E159" s="450"/>
      <c r="F159" s="450"/>
      <c r="G159" s="450"/>
      <c r="H159" s="450"/>
      <c r="I159" s="450"/>
      <c r="J159" s="450"/>
      <c r="K159" s="325"/>
      <c r="L159" s="325"/>
      <c r="M159" s="11" t="s">
        <v>23</v>
      </c>
      <c r="N159" s="11" t="s">
        <v>20</v>
      </c>
      <c r="O159" s="451"/>
      <c r="P159" s="452"/>
      <c r="Q159" s="453"/>
    </row>
    <row r="160" spans="1:17" ht="14.55" customHeight="1">
      <c r="A160" s="449"/>
      <c r="B160" s="449"/>
      <c r="C160" s="450"/>
      <c r="D160" s="450"/>
      <c r="E160" s="450"/>
      <c r="F160" s="450"/>
      <c r="G160" s="450"/>
      <c r="H160" s="450"/>
      <c r="I160" s="450"/>
      <c r="J160" s="450"/>
      <c r="K160" s="325"/>
      <c r="L160" s="325"/>
      <c r="M160" s="459"/>
      <c r="N160" s="459"/>
      <c r="O160" s="454"/>
      <c r="P160" s="450"/>
      <c r="Q160" s="455"/>
    </row>
    <row r="161" spans="1:17" ht="14.55" customHeight="1">
      <c r="A161" s="449"/>
      <c r="B161" s="449"/>
      <c r="C161" s="450"/>
      <c r="D161" s="450"/>
      <c r="E161" s="450"/>
      <c r="F161" s="450"/>
      <c r="G161" s="450"/>
      <c r="H161" s="450"/>
      <c r="I161" s="450"/>
      <c r="J161" s="450"/>
      <c r="K161" s="325"/>
      <c r="L161" s="325"/>
      <c r="M161" s="459"/>
      <c r="N161" s="459"/>
      <c r="O161" s="456"/>
      <c r="P161" s="457"/>
      <c r="Q161" s="458"/>
    </row>
    <row r="162" spans="1:17" ht="14.55" customHeight="1">
      <c r="A162" s="449"/>
      <c r="B162" s="449"/>
      <c r="C162" s="450"/>
      <c r="D162" s="450"/>
      <c r="E162" s="450"/>
      <c r="F162" s="450"/>
      <c r="G162" s="450"/>
      <c r="H162" s="450"/>
      <c r="I162" s="450"/>
      <c r="J162" s="450"/>
      <c r="K162" s="325"/>
      <c r="L162" s="325"/>
      <c r="M162" s="11" t="s">
        <v>23</v>
      </c>
      <c r="N162" s="11" t="s">
        <v>20</v>
      </c>
      <c r="O162" s="451"/>
      <c r="P162" s="452"/>
      <c r="Q162" s="453"/>
    </row>
    <row r="163" spans="1:17" ht="14.55" customHeight="1">
      <c r="A163" s="449"/>
      <c r="B163" s="449"/>
      <c r="C163" s="450"/>
      <c r="D163" s="450"/>
      <c r="E163" s="450"/>
      <c r="F163" s="450"/>
      <c r="G163" s="450"/>
      <c r="H163" s="450"/>
      <c r="I163" s="450"/>
      <c r="J163" s="450"/>
      <c r="K163" s="325"/>
      <c r="L163" s="325"/>
      <c r="M163" s="459"/>
      <c r="N163" s="459"/>
      <c r="O163" s="454"/>
      <c r="P163" s="450"/>
      <c r="Q163" s="455"/>
    </row>
    <row r="164" spans="1:17" ht="14.55" customHeight="1">
      <c r="A164" s="449"/>
      <c r="B164" s="449"/>
      <c r="C164" s="450"/>
      <c r="D164" s="450"/>
      <c r="E164" s="450"/>
      <c r="F164" s="450"/>
      <c r="G164" s="450"/>
      <c r="H164" s="450"/>
      <c r="I164" s="450"/>
      <c r="J164" s="450"/>
      <c r="K164" s="325"/>
      <c r="L164" s="325"/>
      <c r="M164" s="459"/>
      <c r="N164" s="459"/>
      <c r="O164" s="456"/>
      <c r="P164" s="457"/>
      <c r="Q164" s="458"/>
    </row>
    <row r="165" spans="1:17" ht="14.55" customHeight="1">
      <c r="A165" s="449"/>
      <c r="B165" s="449"/>
      <c r="C165" s="450"/>
      <c r="D165" s="450"/>
      <c r="E165" s="450"/>
      <c r="F165" s="450"/>
      <c r="G165" s="450"/>
      <c r="H165" s="450"/>
      <c r="I165" s="450"/>
      <c r="J165" s="450"/>
      <c r="K165" s="325"/>
      <c r="L165" s="325"/>
      <c r="M165" s="11" t="s">
        <v>23</v>
      </c>
      <c r="N165" s="11" t="s">
        <v>20</v>
      </c>
      <c r="O165" s="451"/>
      <c r="P165" s="452"/>
      <c r="Q165" s="453"/>
    </row>
    <row r="166" spans="1:17" ht="14.55" customHeight="1">
      <c r="A166" s="449"/>
      <c r="B166" s="449"/>
      <c r="C166" s="450"/>
      <c r="D166" s="450"/>
      <c r="E166" s="450"/>
      <c r="F166" s="450"/>
      <c r="G166" s="450"/>
      <c r="H166" s="450"/>
      <c r="I166" s="450"/>
      <c r="J166" s="450"/>
      <c r="K166" s="325"/>
      <c r="L166" s="325"/>
      <c r="M166" s="459"/>
      <c r="N166" s="459"/>
      <c r="O166" s="454"/>
      <c r="P166" s="450"/>
      <c r="Q166" s="455"/>
    </row>
    <row r="167" spans="1:17" ht="14.55" customHeight="1">
      <c r="A167" s="449"/>
      <c r="B167" s="449"/>
      <c r="C167" s="450"/>
      <c r="D167" s="450"/>
      <c r="E167" s="450"/>
      <c r="F167" s="450"/>
      <c r="G167" s="450"/>
      <c r="H167" s="450"/>
      <c r="I167" s="450"/>
      <c r="J167" s="450"/>
      <c r="K167" s="325"/>
      <c r="L167" s="325"/>
      <c r="M167" s="459"/>
      <c r="N167" s="459"/>
      <c r="O167" s="456"/>
      <c r="P167" s="457"/>
      <c r="Q167" s="458"/>
    </row>
    <row r="168" spans="1:17" ht="14.55" customHeight="1">
      <c r="A168" s="449"/>
      <c r="B168" s="449"/>
      <c r="C168" s="450"/>
      <c r="D168" s="450"/>
      <c r="E168" s="450"/>
      <c r="F168" s="450"/>
      <c r="G168" s="450"/>
      <c r="H168" s="450"/>
      <c r="I168" s="450"/>
      <c r="J168" s="450"/>
      <c r="K168" s="325"/>
      <c r="L168" s="325"/>
      <c r="M168" s="11" t="s">
        <v>23</v>
      </c>
      <c r="N168" s="11" t="s">
        <v>20</v>
      </c>
      <c r="O168" s="451"/>
      <c r="P168" s="452"/>
      <c r="Q168" s="453"/>
    </row>
    <row r="169" spans="1:17" ht="14.55" customHeight="1">
      <c r="A169" s="449"/>
      <c r="B169" s="449"/>
      <c r="C169" s="450"/>
      <c r="D169" s="450"/>
      <c r="E169" s="450"/>
      <c r="F169" s="450"/>
      <c r="G169" s="450"/>
      <c r="H169" s="450"/>
      <c r="I169" s="450"/>
      <c r="J169" s="450"/>
      <c r="K169" s="325"/>
      <c r="L169" s="325"/>
      <c r="M169" s="459"/>
      <c r="N169" s="459"/>
      <c r="O169" s="454"/>
      <c r="P169" s="450"/>
      <c r="Q169" s="455"/>
    </row>
    <row r="170" spans="1:17" ht="14.55" customHeight="1">
      <c r="A170" s="449"/>
      <c r="B170" s="449"/>
      <c r="C170" s="450"/>
      <c r="D170" s="450"/>
      <c r="E170" s="450"/>
      <c r="F170" s="450"/>
      <c r="G170" s="450"/>
      <c r="H170" s="450"/>
      <c r="I170" s="450"/>
      <c r="J170" s="450"/>
      <c r="K170" s="325"/>
      <c r="L170" s="325"/>
      <c r="M170" s="459"/>
      <c r="N170" s="459"/>
      <c r="O170" s="456"/>
      <c r="P170" s="457"/>
      <c r="Q170" s="458"/>
    </row>
    <row r="171" spans="1:17" ht="14.55" customHeight="1">
      <c r="A171" s="449"/>
      <c r="B171" s="449"/>
      <c r="C171" s="450"/>
      <c r="D171" s="450"/>
      <c r="E171" s="450"/>
      <c r="F171" s="450"/>
      <c r="G171" s="450"/>
      <c r="H171" s="450"/>
      <c r="I171" s="450"/>
      <c r="J171" s="450"/>
      <c r="K171" s="325"/>
      <c r="L171" s="325"/>
      <c r="M171" s="11" t="s">
        <v>23</v>
      </c>
      <c r="N171" s="11" t="s">
        <v>20</v>
      </c>
      <c r="O171" s="451"/>
      <c r="P171" s="452"/>
      <c r="Q171" s="453"/>
    </row>
    <row r="172" spans="1:17" ht="14.55" customHeight="1">
      <c r="A172" s="449"/>
      <c r="B172" s="449"/>
      <c r="C172" s="450"/>
      <c r="D172" s="450"/>
      <c r="E172" s="450"/>
      <c r="F172" s="450"/>
      <c r="G172" s="450"/>
      <c r="H172" s="450"/>
      <c r="I172" s="450"/>
      <c r="J172" s="450"/>
      <c r="K172" s="325"/>
      <c r="L172" s="325"/>
      <c r="M172" s="459"/>
      <c r="N172" s="459"/>
      <c r="O172" s="454"/>
      <c r="P172" s="450"/>
      <c r="Q172" s="455"/>
    </row>
    <row r="173" spans="1:17" ht="14.55" customHeight="1">
      <c r="A173" s="449"/>
      <c r="B173" s="449"/>
      <c r="C173" s="450"/>
      <c r="D173" s="450"/>
      <c r="E173" s="450"/>
      <c r="F173" s="450"/>
      <c r="G173" s="450"/>
      <c r="H173" s="450"/>
      <c r="I173" s="450"/>
      <c r="J173" s="450"/>
      <c r="K173" s="325"/>
      <c r="L173" s="325"/>
      <c r="M173" s="459"/>
      <c r="N173" s="459"/>
      <c r="O173" s="456"/>
      <c r="P173" s="457"/>
      <c r="Q173" s="458"/>
    </row>
    <row r="174" spans="1:17" ht="14.55" customHeight="1">
      <c r="A174" s="449"/>
      <c r="B174" s="449"/>
      <c r="C174" s="450"/>
      <c r="D174" s="450"/>
      <c r="E174" s="450"/>
      <c r="F174" s="450"/>
      <c r="G174" s="450"/>
      <c r="H174" s="450"/>
      <c r="I174" s="450"/>
      <c r="J174" s="450"/>
      <c r="K174" s="325"/>
      <c r="L174" s="325"/>
      <c r="M174" s="11" t="s">
        <v>23</v>
      </c>
      <c r="N174" s="11" t="s">
        <v>20</v>
      </c>
      <c r="O174" s="451"/>
      <c r="P174" s="452"/>
      <c r="Q174" s="453"/>
    </row>
    <row r="175" spans="1:17" ht="14.55" customHeight="1">
      <c r="A175" s="449"/>
      <c r="B175" s="449"/>
      <c r="C175" s="450"/>
      <c r="D175" s="450"/>
      <c r="E175" s="450"/>
      <c r="F175" s="450"/>
      <c r="G175" s="450"/>
      <c r="H175" s="450"/>
      <c r="I175" s="450"/>
      <c r="J175" s="450"/>
      <c r="K175" s="325"/>
      <c r="L175" s="325"/>
      <c r="M175" s="459"/>
      <c r="N175" s="459"/>
      <c r="O175" s="454"/>
      <c r="P175" s="450"/>
      <c r="Q175" s="455"/>
    </row>
    <row r="176" spans="1:17" ht="14.55" customHeight="1">
      <c r="A176" s="449"/>
      <c r="B176" s="449"/>
      <c r="C176" s="450"/>
      <c r="D176" s="450"/>
      <c r="E176" s="450"/>
      <c r="F176" s="450"/>
      <c r="G176" s="450"/>
      <c r="H176" s="450"/>
      <c r="I176" s="450"/>
      <c r="J176" s="450"/>
      <c r="K176" s="325"/>
      <c r="L176" s="325"/>
      <c r="M176" s="459"/>
      <c r="N176" s="459"/>
      <c r="O176" s="456"/>
      <c r="P176" s="457"/>
      <c r="Q176" s="458"/>
    </row>
    <row r="177" spans="1:17" ht="14.55" customHeight="1">
      <c r="A177" s="449"/>
      <c r="B177" s="449"/>
      <c r="C177" s="450"/>
      <c r="D177" s="450"/>
      <c r="E177" s="450"/>
      <c r="F177" s="450"/>
      <c r="G177" s="450"/>
      <c r="H177" s="450"/>
      <c r="I177" s="450"/>
      <c r="J177" s="450"/>
      <c r="K177" s="325"/>
      <c r="L177" s="325"/>
      <c r="M177" s="11" t="s">
        <v>23</v>
      </c>
      <c r="N177" s="11" t="s">
        <v>20</v>
      </c>
      <c r="O177" s="451"/>
      <c r="P177" s="452"/>
      <c r="Q177" s="453"/>
    </row>
    <row r="178" spans="1:17" ht="14.55" customHeight="1">
      <c r="A178" s="449"/>
      <c r="B178" s="449"/>
      <c r="C178" s="450"/>
      <c r="D178" s="450"/>
      <c r="E178" s="450"/>
      <c r="F178" s="450"/>
      <c r="G178" s="450"/>
      <c r="H178" s="450"/>
      <c r="I178" s="450"/>
      <c r="J178" s="450"/>
      <c r="K178" s="325"/>
      <c r="L178" s="325"/>
      <c r="M178" s="459"/>
      <c r="N178" s="459"/>
      <c r="O178" s="454"/>
      <c r="P178" s="450"/>
      <c r="Q178" s="455"/>
    </row>
    <row r="179" spans="1:17" ht="14.55" customHeight="1">
      <c r="A179" s="449"/>
      <c r="B179" s="449"/>
      <c r="C179" s="450"/>
      <c r="D179" s="450"/>
      <c r="E179" s="450"/>
      <c r="F179" s="450"/>
      <c r="G179" s="450"/>
      <c r="H179" s="450"/>
      <c r="I179" s="450"/>
      <c r="J179" s="450"/>
      <c r="K179" s="325"/>
      <c r="L179" s="325"/>
      <c r="M179" s="459"/>
      <c r="N179" s="459"/>
      <c r="O179" s="456"/>
      <c r="P179" s="457"/>
      <c r="Q179" s="458"/>
    </row>
    <row r="180" spans="1:17" ht="14.55" customHeight="1">
      <c r="A180" s="449"/>
      <c r="B180" s="449"/>
      <c r="C180" s="450"/>
      <c r="D180" s="450"/>
      <c r="E180" s="450"/>
      <c r="F180" s="450"/>
      <c r="G180" s="450"/>
      <c r="H180" s="450"/>
      <c r="I180" s="450"/>
      <c r="J180" s="450"/>
      <c r="K180" s="325"/>
      <c r="L180" s="325"/>
      <c r="M180" s="11" t="s">
        <v>23</v>
      </c>
      <c r="N180" s="11" t="s">
        <v>20</v>
      </c>
      <c r="O180" s="451"/>
      <c r="P180" s="452"/>
      <c r="Q180" s="453"/>
    </row>
    <row r="181" spans="1:17" ht="14.55" customHeight="1">
      <c r="A181" s="449"/>
      <c r="B181" s="449"/>
      <c r="C181" s="450"/>
      <c r="D181" s="450"/>
      <c r="E181" s="450"/>
      <c r="F181" s="450"/>
      <c r="G181" s="450"/>
      <c r="H181" s="450"/>
      <c r="I181" s="450"/>
      <c r="J181" s="450"/>
      <c r="K181" s="325"/>
      <c r="L181" s="325"/>
      <c r="M181" s="459"/>
      <c r="N181" s="459"/>
      <c r="O181" s="454"/>
      <c r="P181" s="450"/>
      <c r="Q181" s="455"/>
    </row>
    <row r="182" spans="1:17" ht="14.55" customHeight="1">
      <c r="A182" s="449"/>
      <c r="B182" s="449"/>
      <c r="C182" s="450"/>
      <c r="D182" s="450"/>
      <c r="E182" s="450"/>
      <c r="F182" s="450"/>
      <c r="G182" s="450"/>
      <c r="H182" s="450"/>
      <c r="I182" s="450"/>
      <c r="J182" s="450"/>
      <c r="K182" s="325"/>
      <c r="L182" s="325"/>
      <c r="M182" s="459"/>
      <c r="N182" s="459"/>
      <c r="O182" s="456"/>
      <c r="P182" s="457"/>
      <c r="Q182" s="458"/>
    </row>
    <row r="183" spans="1:17" ht="14.55" customHeight="1">
      <c r="A183" s="449"/>
      <c r="B183" s="449"/>
      <c r="C183" s="450"/>
      <c r="D183" s="450"/>
      <c r="E183" s="450"/>
      <c r="F183" s="450"/>
      <c r="G183" s="450"/>
      <c r="H183" s="450"/>
      <c r="I183" s="450"/>
      <c r="J183" s="450"/>
      <c r="K183" s="325"/>
      <c r="L183" s="325"/>
      <c r="M183" s="11" t="s">
        <v>23</v>
      </c>
      <c r="N183" s="11" t="s">
        <v>20</v>
      </c>
      <c r="O183" s="451"/>
      <c r="P183" s="452"/>
      <c r="Q183" s="453"/>
    </row>
    <row r="184" spans="1:17" ht="14.55" customHeight="1">
      <c r="A184" s="449"/>
      <c r="B184" s="449"/>
      <c r="C184" s="450"/>
      <c r="D184" s="450"/>
      <c r="E184" s="450"/>
      <c r="F184" s="450"/>
      <c r="G184" s="450"/>
      <c r="H184" s="450"/>
      <c r="I184" s="450"/>
      <c r="J184" s="450"/>
      <c r="K184" s="325"/>
      <c r="L184" s="325"/>
      <c r="M184" s="459"/>
      <c r="N184" s="459"/>
      <c r="O184" s="454"/>
      <c r="P184" s="450"/>
      <c r="Q184" s="455"/>
    </row>
    <row r="185" spans="1:17" ht="14.55" customHeight="1">
      <c r="A185" s="449"/>
      <c r="B185" s="449"/>
      <c r="C185" s="450"/>
      <c r="D185" s="450"/>
      <c r="E185" s="450"/>
      <c r="F185" s="450"/>
      <c r="G185" s="450"/>
      <c r="H185" s="450"/>
      <c r="I185" s="450"/>
      <c r="J185" s="450"/>
      <c r="K185" s="325"/>
      <c r="L185" s="325"/>
      <c r="M185" s="459"/>
      <c r="N185" s="459"/>
      <c r="O185" s="456"/>
      <c r="P185" s="457"/>
      <c r="Q185" s="458"/>
    </row>
    <row r="186" spans="1:17" ht="14.55" customHeight="1">
      <c r="A186" s="449"/>
      <c r="B186" s="449"/>
      <c r="C186" s="450"/>
      <c r="D186" s="450"/>
      <c r="E186" s="450"/>
      <c r="F186" s="450"/>
      <c r="G186" s="450"/>
      <c r="H186" s="450"/>
      <c r="I186" s="450"/>
      <c r="J186" s="450"/>
      <c r="K186" s="325"/>
      <c r="L186" s="325"/>
      <c r="M186" s="11" t="s">
        <v>23</v>
      </c>
      <c r="N186" s="11" t="s">
        <v>20</v>
      </c>
      <c r="O186" s="451"/>
      <c r="P186" s="452"/>
      <c r="Q186" s="453"/>
    </row>
    <row r="187" spans="1:17" ht="14.55" customHeight="1">
      <c r="A187" s="449"/>
      <c r="B187" s="449"/>
      <c r="C187" s="450"/>
      <c r="D187" s="450"/>
      <c r="E187" s="450"/>
      <c r="F187" s="450"/>
      <c r="G187" s="450"/>
      <c r="H187" s="450"/>
      <c r="I187" s="450"/>
      <c r="J187" s="450"/>
      <c r="K187" s="325"/>
      <c r="L187" s="325"/>
      <c r="M187" s="459"/>
      <c r="N187" s="459"/>
      <c r="O187" s="454"/>
      <c r="P187" s="450"/>
      <c r="Q187" s="455"/>
    </row>
    <row r="188" spans="1:17" ht="14.55" customHeight="1">
      <c r="A188" s="449"/>
      <c r="B188" s="449"/>
      <c r="C188" s="450"/>
      <c r="D188" s="450"/>
      <c r="E188" s="450"/>
      <c r="F188" s="450"/>
      <c r="G188" s="450"/>
      <c r="H188" s="450"/>
      <c r="I188" s="450"/>
      <c r="J188" s="450"/>
      <c r="K188" s="325"/>
      <c r="L188" s="325"/>
      <c r="M188" s="459"/>
      <c r="N188" s="459"/>
      <c r="O188" s="456"/>
      <c r="P188" s="457"/>
      <c r="Q188" s="458"/>
    </row>
    <row r="189" spans="1:17" ht="14.55" customHeight="1">
      <c r="A189" s="449"/>
      <c r="B189" s="449"/>
      <c r="C189" s="450"/>
      <c r="D189" s="450"/>
      <c r="E189" s="450"/>
      <c r="F189" s="450"/>
      <c r="G189" s="450"/>
      <c r="H189" s="450"/>
      <c r="I189" s="450"/>
      <c r="J189" s="450"/>
      <c r="K189" s="325"/>
      <c r="L189" s="325"/>
      <c r="M189" s="11" t="s">
        <v>23</v>
      </c>
      <c r="N189" s="11" t="s">
        <v>20</v>
      </c>
      <c r="O189" s="451"/>
      <c r="P189" s="452"/>
      <c r="Q189" s="453"/>
    </row>
    <row r="190" spans="1:17" ht="14.55" customHeight="1">
      <c r="A190" s="449"/>
      <c r="B190" s="449"/>
      <c r="C190" s="450"/>
      <c r="D190" s="450"/>
      <c r="E190" s="450"/>
      <c r="F190" s="450"/>
      <c r="G190" s="450"/>
      <c r="H190" s="450"/>
      <c r="I190" s="450"/>
      <c r="J190" s="450"/>
      <c r="K190" s="325"/>
      <c r="L190" s="325"/>
      <c r="M190" s="459"/>
      <c r="N190" s="459"/>
      <c r="O190" s="454"/>
      <c r="P190" s="450"/>
      <c r="Q190" s="455"/>
    </row>
    <row r="191" spans="1:17" ht="14.55" customHeight="1">
      <c r="A191" s="449"/>
      <c r="B191" s="449"/>
      <c r="C191" s="450"/>
      <c r="D191" s="450"/>
      <c r="E191" s="450"/>
      <c r="F191" s="450"/>
      <c r="G191" s="450"/>
      <c r="H191" s="450"/>
      <c r="I191" s="450"/>
      <c r="J191" s="450"/>
      <c r="K191" s="325"/>
      <c r="L191" s="325"/>
      <c r="M191" s="459"/>
      <c r="N191" s="459"/>
      <c r="O191" s="456"/>
      <c r="P191" s="457"/>
      <c r="Q191" s="458"/>
    </row>
    <row r="192" spans="1:17" ht="14.55" customHeight="1">
      <c r="A192" s="449"/>
      <c r="B192" s="449"/>
      <c r="C192" s="450"/>
      <c r="D192" s="450"/>
      <c r="E192" s="450"/>
      <c r="F192" s="450"/>
      <c r="G192" s="450"/>
      <c r="H192" s="450"/>
      <c r="I192" s="450"/>
      <c r="J192" s="450"/>
      <c r="K192" s="325"/>
      <c r="L192" s="325"/>
      <c r="M192" s="11" t="s">
        <v>23</v>
      </c>
      <c r="N192" s="11" t="s">
        <v>20</v>
      </c>
      <c r="O192" s="451"/>
      <c r="P192" s="452"/>
      <c r="Q192" s="453"/>
    </row>
    <row r="193" spans="1:17" ht="14.55" customHeight="1">
      <c r="A193" s="449"/>
      <c r="B193" s="449"/>
      <c r="C193" s="450"/>
      <c r="D193" s="450"/>
      <c r="E193" s="450"/>
      <c r="F193" s="450"/>
      <c r="G193" s="450"/>
      <c r="H193" s="450"/>
      <c r="I193" s="450"/>
      <c r="J193" s="450"/>
      <c r="K193" s="325"/>
      <c r="L193" s="325"/>
      <c r="M193" s="459"/>
      <c r="N193" s="459"/>
      <c r="O193" s="454"/>
      <c r="P193" s="450"/>
      <c r="Q193" s="455"/>
    </row>
    <row r="194" spans="1:17" ht="14.55" customHeight="1">
      <c r="A194" s="449"/>
      <c r="B194" s="449"/>
      <c r="C194" s="450"/>
      <c r="D194" s="450"/>
      <c r="E194" s="450"/>
      <c r="F194" s="450"/>
      <c r="G194" s="450"/>
      <c r="H194" s="450"/>
      <c r="I194" s="450"/>
      <c r="J194" s="450"/>
      <c r="K194" s="325"/>
      <c r="L194" s="325"/>
      <c r="M194" s="459"/>
      <c r="N194" s="459"/>
      <c r="O194" s="456"/>
      <c r="P194" s="457"/>
      <c r="Q194" s="458"/>
    </row>
    <row r="195" spans="1:17" ht="14.55" customHeight="1">
      <c r="A195" s="449"/>
      <c r="B195" s="449"/>
      <c r="C195" s="450"/>
      <c r="D195" s="450"/>
      <c r="E195" s="450"/>
      <c r="F195" s="450"/>
      <c r="G195" s="450"/>
      <c r="H195" s="450"/>
      <c r="I195" s="450"/>
      <c r="J195" s="450"/>
      <c r="K195" s="325"/>
      <c r="L195" s="325"/>
      <c r="M195" s="11" t="s">
        <v>23</v>
      </c>
      <c r="N195" s="11" t="s">
        <v>20</v>
      </c>
      <c r="O195" s="451"/>
      <c r="P195" s="452"/>
      <c r="Q195" s="453"/>
    </row>
    <row r="196" spans="1:17" ht="14.55" customHeight="1">
      <c r="A196" s="449"/>
      <c r="B196" s="449"/>
      <c r="C196" s="450"/>
      <c r="D196" s="450"/>
      <c r="E196" s="450"/>
      <c r="F196" s="450"/>
      <c r="G196" s="450"/>
      <c r="H196" s="450"/>
      <c r="I196" s="450"/>
      <c r="J196" s="450"/>
      <c r="K196" s="325"/>
      <c r="L196" s="325"/>
      <c r="M196" s="459"/>
      <c r="N196" s="459"/>
      <c r="O196" s="454"/>
      <c r="P196" s="450"/>
      <c r="Q196" s="455"/>
    </row>
    <row r="197" spans="1:17" ht="14.55" customHeight="1">
      <c r="A197" s="449"/>
      <c r="B197" s="449"/>
      <c r="C197" s="450"/>
      <c r="D197" s="450"/>
      <c r="E197" s="450"/>
      <c r="F197" s="450"/>
      <c r="G197" s="450"/>
      <c r="H197" s="450"/>
      <c r="I197" s="450"/>
      <c r="J197" s="450"/>
      <c r="K197" s="325"/>
      <c r="L197" s="325"/>
      <c r="M197" s="459"/>
      <c r="N197" s="459"/>
      <c r="O197" s="456"/>
      <c r="P197" s="457"/>
      <c r="Q197" s="458"/>
    </row>
    <row r="198" spans="1:17" ht="14.55" customHeight="1">
      <c r="A198" s="449"/>
      <c r="B198" s="449"/>
      <c r="C198" s="450"/>
      <c r="D198" s="450"/>
      <c r="E198" s="450"/>
      <c r="F198" s="450"/>
      <c r="G198" s="450"/>
      <c r="H198" s="450"/>
      <c r="I198" s="450"/>
      <c r="J198" s="450"/>
      <c r="K198" s="325"/>
      <c r="L198" s="325"/>
      <c r="M198" s="11" t="s">
        <v>23</v>
      </c>
      <c r="N198" s="11" t="s">
        <v>20</v>
      </c>
      <c r="O198" s="451"/>
      <c r="P198" s="452"/>
      <c r="Q198" s="453"/>
    </row>
    <row r="199" spans="1:17" ht="14.55" customHeight="1">
      <c r="A199" s="449"/>
      <c r="B199" s="449"/>
      <c r="C199" s="450"/>
      <c r="D199" s="450"/>
      <c r="E199" s="450"/>
      <c r="F199" s="450"/>
      <c r="G199" s="450"/>
      <c r="H199" s="450"/>
      <c r="I199" s="450"/>
      <c r="J199" s="450"/>
      <c r="K199" s="325"/>
      <c r="L199" s="325"/>
      <c r="M199" s="459"/>
      <c r="N199" s="459"/>
      <c r="O199" s="454"/>
      <c r="P199" s="450"/>
      <c r="Q199" s="455"/>
    </row>
    <row r="200" spans="1:17" ht="14.55" customHeight="1">
      <c r="A200" s="449"/>
      <c r="B200" s="449"/>
      <c r="C200" s="450"/>
      <c r="D200" s="450"/>
      <c r="E200" s="450"/>
      <c r="F200" s="450"/>
      <c r="G200" s="450"/>
      <c r="H200" s="450"/>
      <c r="I200" s="450"/>
      <c r="J200" s="450"/>
      <c r="K200" s="325"/>
      <c r="L200" s="325"/>
      <c r="M200" s="459"/>
      <c r="N200" s="459"/>
      <c r="O200" s="456"/>
      <c r="P200" s="457"/>
      <c r="Q200" s="458"/>
    </row>
    <row r="201" spans="1:17" ht="14.55" customHeight="1">
      <c r="A201" s="449"/>
      <c r="B201" s="449"/>
      <c r="C201" s="450"/>
      <c r="D201" s="450"/>
      <c r="E201" s="450"/>
      <c r="F201" s="450"/>
      <c r="G201" s="450"/>
      <c r="H201" s="450"/>
      <c r="I201" s="450"/>
      <c r="J201" s="450"/>
      <c r="K201" s="325"/>
      <c r="L201" s="325"/>
      <c r="M201" s="11" t="s">
        <v>23</v>
      </c>
      <c r="N201" s="11" t="s">
        <v>20</v>
      </c>
      <c r="O201" s="451"/>
      <c r="P201" s="452"/>
      <c r="Q201" s="453"/>
    </row>
    <row r="202" spans="1:17" ht="14.55" customHeight="1">
      <c r="A202" s="449"/>
      <c r="B202" s="449"/>
      <c r="C202" s="450"/>
      <c r="D202" s="450"/>
      <c r="E202" s="450"/>
      <c r="F202" s="450"/>
      <c r="G202" s="450"/>
      <c r="H202" s="450"/>
      <c r="I202" s="450"/>
      <c r="J202" s="450"/>
      <c r="K202" s="325"/>
      <c r="L202" s="325"/>
      <c r="M202" s="459"/>
      <c r="N202" s="459"/>
      <c r="O202" s="454"/>
      <c r="P202" s="450"/>
      <c r="Q202" s="455"/>
    </row>
    <row r="203" spans="1:17" ht="14.55" customHeight="1">
      <c r="A203" s="449"/>
      <c r="B203" s="449"/>
      <c r="C203" s="450"/>
      <c r="D203" s="450"/>
      <c r="E203" s="450"/>
      <c r="F203" s="450"/>
      <c r="G203" s="450"/>
      <c r="H203" s="450"/>
      <c r="I203" s="450"/>
      <c r="J203" s="450"/>
      <c r="K203" s="325"/>
      <c r="L203" s="325"/>
      <c r="M203" s="459"/>
      <c r="N203" s="459"/>
      <c r="O203" s="456"/>
      <c r="P203" s="457"/>
      <c r="Q203" s="458"/>
    </row>
    <row r="204" spans="1:17" ht="14.55" customHeight="1">
      <c r="A204" s="449"/>
      <c r="B204" s="449"/>
      <c r="C204" s="450"/>
      <c r="D204" s="450"/>
      <c r="E204" s="450"/>
      <c r="F204" s="450"/>
      <c r="G204" s="450"/>
      <c r="H204" s="450"/>
      <c r="I204" s="450"/>
      <c r="J204" s="450"/>
      <c r="K204" s="325"/>
      <c r="L204" s="325"/>
      <c r="M204" s="11" t="s">
        <v>23</v>
      </c>
      <c r="N204" s="11" t="s">
        <v>20</v>
      </c>
      <c r="O204" s="451"/>
      <c r="P204" s="452"/>
      <c r="Q204" s="453"/>
    </row>
    <row r="205" spans="1:17" ht="14.55" customHeight="1">
      <c r="A205" s="449"/>
      <c r="B205" s="449"/>
      <c r="C205" s="450"/>
      <c r="D205" s="450"/>
      <c r="E205" s="450"/>
      <c r="F205" s="450"/>
      <c r="G205" s="450"/>
      <c r="H205" s="450"/>
      <c r="I205" s="450"/>
      <c r="J205" s="450"/>
      <c r="K205" s="325"/>
      <c r="L205" s="325"/>
      <c r="M205" s="459"/>
      <c r="N205" s="459"/>
      <c r="O205" s="454"/>
      <c r="P205" s="450"/>
      <c r="Q205" s="455"/>
    </row>
    <row r="206" spans="1:17" ht="14.55" customHeight="1">
      <c r="A206" s="449"/>
      <c r="B206" s="449"/>
      <c r="C206" s="450"/>
      <c r="D206" s="450"/>
      <c r="E206" s="450"/>
      <c r="F206" s="450"/>
      <c r="G206" s="450"/>
      <c r="H206" s="450"/>
      <c r="I206" s="450"/>
      <c r="J206" s="450"/>
      <c r="K206" s="325"/>
      <c r="L206" s="325"/>
      <c r="M206" s="459"/>
      <c r="N206" s="459"/>
      <c r="O206" s="456"/>
      <c r="P206" s="457"/>
      <c r="Q206" s="458"/>
    </row>
    <row r="207" spans="1:17" ht="14.55" customHeight="1">
      <c r="A207" s="449"/>
      <c r="B207" s="449"/>
      <c r="C207" s="450"/>
      <c r="D207" s="450"/>
      <c r="E207" s="450"/>
      <c r="F207" s="450"/>
      <c r="G207" s="450"/>
      <c r="H207" s="450"/>
      <c r="I207" s="450"/>
      <c r="J207" s="450"/>
      <c r="K207" s="325"/>
      <c r="L207" s="325"/>
      <c r="M207" s="11" t="s">
        <v>23</v>
      </c>
      <c r="N207" s="11" t="s">
        <v>20</v>
      </c>
      <c r="O207" s="451"/>
      <c r="P207" s="452"/>
      <c r="Q207" s="453"/>
    </row>
    <row r="208" spans="1:17" ht="14.55" customHeight="1">
      <c r="A208" s="449"/>
      <c r="B208" s="449"/>
      <c r="C208" s="450"/>
      <c r="D208" s="450"/>
      <c r="E208" s="450"/>
      <c r="F208" s="450"/>
      <c r="G208" s="450"/>
      <c r="H208" s="450"/>
      <c r="I208" s="450"/>
      <c r="J208" s="450"/>
      <c r="K208" s="325"/>
      <c r="L208" s="325"/>
      <c r="M208" s="459"/>
      <c r="N208" s="459"/>
      <c r="O208" s="454"/>
      <c r="P208" s="450"/>
      <c r="Q208" s="455"/>
    </row>
    <row r="209" spans="1:17" ht="14.55" customHeight="1">
      <c r="A209" s="449"/>
      <c r="B209" s="449"/>
      <c r="C209" s="450"/>
      <c r="D209" s="450"/>
      <c r="E209" s="450"/>
      <c r="F209" s="450"/>
      <c r="G209" s="450"/>
      <c r="H209" s="450"/>
      <c r="I209" s="450"/>
      <c r="J209" s="450"/>
      <c r="K209" s="325"/>
      <c r="L209" s="325"/>
      <c r="M209" s="459"/>
      <c r="N209" s="459"/>
      <c r="O209" s="456"/>
      <c r="P209" s="457"/>
      <c r="Q209" s="458"/>
    </row>
    <row r="210" spans="1:17" ht="14.55" customHeight="1">
      <c r="A210" s="449"/>
      <c r="B210" s="449"/>
      <c r="C210" s="450"/>
      <c r="D210" s="450"/>
      <c r="E210" s="450"/>
      <c r="F210" s="450"/>
      <c r="G210" s="450"/>
      <c r="H210" s="450"/>
      <c r="I210" s="450"/>
      <c r="J210" s="450"/>
      <c r="K210" s="325"/>
      <c r="L210" s="325"/>
      <c r="M210" s="11" t="s">
        <v>23</v>
      </c>
      <c r="N210" s="11" t="s">
        <v>20</v>
      </c>
      <c r="O210" s="451"/>
      <c r="P210" s="452"/>
      <c r="Q210" s="453"/>
    </row>
    <row r="211" spans="1:17" ht="14.55" customHeight="1">
      <c r="A211" s="449"/>
      <c r="B211" s="449"/>
      <c r="C211" s="450"/>
      <c r="D211" s="450"/>
      <c r="E211" s="450"/>
      <c r="F211" s="450"/>
      <c r="G211" s="450"/>
      <c r="H211" s="450"/>
      <c r="I211" s="450"/>
      <c r="J211" s="450"/>
      <c r="K211" s="325"/>
      <c r="L211" s="325"/>
      <c r="M211" s="459"/>
      <c r="N211" s="459"/>
      <c r="O211" s="454"/>
      <c r="P211" s="450"/>
      <c r="Q211" s="455"/>
    </row>
    <row r="212" spans="1:17" ht="14.55" customHeight="1">
      <c r="A212" s="449"/>
      <c r="B212" s="449"/>
      <c r="C212" s="450"/>
      <c r="D212" s="450"/>
      <c r="E212" s="450"/>
      <c r="F212" s="450"/>
      <c r="G212" s="450"/>
      <c r="H212" s="450"/>
      <c r="I212" s="450"/>
      <c r="J212" s="450"/>
      <c r="K212" s="325"/>
      <c r="L212" s="325"/>
      <c r="M212" s="459"/>
      <c r="N212" s="459"/>
      <c r="O212" s="456"/>
      <c r="P212" s="457"/>
      <c r="Q212" s="458"/>
    </row>
    <row r="213" spans="1:17" ht="14.55" customHeight="1">
      <c r="A213" s="449"/>
      <c r="B213" s="449"/>
      <c r="C213" s="450"/>
      <c r="D213" s="450"/>
      <c r="E213" s="450"/>
      <c r="F213" s="450"/>
      <c r="G213" s="450"/>
      <c r="H213" s="450"/>
      <c r="I213" s="450"/>
      <c r="J213" s="450"/>
      <c r="K213" s="325"/>
      <c r="L213" s="325"/>
      <c r="M213" s="11" t="s">
        <v>23</v>
      </c>
      <c r="N213" s="11" t="s">
        <v>20</v>
      </c>
      <c r="O213" s="451"/>
      <c r="P213" s="452"/>
      <c r="Q213" s="453"/>
    </row>
    <row r="214" spans="1:17" ht="14.55" customHeight="1">
      <c r="A214" s="449"/>
      <c r="B214" s="449"/>
      <c r="C214" s="450"/>
      <c r="D214" s="450"/>
      <c r="E214" s="450"/>
      <c r="F214" s="450"/>
      <c r="G214" s="450"/>
      <c r="H214" s="450"/>
      <c r="I214" s="450"/>
      <c r="J214" s="450"/>
      <c r="K214" s="325"/>
      <c r="L214" s="325"/>
      <c r="M214" s="459"/>
      <c r="N214" s="459"/>
      <c r="O214" s="454"/>
      <c r="P214" s="450"/>
      <c r="Q214" s="455"/>
    </row>
    <row r="215" spans="1:17" ht="14.55" customHeight="1">
      <c r="A215" s="449"/>
      <c r="B215" s="449"/>
      <c r="C215" s="450"/>
      <c r="D215" s="450"/>
      <c r="E215" s="450"/>
      <c r="F215" s="450"/>
      <c r="G215" s="450"/>
      <c r="H215" s="450"/>
      <c r="I215" s="450"/>
      <c r="J215" s="450"/>
      <c r="K215" s="325"/>
      <c r="L215" s="325"/>
      <c r="M215" s="459"/>
      <c r="N215" s="459"/>
      <c r="O215" s="456"/>
      <c r="P215" s="457"/>
      <c r="Q215" s="458"/>
    </row>
    <row r="216" spans="1:17" ht="14.55" customHeight="1">
      <c r="A216" s="449"/>
      <c r="B216" s="449"/>
      <c r="C216" s="450"/>
      <c r="D216" s="450"/>
      <c r="E216" s="450"/>
      <c r="F216" s="450"/>
      <c r="G216" s="450"/>
      <c r="H216" s="450"/>
      <c r="I216" s="450"/>
      <c r="J216" s="450"/>
      <c r="K216" s="325"/>
      <c r="L216" s="325"/>
      <c r="M216" s="11" t="s">
        <v>23</v>
      </c>
      <c r="N216" s="11" t="s">
        <v>20</v>
      </c>
      <c r="O216" s="451"/>
      <c r="P216" s="452"/>
      <c r="Q216" s="453"/>
    </row>
    <row r="217" spans="1:17" ht="14.55" customHeight="1">
      <c r="A217" s="449"/>
      <c r="B217" s="449"/>
      <c r="C217" s="450"/>
      <c r="D217" s="450"/>
      <c r="E217" s="450"/>
      <c r="F217" s="450"/>
      <c r="G217" s="450"/>
      <c r="H217" s="450"/>
      <c r="I217" s="450"/>
      <c r="J217" s="450"/>
      <c r="K217" s="325"/>
      <c r="L217" s="325"/>
      <c r="M217" s="459"/>
      <c r="N217" s="459"/>
      <c r="O217" s="454"/>
      <c r="P217" s="450"/>
      <c r="Q217" s="455"/>
    </row>
    <row r="218" spans="1:17" ht="14.55" customHeight="1">
      <c r="A218" s="449"/>
      <c r="B218" s="449"/>
      <c r="C218" s="450"/>
      <c r="D218" s="450"/>
      <c r="E218" s="450"/>
      <c r="F218" s="450"/>
      <c r="G218" s="450"/>
      <c r="H218" s="450"/>
      <c r="I218" s="450"/>
      <c r="J218" s="450"/>
      <c r="K218" s="325"/>
      <c r="L218" s="325"/>
      <c r="M218" s="459"/>
      <c r="N218" s="459"/>
      <c r="O218" s="456"/>
      <c r="P218" s="457"/>
      <c r="Q218" s="458"/>
    </row>
    <row r="219" spans="1:17" ht="14.55" customHeight="1">
      <c r="A219" s="449"/>
      <c r="B219" s="449"/>
      <c r="C219" s="450"/>
      <c r="D219" s="450"/>
      <c r="E219" s="450"/>
      <c r="F219" s="450"/>
      <c r="G219" s="450"/>
      <c r="H219" s="450"/>
      <c r="I219" s="450"/>
      <c r="J219" s="450"/>
      <c r="K219" s="325"/>
      <c r="L219" s="325"/>
      <c r="M219" s="11" t="s">
        <v>23</v>
      </c>
      <c r="N219" s="11" t="s">
        <v>20</v>
      </c>
      <c r="O219" s="451"/>
      <c r="P219" s="452"/>
      <c r="Q219" s="453"/>
    </row>
    <row r="220" spans="1:17" ht="14.55" customHeight="1">
      <c r="A220" s="449"/>
      <c r="B220" s="449"/>
      <c r="C220" s="450"/>
      <c r="D220" s="450"/>
      <c r="E220" s="450"/>
      <c r="F220" s="450"/>
      <c r="G220" s="450"/>
      <c r="H220" s="450"/>
      <c r="I220" s="450"/>
      <c r="J220" s="450"/>
      <c r="K220" s="325"/>
      <c r="L220" s="325"/>
      <c r="M220" s="459"/>
      <c r="N220" s="459"/>
      <c r="O220" s="454"/>
      <c r="P220" s="450"/>
      <c r="Q220" s="455"/>
    </row>
    <row r="221" spans="1:17" ht="14.55" customHeight="1">
      <c r="A221" s="449"/>
      <c r="B221" s="449"/>
      <c r="C221" s="450"/>
      <c r="D221" s="450"/>
      <c r="E221" s="450"/>
      <c r="F221" s="450"/>
      <c r="G221" s="450"/>
      <c r="H221" s="450"/>
      <c r="I221" s="450"/>
      <c r="J221" s="450"/>
      <c r="K221" s="325"/>
      <c r="L221" s="325"/>
      <c r="M221" s="459"/>
      <c r="N221" s="459"/>
      <c r="O221" s="456"/>
      <c r="P221" s="457"/>
      <c r="Q221" s="458"/>
    </row>
    <row r="222" spans="1:17" ht="14.55" customHeight="1">
      <c r="A222" s="449"/>
      <c r="B222" s="449"/>
      <c r="C222" s="450"/>
      <c r="D222" s="450"/>
      <c r="E222" s="450"/>
      <c r="F222" s="450"/>
      <c r="G222" s="450"/>
      <c r="H222" s="450"/>
      <c r="I222" s="450"/>
      <c r="J222" s="450"/>
      <c r="K222" s="325"/>
      <c r="L222" s="325"/>
      <c r="M222" s="11" t="s">
        <v>23</v>
      </c>
      <c r="N222" s="11" t="s">
        <v>20</v>
      </c>
      <c r="O222" s="451"/>
      <c r="P222" s="452"/>
      <c r="Q222" s="453"/>
    </row>
    <row r="223" spans="1:17" ht="14.55" customHeight="1">
      <c r="A223" s="449"/>
      <c r="B223" s="449"/>
      <c r="C223" s="450"/>
      <c r="D223" s="450"/>
      <c r="E223" s="450"/>
      <c r="F223" s="450"/>
      <c r="G223" s="450"/>
      <c r="H223" s="450"/>
      <c r="I223" s="450"/>
      <c r="J223" s="450"/>
      <c r="K223" s="325"/>
      <c r="L223" s="325"/>
      <c r="M223" s="459"/>
      <c r="N223" s="459"/>
      <c r="O223" s="454"/>
      <c r="P223" s="450"/>
      <c r="Q223" s="455"/>
    </row>
    <row r="224" spans="1:17" ht="14.55" customHeight="1">
      <c r="A224" s="449"/>
      <c r="B224" s="449"/>
      <c r="C224" s="450"/>
      <c r="D224" s="450"/>
      <c r="E224" s="450"/>
      <c r="F224" s="450"/>
      <c r="G224" s="450"/>
      <c r="H224" s="450"/>
      <c r="I224" s="450"/>
      <c r="J224" s="450"/>
      <c r="K224" s="325"/>
      <c r="L224" s="325"/>
      <c r="M224" s="459"/>
      <c r="N224" s="459"/>
      <c r="O224" s="456"/>
      <c r="P224" s="457"/>
      <c r="Q224" s="458"/>
    </row>
    <row r="225" spans="1:17" ht="14.55" customHeight="1">
      <c r="A225" s="449"/>
      <c r="B225" s="449"/>
      <c r="C225" s="450"/>
      <c r="D225" s="450"/>
      <c r="E225" s="450"/>
      <c r="F225" s="450"/>
      <c r="G225" s="450"/>
      <c r="H225" s="450"/>
      <c r="I225" s="450"/>
      <c r="J225" s="450"/>
      <c r="K225" s="325"/>
      <c r="L225" s="325"/>
      <c r="M225" s="11" t="s">
        <v>23</v>
      </c>
      <c r="N225" s="11" t="s">
        <v>20</v>
      </c>
      <c r="O225" s="451"/>
      <c r="P225" s="452"/>
      <c r="Q225" s="453"/>
    </row>
    <row r="226" spans="1:17" ht="14.55" customHeight="1">
      <c r="A226" s="449"/>
      <c r="B226" s="449"/>
      <c r="C226" s="450"/>
      <c r="D226" s="450"/>
      <c r="E226" s="450"/>
      <c r="F226" s="450"/>
      <c r="G226" s="450"/>
      <c r="H226" s="450"/>
      <c r="I226" s="450"/>
      <c r="J226" s="450"/>
      <c r="K226" s="325"/>
      <c r="L226" s="325"/>
      <c r="M226" s="459"/>
      <c r="N226" s="459"/>
      <c r="O226" s="454"/>
      <c r="P226" s="450"/>
      <c r="Q226" s="455"/>
    </row>
    <row r="227" spans="1:17" ht="14.55" customHeight="1">
      <c r="A227" s="449"/>
      <c r="B227" s="449"/>
      <c r="C227" s="450"/>
      <c r="D227" s="450"/>
      <c r="E227" s="450"/>
      <c r="F227" s="450"/>
      <c r="G227" s="450"/>
      <c r="H227" s="450"/>
      <c r="I227" s="450"/>
      <c r="J227" s="450"/>
      <c r="K227" s="325"/>
      <c r="L227" s="325"/>
      <c r="M227" s="459"/>
      <c r="N227" s="459"/>
      <c r="O227" s="456"/>
      <c r="P227" s="457"/>
      <c r="Q227" s="458"/>
    </row>
    <row r="228" spans="1:17" ht="14.55" customHeight="1">
      <c r="A228" s="449"/>
      <c r="B228" s="449"/>
      <c r="C228" s="450"/>
      <c r="D228" s="450"/>
      <c r="E228" s="450"/>
      <c r="F228" s="450"/>
      <c r="G228" s="450"/>
      <c r="H228" s="450"/>
      <c r="I228" s="450"/>
      <c r="J228" s="450"/>
      <c r="K228" s="325"/>
      <c r="L228" s="325"/>
      <c r="M228" s="11" t="s">
        <v>23</v>
      </c>
      <c r="N228" s="11" t="s">
        <v>20</v>
      </c>
      <c r="O228" s="451"/>
      <c r="P228" s="452"/>
      <c r="Q228" s="453"/>
    </row>
    <row r="229" spans="1:17" ht="14.55" customHeight="1">
      <c r="A229" s="449"/>
      <c r="B229" s="449"/>
      <c r="C229" s="450"/>
      <c r="D229" s="450"/>
      <c r="E229" s="450"/>
      <c r="F229" s="450"/>
      <c r="G229" s="450"/>
      <c r="H229" s="450"/>
      <c r="I229" s="450"/>
      <c r="J229" s="450"/>
      <c r="K229" s="325"/>
      <c r="L229" s="325"/>
      <c r="M229" s="459"/>
      <c r="N229" s="459"/>
      <c r="O229" s="454"/>
      <c r="P229" s="450"/>
      <c r="Q229" s="455"/>
    </row>
    <row r="230" spans="1:17" ht="14.55" customHeight="1">
      <c r="A230" s="449"/>
      <c r="B230" s="449"/>
      <c r="C230" s="450"/>
      <c r="D230" s="450"/>
      <c r="E230" s="450"/>
      <c r="F230" s="450"/>
      <c r="G230" s="450"/>
      <c r="H230" s="450"/>
      <c r="I230" s="450"/>
      <c r="J230" s="450"/>
      <c r="K230" s="325"/>
      <c r="L230" s="325"/>
      <c r="M230" s="459"/>
      <c r="N230" s="459"/>
      <c r="O230" s="456"/>
      <c r="P230" s="457"/>
      <c r="Q230" s="458"/>
    </row>
    <row r="231" spans="1:17" ht="14.55" customHeight="1">
      <c r="A231" s="449"/>
      <c r="B231" s="449"/>
      <c r="C231" s="450"/>
      <c r="D231" s="450"/>
      <c r="E231" s="450"/>
      <c r="F231" s="450"/>
      <c r="G231" s="450"/>
      <c r="H231" s="450"/>
      <c r="I231" s="450"/>
      <c r="J231" s="450"/>
      <c r="K231" s="325"/>
      <c r="L231" s="325"/>
      <c r="M231" s="11" t="s">
        <v>23</v>
      </c>
      <c r="N231" s="11" t="s">
        <v>20</v>
      </c>
      <c r="O231" s="451"/>
      <c r="P231" s="452"/>
      <c r="Q231" s="453"/>
    </row>
    <row r="232" spans="1:17" ht="14.55" customHeight="1">
      <c r="A232" s="449"/>
      <c r="B232" s="449"/>
      <c r="C232" s="450"/>
      <c r="D232" s="450"/>
      <c r="E232" s="450"/>
      <c r="F232" s="450"/>
      <c r="G232" s="450"/>
      <c r="H232" s="450"/>
      <c r="I232" s="450"/>
      <c r="J232" s="450"/>
      <c r="K232" s="325"/>
      <c r="L232" s="325"/>
      <c r="M232" s="459"/>
      <c r="N232" s="459"/>
      <c r="O232" s="454"/>
      <c r="P232" s="450"/>
      <c r="Q232" s="455"/>
    </row>
    <row r="233" spans="1:17" ht="14.55" customHeight="1">
      <c r="A233" s="449"/>
      <c r="B233" s="449"/>
      <c r="C233" s="450"/>
      <c r="D233" s="450"/>
      <c r="E233" s="450"/>
      <c r="F233" s="450"/>
      <c r="G233" s="450"/>
      <c r="H233" s="450"/>
      <c r="I233" s="450"/>
      <c r="J233" s="450"/>
      <c r="K233" s="325"/>
      <c r="L233" s="325"/>
      <c r="M233" s="459"/>
      <c r="N233" s="459"/>
      <c r="O233" s="456"/>
      <c r="P233" s="457"/>
      <c r="Q233" s="458"/>
    </row>
    <row r="234" spans="1:17" ht="14.55" customHeight="1">
      <c r="A234" s="449"/>
      <c r="B234" s="449"/>
      <c r="C234" s="450"/>
      <c r="D234" s="450"/>
      <c r="E234" s="450"/>
      <c r="F234" s="450"/>
      <c r="G234" s="450"/>
      <c r="H234" s="450"/>
      <c r="I234" s="450"/>
      <c r="J234" s="450"/>
      <c r="K234" s="325"/>
      <c r="L234" s="325"/>
      <c r="M234" s="11" t="s">
        <v>23</v>
      </c>
      <c r="N234" s="11" t="s">
        <v>20</v>
      </c>
      <c r="O234" s="451"/>
      <c r="P234" s="452"/>
      <c r="Q234" s="453"/>
    </row>
    <row r="235" spans="1:17" ht="14.55" customHeight="1">
      <c r="A235" s="449"/>
      <c r="B235" s="449"/>
      <c r="C235" s="450"/>
      <c r="D235" s="450"/>
      <c r="E235" s="450"/>
      <c r="F235" s="450"/>
      <c r="G235" s="450"/>
      <c r="H235" s="450"/>
      <c r="I235" s="450"/>
      <c r="J235" s="450"/>
      <c r="K235" s="325"/>
      <c r="L235" s="325"/>
      <c r="M235" s="459"/>
      <c r="N235" s="459"/>
      <c r="O235" s="454"/>
      <c r="P235" s="450"/>
      <c r="Q235" s="455"/>
    </row>
    <row r="236" spans="1:17" ht="14.55" customHeight="1">
      <c r="A236" s="449"/>
      <c r="B236" s="449"/>
      <c r="C236" s="450"/>
      <c r="D236" s="450"/>
      <c r="E236" s="450"/>
      <c r="F236" s="450"/>
      <c r="G236" s="450"/>
      <c r="H236" s="450"/>
      <c r="I236" s="450"/>
      <c r="J236" s="450"/>
      <c r="K236" s="325"/>
      <c r="L236" s="325"/>
      <c r="M236" s="459"/>
      <c r="N236" s="459"/>
      <c r="O236" s="456"/>
      <c r="P236" s="457"/>
      <c r="Q236" s="458"/>
    </row>
    <row r="237" spans="1:17" ht="14.55" customHeight="1">
      <c r="A237" s="449"/>
      <c r="B237" s="449"/>
      <c r="C237" s="450"/>
      <c r="D237" s="450"/>
      <c r="E237" s="450"/>
      <c r="F237" s="450"/>
      <c r="G237" s="450"/>
      <c r="H237" s="450"/>
      <c r="I237" s="450"/>
      <c r="J237" s="450"/>
      <c r="K237" s="325"/>
      <c r="L237" s="325"/>
      <c r="M237" s="11" t="s">
        <v>23</v>
      </c>
      <c r="N237" s="11" t="s">
        <v>20</v>
      </c>
      <c r="O237" s="451"/>
      <c r="P237" s="452"/>
      <c r="Q237" s="453"/>
    </row>
    <row r="238" spans="1:17" ht="14.55" customHeight="1">
      <c r="A238" s="449"/>
      <c r="B238" s="449"/>
      <c r="C238" s="450"/>
      <c r="D238" s="450"/>
      <c r="E238" s="450"/>
      <c r="F238" s="450"/>
      <c r="G238" s="450"/>
      <c r="H238" s="450"/>
      <c r="I238" s="450"/>
      <c r="J238" s="450"/>
      <c r="K238" s="325"/>
      <c r="L238" s="325"/>
      <c r="M238" s="459"/>
      <c r="N238" s="459"/>
      <c r="O238" s="454"/>
      <c r="P238" s="450"/>
      <c r="Q238" s="455"/>
    </row>
    <row r="239" spans="1:17" ht="14.55" customHeight="1">
      <c r="A239" s="449"/>
      <c r="B239" s="449"/>
      <c r="C239" s="450"/>
      <c r="D239" s="450"/>
      <c r="E239" s="450"/>
      <c r="F239" s="450"/>
      <c r="G239" s="450"/>
      <c r="H239" s="450"/>
      <c r="I239" s="450"/>
      <c r="J239" s="450"/>
      <c r="K239" s="325"/>
      <c r="L239" s="325"/>
      <c r="M239" s="459"/>
      <c r="N239" s="459"/>
      <c r="O239" s="456"/>
      <c r="P239" s="457"/>
      <c r="Q239" s="458"/>
    </row>
    <row r="240" spans="1:17" ht="14.55" customHeight="1">
      <c r="A240" s="449"/>
      <c r="B240" s="449"/>
      <c r="C240" s="450"/>
      <c r="D240" s="450"/>
      <c r="E240" s="450"/>
      <c r="F240" s="450"/>
      <c r="G240" s="450"/>
      <c r="H240" s="450"/>
      <c r="I240" s="450"/>
      <c r="J240" s="450"/>
      <c r="K240" s="325"/>
      <c r="L240" s="325"/>
      <c r="M240" s="11" t="s">
        <v>23</v>
      </c>
      <c r="N240" s="11" t="s">
        <v>20</v>
      </c>
      <c r="O240" s="451"/>
      <c r="P240" s="452"/>
      <c r="Q240" s="453"/>
    </row>
    <row r="241" spans="1:17" ht="14.55" customHeight="1">
      <c r="A241" s="449"/>
      <c r="B241" s="449"/>
      <c r="C241" s="450"/>
      <c r="D241" s="450"/>
      <c r="E241" s="450"/>
      <c r="F241" s="450"/>
      <c r="G241" s="450"/>
      <c r="H241" s="450"/>
      <c r="I241" s="450"/>
      <c r="J241" s="450"/>
      <c r="K241" s="325"/>
      <c r="L241" s="325"/>
      <c r="M241" s="459"/>
      <c r="N241" s="459"/>
      <c r="O241" s="454"/>
      <c r="P241" s="450"/>
      <c r="Q241" s="455"/>
    </row>
    <row r="242" spans="1:17" ht="14.55" customHeight="1">
      <c r="A242" s="449"/>
      <c r="B242" s="449"/>
      <c r="C242" s="450"/>
      <c r="D242" s="450"/>
      <c r="E242" s="450"/>
      <c r="F242" s="450"/>
      <c r="G242" s="450"/>
      <c r="H242" s="450"/>
      <c r="I242" s="450"/>
      <c r="J242" s="450"/>
      <c r="K242" s="325"/>
      <c r="L242" s="325"/>
      <c r="M242" s="459"/>
      <c r="N242" s="459"/>
      <c r="O242" s="456"/>
      <c r="P242" s="457"/>
      <c r="Q242" s="458"/>
    </row>
    <row r="243" spans="1:17" ht="14.55" customHeight="1">
      <c r="A243" s="449"/>
      <c r="B243" s="449"/>
      <c r="C243" s="450"/>
      <c r="D243" s="450"/>
      <c r="E243" s="450"/>
      <c r="F243" s="450"/>
      <c r="G243" s="450"/>
      <c r="H243" s="450"/>
      <c r="I243" s="450"/>
      <c r="J243" s="450"/>
      <c r="K243" s="325"/>
      <c r="L243" s="325"/>
      <c r="M243" s="11" t="s">
        <v>23</v>
      </c>
      <c r="N243" s="11" t="s">
        <v>20</v>
      </c>
      <c r="O243" s="451"/>
      <c r="P243" s="452"/>
      <c r="Q243" s="453"/>
    </row>
    <row r="244" spans="1:17" ht="14.55" customHeight="1">
      <c r="A244" s="449"/>
      <c r="B244" s="449"/>
      <c r="C244" s="450"/>
      <c r="D244" s="450"/>
      <c r="E244" s="450"/>
      <c r="F244" s="450"/>
      <c r="G244" s="450"/>
      <c r="H244" s="450"/>
      <c r="I244" s="450"/>
      <c r="J244" s="450"/>
      <c r="K244" s="325"/>
      <c r="L244" s="325"/>
      <c r="M244" s="459"/>
      <c r="N244" s="459"/>
      <c r="O244" s="454"/>
      <c r="P244" s="450"/>
      <c r="Q244" s="455"/>
    </row>
    <row r="245" spans="1:17" ht="14.55" customHeight="1">
      <c r="A245" s="449"/>
      <c r="B245" s="449"/>
      <c r="C245" s="450"/>
      <c r="D245" s="450"/>
      <c r="E245" s="450"/>
      <c r="F245" s="450"/>
      <c r="G245" s="450"/>
      <c r="H245" s="450"/>
      <c r="I245" s="450"/>
      <c r="J245" s="450"/>
      <c r="K245" s="325"/>
      <c r="L245" s="325"/>
      <c r="M245" s="459"/>
      <c r="N245" s="459"/>
      <c r="O245" s="456"/>
      <c r="P245" s="457"/>
      <c r="Q245" s="458"/>
    </row>
    <row r="246" spans="1:17" ht="14.55" customHeight="1">
      <c r="A246" s="449"/>
      <c r="B246" s="449"/>
      <c r="C246" s="450"/>
      <c r="D246" s="450"/>
      <c r="E246" s="450"/>
      <c r="F246" s="450"/>
      <c r="G246" s="450"/>
      <c r="H246" s="450"/>
      <c r="I246" s="450"/>
      <c r="J246" s="450"/>
      <c r="K246" s="325"/>
      <c r="L246" s="325"/>
      <c r="M246" s="11" t="s">
        <v>23</v>
      </c>
      <c r="N246" s="11" t="s">
        <v>20</v>
      </c>
      <c r="O246" s="451"/>
      <c r="P246" s="452"/>
      <c r="Q246" s="453"/>
    </row>
    <row r="247" spans="1:17" ht="14.55" customHeight="1">
      <c r="A247" s="449"/>
      <c r="B247" s="449"/>
      <c r="C247" s="450"/>
      <c r="D247" s="450"/>
      <c r="E247" s="450"/>
      <c r="F247" s="450"/>
      <c r="G247" s="450"/>
      <c r="H247" s="450"/>
      <c r="I247" s="450"/>
      <c r="J247" s="450"/>
      <c r="K247" s="325"/>
      <c r="L247" s="325"/>
      <c r="M247" s="459"/>
      <c r="N247" s="459"/>
      <c r="O247" s="454"/>
      <c r="P247" s="450"/>
      <c r="Q247" s="455"/>
    </row>
    <row r="248" spans="1:17" ht="14.55" customHeight="1">
      <c r="A248" s="449"/>
      <c r="B248" s="449"/>
      <c r="C248" s="450"/>
      <c r="D248" s="450"/>
      <c r="E248" s="450"/>
      <c r="F248" s="450"/>
      <c r="G248" s="450"/>
      <c r="H248" s="450"/>
      <c r="I248" s="450"/>
      <c r="J248" s="450"/>
      <c r="K248" s="325"/>
      <c r="L248" s="325"/>
      <c r="M248" s="459"/>
      <c r="N248" s="459"/>
      <c r="O248" s="456"/>
      <c r="P248" s="457"/>
      <c r="Q248" s="458"/>
    </row>
    <row r="249" spans="1:17" ht="14.55" customHeight="1">
      <c r="A249" s="449"/>
      <c r="B249" s="449"/>
      <c r="C249" s="450"/>
      <c r="D249" s="450"/>
      <c r="E249" s="450"/>
      <c r="F249" s="450"/>
      <c r="G249" s="450"/>
      <c r="H249" s="450"/>
      <c r="I249" s="450"/>
      <c r="J249" s="450"/>
      <c r="K249" s="325"/>
      <c r="L249" s="325"/>
      <c r="M249" s="11" t="s">
        <v>23</v>
      </c>
      <c r="N249" s="11" t="s">
        <v>20</v>
      </c>
      <c r="O249" s="451"/>
      <c r="P249" s="452"/>
      <c r="Q249" s="453"/>
    </row>
    <row r="250" spans="1:17" ht="14.55" customHeight="1">
      <c r="A250" s="449"/>
      <c r="B250" s="449"/>
      <c r="C250" s="450"/>
      <c r="D250" s="450"/>
      <c r="E250" s="450"/>
      <c r="F250" s="450"/>
      <c r="G250" s="450"/>
      <c r="H250" s="450"/>
      <c r="I250" s="450"/>
      <c r="J250" s="450"/>
      <c r="K250" s="325"/>
      <c r="L250" s="325"/>
      <c r="M250" s="459"/>
      <c r="N250" s="459"/>
      <c r="O250" s="454"/>
      <c r="P250" s="450"/>
      <c r="Q250" s="455"/>
    </row>
    <row r="251" spans="1:17" ht="14.55" customHeight="1">
      <c r="A251" s="449"/>
      <c r="B251" s="449"/>
      <c r="C251" s="450"/>
      <c r="D251" s="450"/>
      <c r="E251" s="450"/>
      <c r="F251" s="450"/>
      <c r="G251" s="450"/>
      <c r="H251" s="450"/>
      <c r="I251" s="450"/>
      <c r="J251" s="450"/>
      <c r="K251" s="325"/>
      <c r="L251" s="325"/>
      <c r="M251" s="459"/>
      <c r="N251" s="459"/>
      <c r="O251" s="456"/>
      <c r="P251" s="457"/>
      <c r="Q251" s="458"/>
    </row>
    <row r="252" spans="1:17" ht="14.55" customHeight="1">
      <c r="A252" s="449"/>
      <c r="B252" s="449"/>
      <c r="C252" s="450"/>
      <c r="D252" s="450"/>
      <c r="E252" s="450"/>
      <c r="F252" s="450"/>
      <c r="G252" s="450"/>
      <c r="H252" s="450"/>
      <c r="I252" s="450"/>
      <c r="J252" s="450"/>
      <c r="K252" s="325"/>
      <c r="L252" s="325"/>
      <c r="M252" s="11" t="s">
        <v>23</v>
      </c>
      <c r="N252" s="11" t="s">
        <v>20</v>
      </c>
      <c r="O252" s="451"/>
      <c r="P252" s="452"/>
      <c r="Q252" s="453"/>
    </row>
    <row r="253" spans="1:17" ht="14.55" customHeight="1">
      <c r="A253" s="449"/>
      <c r="B253" s="449"/>
      <c r="C253" s="450"/>
      <c r="D253" s="450"/>
      <c r="E253" s="450"/>
      <c r="F253" s="450"/>
      <c r="G253" s="450"/>
      <c r="H253" s="450"/>
      <c r="I253" s="450"/>
      <c r="J253" s="450"/>
      <c r="K253" s="325"/>
      <c r="L253" s="325"/>
      <c r="M253" s="459"/>
      <c r="N253" s="459"/>
      <c r="O253" s="454"/>
      <c r="P253" s="450"/>
      <c r="Q253" s="455"/>
    </row>
    <row r="254" spans="1:17" ht="14.55" customHeight="1">
      <c r="A254" s="449"/>
      <c r="B254" s="449"/>
      <c r="C254" s="450"/>
      <c r="D254" s="450"/>
      <c r="E254" s="450"/>
      <c r="F254" s="450"/>
      <c r="G254" s="450"/>
      <c r="H254" s="450"/>
      <c r="I254" s="450"/>
      <c r="J254" s="450"/>
      <c r="K254" s="325"/>
      <c r="L254" s="325"/>
      <c r="M254" s="459"/>
      <c r="N254" s="459"/>
      <c r="O254" s="456"/>
      <c r="P254" s="457"/>
      <c r="Q254" s="458"/>
    </row>
    <row r="255" spans="1:17" ht="14.55" customHeight="1">
      <c r="A255" s="449"/>
      <c r="B255" s="449"/>
      <c r="C255" s="450"/>
      <c r="D255" s="450"/>
      <c r="E255" s="450"/>
      <c r="F255" s="450"/>
      <c r="G255" s="450"/>
      <c r="H255" s="450"/>
      <c r="I255" s="450"/>
      <c r="J255" s="450"/>
      <c r="K255" s="325"/>
      <c r="L255" s="325"/>
      <c r="M255" s="11" t="s">
        <v>23</v>
      </c>
      <c r="N255" s="11" t="s">
        <v>20</v>
      </c>
      <c r="O255" s="451"/>
      <c r="P255" s="452"/>
      <c r="Q255" s="453"/>
    </row>
    <row r="256" spans="1:17" ht="14.55" customHeight="1">
      <c r="A256" s="449"/>
      <c r="B256" s="449"/>
      <c r="C256" s="450"/>
      <c r="D256" s="450"/>
      <c r="E256" s="450"/>
      <c r="F256" s="450"/>
      <c r="G256" s="450"/>
      <c r="H256" s="450"/>
      <c r="I256" s="450"/>
      <c r="J256" s="450"/>
      <c r="K256" s="325"/>
      <c r="L256" s="325"/>
      <c r="M256" s="459"/>
      <c r="N256" s="459"/>
      <c r="O256" s="454"/>
      <c r="P256" s="450"/>
      <c r="Q256" s="455"/>
    </row>
    <row r="257" spans="1:17" ht="14.55" customHeight="1">
      <c r="A257" s="449"/>
      <c r="B257" s="449"/>
      <c r="C257" s="450"/>
      <c r="D257" s="450"/>
      <c r="E257" s="450"/>
      <c r="F257" s="450"/>
      <c r="G257" s="450"/>
      <c r="H257" s="450"/>
      <c r="I257" s="450"/>
      <c r="J257" s="450"/>
      <c r="K257" s="325"/>
      <c r="L257" s="325"/>
      <c r="M257" s="459"/>
      <c r="N257" s="459"/>
      <c r="O257" s="456"/>
      <c r="P257" s="457"/>
      <c r="Q257" s="458"/>
    </row>
    <row r="258" spans="1:17" ht="14.55" customHeight="1">
      <c r="A258" s="449"/>
      <c r="B258" s="449"/>
      <c r="C258" s="450"/>
      <c r="D258" s="450"/>
      <c r="E258" s="450"/>
      <c r="F258" s="450"/>
      <c r="G258" s="450"/>
      <c r="H258" s="450"/>
      <c r="I258" s="450"/>
      <c r="J258" s="450"/>
      <c r="K258" s="325"/>
      <c r="L258" s="325"/>
      <c r="M258" s="11" t="s">
        <v>23</v>
      </c>
      <c r="N258" s="11" t="s">
        <v>20</v>
      </c>
      <c r="O258" s="451"/>
      <c r="P258" s="452"/>
      <c r="Q258" s="453"/>
    </row>
    <row r="259" spans="1:17" ht="14.55" customHeight="1">
      <c r="A259" s="449"/>
      <c r="B259" s="449"/>
      <c r="C259" s="450"/>
      <c r="D259" s="450"/>
      <c r="E259" s="450"/>
      <c r="F259" s="450"/>
      <c r="G259" s="450"/>
      <c r="H259" s="450"/>
      <c r="I259" s="450"/>
      <c r="J259" s="450"/>
      <c r="K259" s="325"/>
      <c r="L259" s="325"/>
      <c r="M259" s="459"/>
      <c r="N259" s="459"/>
      <c r="O259" s="454"/>
      <c r="P259" s="450"/>
      <c r="Q259" s="455"/>
    </row>
    <row r="260" spans="1:17" ht="14.55" customHeight="1">
      <c r="A260" s="449"/>
      <c r="B260" s="449"/>
      <c r="C260" s="450"/>
      <c r="D260" s="450"/>
      <c r="E260" s="450"/>
      <c r="F260" s="450"/>
      <c r="G260" s="450"/>
      <c r="H260" s="450"/>
      <c r="I260" s="450"/>
      <c r="J260" s="450"/>
      <c r="K260" s="325"/>
      <c r="L260" s="325"/>
      <c r="M260" s="459"/>
      <c r="N260" s="459"/>
      <c r="O260" s="456"/>
      <c r="P260" s="457"/>
      <c r="Q260" s="458"/>
    </row>
    <row r="261" spans="1:17" ht="14.55" customHeight="1">
      <c r="A261" s="449"/>
      <c r="B261" s="449"/>
      <c r="C261" s="450"/>
      <c r="D261" s="450"/>
      <c r="E261" s="450"/>
      <c r="F261" s="450"/>
      <c r="G261" s="450"/>
      <c r="H261" s="450"/>
      <c r="I261" s="450"/>
      <c r="J261" s="450"/>
      <c r="K261" s="325"/>
      <c r="L261" s="325"/>
      <c r="M261" s="11" t="s">
        <v>23</v>
      </c>
      <c r="N261" s="11" t="s">
        <v>20</v>
      </c>
      <c r="O261" s="451"/>
      <c r="P261" s="452"/>
      <c r="Q261" s="453"/>
    </row>
    <row r="262" spans="1:17" ht="14.55" customHeight="1">
      <c r="A262" s="449"/>
      <c r="B262" s="449"/>
      <c r="C262" s="450"/>
      <c r="D262" s="450"/>
      <c r="E262" s="450"/>
      <c r="F262" s="450"/>
      <c r="G262" s="450"/>
      <c r="H262" s="450"/>
      <c r="I262" s="450"/>
      <c r="J262" s="450"/>
      <c r="K262" s="325"/>
      <c r="L262" s="325"/>
      <c r="M262" s="459"/>
      <c r="N262" s="459"/>
      <c r="O262" s="454"/>
      <c r="P262" s="450"/>
      <c r="Q262" s="455"/>
    </row>
    <row r="263" spans="1:17" ht="14.55" customHeight="1">
      <c r="A263" s="449"/>
      <c r="B263" s="449"/>
      <c r="C263" s="450"/>
      <c r="D263" s="450"/>
      <c r="E263" s="450"/>
      <c r="F263" s="450"/>
      <c r="G263" s="450"/>
      <c r="H263" s="450"/>
      <c r="I263" s="450"/>
      <c r="J263" s="450"/>
      <c r="K263" s="325"/>
      <c r="L263" s="325"/>
      <c r="M263" s="459"/>
      <c r="N263" s="459"/>
      <c r="O263" s="456"/>
      <c r="P263" s="457"/>
      <c r="Q263" s="458"/>
    </row>
    <row r="264" spans="1:17" ht="14.55" customHeight="1">
      <c r="A264" s="449"/>
      <c r="B264" s="449"/>
      <c r="C264" s="450"/>
      <c r="D264" s="450"/>
      <c r="E264" s="450"/>
      <c r="F264" s="450"/>
      <c r="G264" s="450"/>
      <c r="H264" s="450"/>
      <c r="I264" s="450"/>
      <c r="J264" s="450"/>
      <c r="K264" s="325"/>
      <c r="L264" s="325"/>
      <c r="M264" s="11" t="s">
        <v>23</v>
      </c>
      <c r="N264" s="11" t="s">
        <v>20</v>
      </c>
      <c r="O264" s="451"/>
      <c r="P264" s="452"/>
      <c r="Q264" s="453"/>
    </row>
    <row r="265" spans="1:17" ht="14.55" customHeight="1">
      <c r="A265" s="449"/>
      <c r="B265" s="449"/>
      <c r="C265" s="450"/>
      <c r="D265" s="450"/>
      <c r="E265" s="450"/>
      <c r="F265" s="450"/>
      <c r="G265" s="450"/>
      <c r="H265" s="450"/>
      <c r="I265" s="450"/>
      <c r="J265" s="450"/>
      <c r="K265" s="325"/>
      <c r="L265" s="325"/>
      <c r="M265" s="459"/>
      <c r="N265" s="459"/>
      <c r="O265" s="454"/>
      <c r="P265" s="450"/>
      <c r="Q265" s="455"/>
    </row>
    <row r="266" spans="1:17" ht="14.55" customHeight="1">
      <c r="A266" s="449"/>
      <c r="B266" s="449"/>
      <c r="C266" s="450"/>
      <c r="D266" s="450"/>
      <c r="E266" s="450"/>
      <c r="F266" s="450"/>
      <c r="G266" s="450"/>
      <c r="H266" s="450"/>
      <c r="I266" s="450"/>
      <c r="J266" s="450"/>
      <c r="K266" s="325"/>
      <c r="L266" s="325"/>
      <c r="M266" s="459"/>
      <c r="N266" s="459"/>
      <c r="O266" s="456"/>
      <c r="P266" s="457"/>
      <c r="Q266" s="458"/>
    </row>
    <row r="267" spans="1:17" ht="14.55" customHeight="1">
      <c r="A267" s="449"/>
      <c r="B267" s="449"/>
      <c r="C267" s="450"/>
      <c r="D267" s="450"/>
      <c r="E267" s="450"/>
      <c r="F267" s="450"/>
      <c r="G267" s="450"/>
      <c r="H267" s="450"/>
      <c r="I267" s="450"/>
      <c r="J267" s="450"/>
      <c r="K267" s="325"/>
      <c r="L267" s="325"/>
      <c r="M267" s="11" t="s">
        <v>23</v>
      </c>
      <c r="N267" s="11" t="s">
        <v>20</v>
      </c>
      <c r="O267" s="451"/>
      <c r="P267" s="452"/>
      <c r="Q267" s="453"/>
    </row>
    <row r="268" spans="1:17" ht="14.55" customHeight="1">
      <c r="A268" s="449"/>
      <c r="B268" s="449"/>
      <c r="C268" s="450"/>
      <c r="D268" s="450"/>
      <c r="E268" s="450"/>
      <c r="F268" s="450"/>
      <c r="G268" s="450"/>
      <c r="H268" s="450"/>
      <c r="I268" s="450"/>
      <c r="J268" s="450"/>
      <c r="K268" s="325"/>
      <c r="L268" s="325"/>
      <c r="M268" s="459"/>
      <c r="N268" s="459"/>
      <c r="O268" s="454"/>
      <c r="P268" s="450"/>
      <c r="Q268" s="455"/>
    </row>
    <row r="269" spans="1:17" ht="14.55" customHeight="1">
      <c r="A269" s="449"/>
      <c r="B269" s="449"/>
      <c r="C269" s="450"/>
      <c r="D269" s="450"/>
      <c r="E269" s="450"/>
      <c r="F269" s="450"/>
      <c r="G269" s="450"/>
      <c r="H269" s="450"/>
      <c r="I269" s="450"/>
      <c r="J269" s="450"/>
      <c r="K269" s="325"/>
      <c r="L269" s="325"/>
      <c r="M269" s="459"/>
      <c r="N269" s="459"/>
      <c r="O269" s="456"/>
      <c r="P269" s="457"/>
      <c r="Q269" s="458"/>
    </row>
    <row r="270" spans="1:17" ht="14.55" customHeight="1">
      <c r="A270" s="449"/>
      <c r="B270" s="449"/>
      <c r="C270" s="450"/>
      <c r="D270" s="450"/>
      <c r="E270" s="450"/>
      <c r="F270" s="450"/>
      <c r="G270" s="450"/>
      <c r="H270" s="450"/>
      <c r="I270" s="450"/>
      <c r="J270" s="450"/>
      <c r="K270" s="325"/>
      <c r="L270" s="325"/>
      <c r="M270" s="11" t="s">
        <v>23</v>
      </c>
      <c r="N270" s="11" t="s">
        <v>20</v>
      </c>
      <c r="O270" s="451"/>
      <c r="P270" s="452"/>
      <c r="Q270" s="453"/>
    </row>
    <row r="271" spans="1:17" ht="14.55" customHeight="1">
      <c r="A271" s="449"/>
      <c r="B271" s="449"/>
      <c r="C271" s="450"/>
      <c r="D271" s="450"/>
      <c r="E271" s="450"/>
      <c r="F271" s="450"/>
      <c r="G271" s="450"/>
      <c r="H271" s="450"/>
      <c r="I271" s="450"/>
      <c r="J271" s="450"/>
      <c r="K271" s="325"/>
      <c r="L271" s="325"/>
      <c r="M271" s="459"/>
      <c r="N271" s="459"/>
      <c r="O271" s="454"/>
      <c r="P271" s="450"/>
      <c r="Q271" s="455"/>
    </row>
    <row r="272" spans="1:17" ht="14.55" customHeight="1">
      <c r="A272" s="449"/>
      <c r="B272" s="449"/>
      <c r="C272" s="450"/>
      <c r="D272" s="450"/>
      <c r="E272" s="450"/>
      <c r="F272" s="450"/>
      <c r="G272" s="450"/>
      <c r="H272" s="450"/>
      <c r="I272" s="450"/>
      <c r="J272" s="450"/>
      <c r="K272" s="325"/>
      <c r="L272" s="325"/>
      <c r="M272" s="459"/>
      <c r="N272" s="459"/>
      <c r="O272" s="456"/>
      <c r="P272" s="457"/>
      <c r="Q272" s="458"/>
    </row>
    <row r="273" spans="1:17" ht="14.55" customHeight="1">
      <c r="A273" s="449"/>
      <c r="B273" s="449"/>
      <c r="C273" s="450"/>
      <c r="D273" s="450"/>
      <c r="E273" s="450"/>
      <c r="F273" s="450"/>
      <c r="G273" s="450"/>
      <c r="H273" s="450"/>
      <c r="I273" s="450"/>
      <c r="J273" s="450"/>
      <c r="K273" s="325"/>
      <c r="L273" s="325"/>
      <c r="M273" s="11" t="s">
        <v>23</v>
      </c>
      <c r="N273" s="11" t="s">
        <v>20</v>
      </c>
      <c r="O273" s="451"/>
      <c r="P273" s="452"/>
      <c r="Q273" s="453"/>
    </row>
    <row r="274" spans="1:17" ht="14.55" customHeight="1">
      <c r="A274" s="449"/>
      <c r="B274" s="449"/>
      <c r="C274" s="450"/>
      <c r="D274" s="450"/>
      <c r="E274" s="450"/>
      <c r="F274" s="450"/>
      <c r="G274" s="450"/>
      <c r="H274" s="450"/>
      <c r="I274" s="450"/>
      <c r="J274" s="450"/>
      <c r="K274" s="325"/>
      <c r="L274" s="325"/>
      <c r="M274" s="459"/>
      <c r="N274" s="459"/>
      <c r="O274" s="454"/>
      <c r="P274" s="450"/>
      <c r="Q274" s="455"/>
    </row>
    <row r="275" spans="1:17" ht="14.55" customHeight="1">
      <c r="A275" s="449"/>
      <c r="B275" s="449"/>
      <c r="C275" s="450"/>
      <c r="D275" s="450"/>
      <c r="E275" s="450"/>
      <c r="F275" s="450"/>
      <c r="G275" s="450"/>
      <c r="H275" s="450"/>
      <c r="I275" s="450"/>
      <c r="J275" s="450"/>
      <c r="K275" s="325"/>
      <c r="L275" s="325"/>
      <c r="M275" s="459"/>
      <c r="N275" s="459"/>
      <c r="O275" s="456"/>
      <c r="P275" s="457"/>
      <c r="Q275" s="458"/>
    </row>
    <row r="276" spans="1:17" ht="14.55" customHeight="1">
      <c r="A276" s="449"/>
      <c r="B276" s="449"/>
      <c r="C276" s="450"/>
      <c r="D276" s="450"/>
      <c r="E276" s="450"/>
      <c r="F276" s="450"/>
      <c r="G276" s="450"/>
      <c r="H276" s="450"/>
      <c r="I276" s="450"/>
      <c r="J276" s="450"/>
      <c r="K276" s="325"/>
      <c r="L276" s="325"/>
      <c r="M276" s="11" t="s">
        <v>23</v>
      </c>
      <c r="N276" s="11" t="s">
        <v>20</v>
      </c>
      <c r="O276" s="451"/>
      <c r="P276" s="452"/>
      <c r="Q276" s="453"/>
    </row>
    <row r="277" spans="1:17" ht="14.55" customHeight="1">
      <c r="A277" s="449"/>
      <c r="B277" s="449"/>
      <c r="C277" s="450"/>
      <c r="D277" s="450"/>
      <c r="E277" s="450"/>
      <c r="F277" s="450"/>
      <c r="G277" s="450"/>
      <c r="H277" s="450"/>
      <c r="I277" s="450"/>
      <c r="J277" s="450"/>
      <c r="K277" s="325"/>
      <c r="L277" s="325"/>
      <c r="M277" s="459"/>
      <c r="N277" s="459"/>
      <c r="O277" s="454"/>
      <c r="P277" s="450"/>
      <c r="Q277" s="455"/>
    </row>
    <row r="278" spans="1:17" ht="14.55" customHeight="1">
      <c r="A278" s="449"/>
      <c r="B278" s="449"/>
      <c r="C278" s="450"/>
      <c r="D278" s="450"/>
      <c r="E278" s="450"/>
      <c r="F278" s="450"/>
      <c r="G278" s="450"/>
      <c r="H278" s="450"/>
      <c r="I278" s="450"/>
      <c r="J278" s="450"/>
      <c r="K278" s="325"/>
      <c r="L278" s="325"/>
      <c r="M278" s="459"/>
      <c r="N278" s="459"/>
      <c r="O278" s="456"/>
      <c r="P278" s="457"/>
      <c r="Q278" s="458"/>
    </row>
    <row r="279" spans="1:17" ht="14.55" customHeight="1">
      <c r="A279" s="449"/>
      <c r="B279" s="449"/>
      <c r="C279" s="450"/>
      <c r="D279" s="450"/>
      <c r="E279" s="450"/>
      <c r="F279" s="450"/>
      <c r="G279" s="450"/>
      <c r="H279" s="450"/>
      <c r="I279" s="450"/>
      <c r="J279" s="450"/>
      <c r="K279" s="325"/>
      <c r="L279" s="325"/>
      <c r="M279" s="11" t="s">
        <v>23</v>
      </c>
      <c r="N279" s="11" t="s">
        <v>20</v>
      </c>
      <c r="O279" s="451"/>
      <c r="P279" s="452"/>
      <c r="Q279" s="453"/>
    </row>
    <row r="280" spans="1:17" ht="14.55" customHeight="1">
      <c r="A280" s="449"/>
      <c r="B280" s="449"/>
      <c r="C280" s="450"/>
      <c r="D280" s="450"/>
      <c r="E280" s="450"/>
      <c r="F280" s="450"/>
      <c r="G280" s="450"/>
      <c r="H280" s="450"/>
      <c r="I280" s="450"/>
      <c r="J280" s="450"/>
      <c r="K280" s="325"/>
      <c r="L280" s="325"/>
      <c r="M280" s="459"/>
      <c r="N280" s="459"/>
      <c r="O280" s="454"/>
      <c r="P280" s="450"/>
      <c r="Q280" s="455"/>
    </row>
    <row r="281" spans="1:17" ht="14.55" customHeight="1">
      <c r="A281" s="449"/>
      <c r="B281" s="449"/>
      <c r="C281" s="450"/>
      <c r="D281" s="450"/>
      <c r="E281" s="450"/>
      <c r="F281" s="450"/>
      <c r="G281" s="450"/>
      <c r="H281" s="450"/>
      <c r="I281" s="450"/>
      <c r="J281" s="450"/>
      <c r="K281" s="325"/>
      <c r="L281" s="325"/>
      <c r="M281" s="459"/>
      <c r="N281" s="459"/>
      <c r="O281" s="456"/>
      <c r="P281" s="457"/>
      <c r="Q281" s="458"/>
    </row>
    <row r="282" spans="1:17" ht="14.55" customHeight="1">
      <c r="A282" s="449"/>
      <c r="B282" s="449"/>
      <c r="C282" s="450"/>
      <c r="D282" s="450"/>
      <c r="E282" s="450"/>
      <c r="F282" s="450"/>
      <c r="G282" s="450"/>
      <c r="H282" s="450"/>
      <c r="I282" s="450"/>
      <c r="J282" s="450"/>
      <c r="K282" s="325"/>
      <c r="L282" s="325"/>
      <c r="M282" s="11" t="s">
        <v>23</v>
      </c>
      <c r="N282" s="11" t="s">
        <v>20</v>
      </c>
      <c r="O282" s="451"/>
      <c r="P282" s="452"/>
      <c r="Q282" s="453"/>
    </row>
    <row r="283" spans="1:17" ht="14.55" customHeight="1">
      <c r="A283" s="449"/>
      <c r="B283" s="449"/>
      <c r="C283" s="450"/>
      <c r="D283" s="450"/>
      <c r="E283" s="450"/>
      <c r="F283" s="450"/>
      <c r="G283" s="450"/>
      <c r="H283" s="450"/>
      <c r="I283" s="450"/>
      <c r="J283" s="450"/>
      <c r="K283" s="325"/>
      <c r="L283" s="325"/>
      <c r="M283" s="459"/>
      <c r="N283" s="459"/>
      <c r="O283" s="454"/>
      <c r="P283" s="450"/>
      <c r="Q283" s="455"/>
    </row>
    <row r="284" spans="1:17" ht="14.55" customHeight="1">
      <c r="A284" s="449"/>
      <c r="B284" s="449"/>
      <c r="C284" s="450"/>
      <c r="D284" s="450"/>
      <c r="E284" s="450"/>
      <c r="F284" s="450"/>
      <c r="G284" s="450"/>
      <c r="H284" s="450"/>
      <c r="I284" s="450"/>
      <c r="J284" s="450"/>
      <c r="K284" s="325"/>
      <c r="L284" s="325"/>
      <c r="M284" s="459"/>
      <c r="N284" s="459"/>
      <c r="O284" s="456"/>
      <c r="P284" s="457"/>
      <c r="Q284" s="458"/>
    </row>
    <row r="285" spans="1:17" ht="14.55" customHeight="1">
      <c r="A285" s="449"/>
      <c r="B285" s="449"/>
      <c r="C285" s="450"/>
      <c r="D285" s="450"/>
      <c r="E285" s="450"/>
      <c r="F285" s="450"/>
      <c r="G285" s="450"/>
      <c r="H285" s="450"/>
      <c r="I285" s="450"/>
      <c r="J285" s="450"/>
      <c r="K285" s="325"/>
      <c r="L285" s="325"/>
      <c r="M285" s="11" t="s">
        <v>23</v>
      </c>
      <c r="N285" s="11" t="s">
        <v>20</v>
      </c>
      <c r="O285" s="451"/>
      <c r="P285" s="452"/>
      <c r="Q285" s="453"/>
    </row>
    <row r="286" spans="1:17" ht="14.55" customHeight="1">
      <c r="A286" s="449"/>
      <c r="B286" s="449"/>
      <c r="C286" s="450"/>
      <c r="D286" s="450"/>
      <c r="E286" s="450"/>
      <c r="F286" s="450"/>
      <c r="G286" s="450"/>
      <c r="H286" s="450"/>
      <c r="I286" s="450"/>
      <c r="J286" s="450"/>
      <c r="K286" s="325"/>
      <c r="L286" s="325"/>
      <c r="M286" s="459"/>
      <c r="N286" s="459"/>
      <c r="O286" s="454"/>
      <c r="P286" s="450"/>
      <c r="Q286" s="455"/>
    </row>
    <row r="287" spans="1:17" ht="14.55" customHeight="1">
      <c r="A287" s="449"/>
      <c r="B287" s="449"/>
      <c r="C287" s="450"/>
      <c r="D287" s="450"/>
      <c r="E287" s="450"/>
      <c r="F287" s="450"/>
      <c r="G287" s="450"/>
      <c r="H287" s="450"/>
      <c r="I287" s="450"/>
      <c r="J287" s="450"/>
      <c r="K287" s="325"/>
      <c r="L287" s="325"/>
      <c r="M287" s="459"/>
      <c r="N287" s="459"/>
      <c r="O287" s="456"/>
      <c r="P287" s="457"/>
      <c r="Q287" s="458"/>
    </row>
    <row r="288" spans="1:17" ht="14.55" customHeight="1">
      <c r="A288" s="449"/>
      <c r="B288" s="449"/>
      <c r="C288" s="450"/>
      <c r="D288" s="450"/>
      <c r="E288" s="450"/>
      <c r="F288" s="450"/>
      <c r="G288" s="450"/>
      <c r="H288" s="450"/>
      <c r="I288" s="450"/>
      <c r="J288" s="450"/>
      <c r="K288" s="325"/>
      <c r="L288" s="325"/>
      <c r="M288" s="11" t="s">
        <v>23</v>
      </c>
      <c r="N288" s="11" t="s">
        <v>20</v>
      </c>
      <c r="O288" s="451"/>
      <c r="P288" s="452"/>
      <c r="Q288" s="453"/>
    </row>
    <row r="289" spans="1:17" ht="14.55" customHeight="1">
      <c r="A289" s="449"/>
      <c r="B289" s="449"/>
      <c r="C289" s="450"/>
      <c r="D289" s="450"/>
      <c r="E289" s="450"/>
      <c r="F289" s="450"/>
      <c r="G289" s="450"/>
      <c r="H289" s="450"/>
      <c r="I289" s="450"/>
      <c r="J289" s="450"/>
      <c r="K289" s="325"/>
      <c r="L289" s="325"/>
      <c r="M289" s="459"/>
      <c r="N289" s="459"/>
      <c r="O289" s="454"/>
      <c r="P289" s="450"/>
      <c r="Q289" s="455"/>
    </row>
    <row r="290" spans="1:17" ht="14.55" customHeight="1">
      <c r="A290" s="449"/>
      <c r="B290" s="449"/>
      <c r="C290" s="450"/>
      <c r="D290" s="450"/>
      <c r="E290" s="450"/>
      <c r="F290" s="450"/>
      <c r="G290" s="450"/>
      <c r="H290" s="450"/>
      <c r="I290" s="450"/>
      <c r="J290" s="450"/>
      <c r="K290" s="325"/>
      <c r="L290" s="325"/>
      <c r="M290" s="459"/>
      <c r="N290" s="459"/>
      <c r="O290" s="456"/>
      <c r="P290" s="457"/>
      <c r="Q290" s="458"/>
    </row>
    <row r="291" spans="1:17" ht="14.55" customHeight="1">
      <c r="A291" s="449"/>
      <c r="B291" s="449"/>
      <c r="C291" s="450"/>
      <c r="D291" s="450"/>
      <c r="E291" s="450"/>
      <c r="F291" s="450"/>
      <c r="G291" s="450"/>
      <c r="H291" s="450"/>
      <c r="I291" s="450"/>
      <c r="J291" s="450"/>
      <c r="K291" s="325"/>
      <c r="L291" s="325"/>
      <c r="M291" s="11" t="s">
        <v>23</v>
      </c>
      <c r="N291" s="11" t="s">
        <v>20</v>
      </c>
      <c r="O291" s="451"/>
      <c r="P291" s="452"/>
      <c r="Q291" s="453"/>
    </row>
    <row r="292" spans="1:17" ht="14.55" customHeight="1">
      <c r="A292" s="449"/>
      <c r="B292" s="449"/>
      <c r="C292" s="450"/>
      <c r="D292" s="450"/>
      <c r="E292" s="450"/>
      <c r="F292" s="450"/>
      <c r="G292" s="450"/>
      <c r="H292" s="450"/>
      <c r="I292" s="450"/>
      <c r="J292" s="450"/>
      <c r="K292" s="325"/>
      <c r="L292" s="325"/>
      <c r="M292" s="459"/>
      <c r="N292" s="459"/>
      <c r="O292" s="454"/>
      <c r="P292" s="450"/>
      <c r="Q292" s="455"/>
    </row>
    <row r="293" spans="1:17" ht="14.55" customHeight="1">
      <c r="A293" s="449"/>
      <c r="B293" s="449"/>
      <c r="C293" s="450"/>
      <c r="D293" s="450"/>
      <c r="E293" s="450"/>
      <c r="F293" s="450"/>
      <c r="G293" s="450"/>
      <c r="H293" s="450"/>
      <c r="I293" s="450"/>
      <c r="J293" s="450"/>
      <c r="K293" s="325"/>
      <c r="L293" s="325"/>
      <c r="M293" s="459"/>
      <c r="N293" s="459"/>
      <c r="O293" s="456"/>
      <c r="P293" s="457"/>
      <c r="Q293" s="458"/>
    </row>
    <row r="294" spans="1:17" ht="14.55" customHeight="1">
      <c r="A294" s="449"/>
      <c r="B294" s="449"/>
      <c r="C294" s="450"/>
      <c r="D294" s="450"/>
      <c r="E294" s="450"/>
      <c r="F294" s="450"/>
      <c r="G294" s="450"/>
      <c r="H294" s="450"/>
      <c r="I294" s="450"/>
      <c r="J294" s="450"/>
      <c r="K294" s="325"/>
      <c r="L294" s="325"/>
      <c r="M294" s="11" t="s">
        <v>23</v>
      </c>
      <c r="N294" s="11" t="s">
        <v>20</v>
      </c>
      <c r="O294" s="451"/>
      <c r="P294" s="452"/>
      <c r="Q294" s="453"/>
    </row>
    <row r="295" spans="1:17" ht="14.55" customHeight="1">
      <c r="A295" s="449"/>
      <c r="B295" s="449"/>
      <c r="C295" s="450"/>
      <c r="D295" s="450"/>
      <c r="E295" s="450"/>
      <c r="F295" s="450"/>
      <c r="G295" s="450"/>
      <c r="H295" s="450"/>
      <c r="I295" s="450"/>
      <c r="J295" s="450"/>
      <c r="K295" s="325"/>
      <c r="L295" s="325"/>
      <c r="M295" s="459"/>
      <c r="N295" s="459"/>
      <c r="O295" s="454"/>
      <c r="P295" s="450"/>
      <c r="Q295" s="455"/>
    </row>
    <row r="296" spans="1:17" ht="14.55" customHeight="1">
      <c r="A296" s="449"/>
      <c r="B296" s="449"/>
      <c r="C296" s="450"/>
      <c r="D296" s="450"/>
      <c r="E296" s="450"/>
      <c r="F296" s="450"/>
      <c r="G296" s="450"/>
      <c r="H296" s="450"/>
      <c r="I296" s="450"/>
      <c r="J296" s="450"/>
      <c r="K296" s="325"/>
      <c r="L296" s="325"/>
      <c r="M296" s="459"/>
      <c r="N296" s="459"/>
      <c r="O296" s="456"/>
      <c r="P296" s="457"/>
      <c r="Q296" s="458"/>
    </row>
    <row r="297" spans="1:17" ht="14.55" customHeight="1">
      <c r="A297" s="449"/>
      <c r="B297" s="449"/>
      <c r="C297" s="450"/>
      <c r="D297" s="450"/>
      <c r="E297" s="450"/>
      <c r="F297" s="450"/>
      <c r="G297" s="450"/>
      <c r="H297" s="450"/>
      <c r="I297" s="450"/>
      <c r="J297" s="450"/>
      <c r="K297" s="325"/>
      <c r="L297" s="325"/>
      <c r="M297" s="11" t="s">
        <v>23</v>
      </c>
      <c r="N297" s="11" t="s">
        <v>20</v>
      </c>
      <c r="O297" s="451"/>
      <c r="P297" s="452"/>
      <c r="Q297" s="453"/>
    </row>
    <row r="298" spans="1:17" ht="14.55" customHeight="1">
      <c r="A298" s="449"/>
      <c r="B298" s="449"/>
      <c r="C298" s="450"/>
      <c r="D298" s="450"/>
      <c r="E298" s="450"/>
      <c r="F298" s="450"/>
      <c r="G298" s="450"/>
      <c r="H298" s="450"/>
      <c r="I298" s="450"/>
      <c r="J298" s="450"/>
      <c r="K298" s="325"/>
      <c r="L298" s="325"/>
      <c r="M298" s="459"/>
      <c r="N298" s="459"/>
      <c r="O298" s="454"/>
      <c r="P298" s="450"/>
      <c r="Q298" s="455"/>
    </row>
    <row r="299" spans="1:17" ht="14.55" customHeight="1">
      <c r="A299" s="449"/>
      <c r="B299" s="449"/>
      <c r="C299" s="450"/>
      <c r="D299" s="450"/>
      <c r="E299" s="450"/>
      <c r="F299" s="450"/>
      <c r="G299" s="450"/>
      <c r="H299" s="450"/>
      <c r="I299" s="450"/>
      <c r="J299" s="450"/>
      <c r="K299" s="325"/>
      <c r="L299" s="325"/>
      <c r="M299" s="459"/>
      <c r="N299" s="459"/>
      <c r="O299" s="456"/>
      <c r="P299" s="457"/>
      <c r="Q299" s="458"/>
    </row>
    <row r="300" spans="1:17" ht="14.55" customHeight="1">
      <c r="A300" s="449"/>
      <c r="B300" s="449"/>
      <c r="C300" s="450"/>
      <c r="D300" s="450"/>
      <c r="E300" s="450"/>
      <c r="F300" s="450"/>
      <c r="G300" s="450"/>
      <c r="H300" s="450"/>
      <c r="I300" s="450"/>
      <c r="J300" s="450"/>
      <c r="K300" s="325"/>
      <c r="L300" s="325"/>
      <c r="M300" s="11" t="s">
        <v>23</v>
      </c>
      <c r="N300" s="11" t="s">
        <v>20</v>
      </c>
      <c r="O300" s="451"/>
      <c r="P300" s="452"/>
      <c r="Q300" s="453"/>
    </row>
    <row r="301" spans="1:17" ht="14.55" customHeight="1">
      <c r="A301" s="449"/>
      <c r="B301" s="449"/>
      <c r="C301" s="450"/>
      <c r="D301" s="450"/>
      <c r="E301" s="450"/>
      <c r="F301" s="450"/>
      <c r="G301" s="450"/>
      <c r="H301" s="450"/>
      <c r="I301" s="450"/>
      <c r="J301" s="450"/>
      <c r="K301" s="325"/>
      <c r="L301" s="325"/>
      <c r="M301" s="459"/>
      <c r="N301" s="459"/>
      <c r="O301" s="454"/>
      <c r="P301" s="450"/>
      <c r="Q301" s="455"/>
    </row>
    <row r="302" spans="1:17" ht="14.55" customHeight="1">
      <c r="A302" s="449"/>
      <c r="B302" s="449"/>
      <c r="C302" s="450"/>
      <c r="D302" s="450"/>
      <c r="E302" s="450"/>
      <c r="F302" s="450"/>
      <c r="G302" s="450"/>
      <c r="H302" s="450"/>
      <c r="I302" s="450"/>
      <c r="J302" s="450"/>
      <c r="K302" s="325"/>
      <c r="L302" s="325"/>
      <c r="M302" s="459"/>
      <c r="N302" s="459"/>
      <c r="O302" s="456"/>
      <c r="P302" s="457"/>
      <c r="Q302" s="458"/>
    </row>
    <row r="303" spans="1:17" ht="14.55" customHeight="1">
      <c r="A303" s="449"/>
      <c r="B303" s="449"/>
      <c r="C303" s="450"/>
      <c r="D303" s="450"/>
      <c r="E303" s="450"/>
      <c r="F303" s="450"/>
      <c r="G303" s="450"/>
      <c r="H303" s="450"/>
      <c r="I303" s="450"/>
      <c r="J303" s="450"/>
      <c r="K303" s="325"/>
      <c r="L303" s="325"/>
      <c r="M303" s="11" t="s">
        <v>23</v>
      </c>
      <c r="N303" s="11" t="s">
        <v>20</v>
      </c>
      <c r="O303" s="451"/>
      <c r="P303" s="452"/>
      <c r="Q303" s="453"/>
    </row>
    <row r="304" spans="1:17" ht="14.55" customHeight="1">
      <c r="A304" s="449"/>
      <c r="B304" s="449"/>
      <c r="C304" s="450"/>
      <c r="D304" s="450"/>
      <c r="E304" s="450"/>
      <c r="F304" s="450"/>
      <c r="G304" s="450"/>
      <c r="H304" s="450"/>
      <c r="I304" s="450"/>
      <c r="J304" s="450"/>
      <c r="K304" s="325"/>
      <c r="L304" s="325"/>
      <c r="M304" s="459"/>
      <c r="N304" s="459"/>
      <c r="O304" s="454"/>
      <c r="P304" s="450"/>
      <c r="Q304" s="455"/>
    </row>
    <row r="305" spans="1:17" ht="14.55" customHeight="1">
      <c r="A305" s="449"/>
      <c r="B305" s="449"/>
      <c r="C305" s="450"/>
      <c r="D305" s="450"/>
      <c r="E305" s="450"/>
      <c r="F305" s="450"/>
      <c r="G305" s="450"/>
      <c r="H305" s="450"/>
      <c r="I305" s="450"/>
      <c r="J305" s="450"/>
      <c r="K305" s="325"/>
      <c r="L305" s="325"/>
      <c r="M305" s="459"/>
      <c r="N305" s="459"/>
      <c r="O305" s="456"/>
      <c r="P305" s="457"/>
      <c r="Q305" s="458"/>
    </row>
    <row r="306" spans="1:17" ht="14.55" customHeight="1">
      <c r="A306" s="449"/>
      <c r="B306" s="449"/>
      <c r="C306" s="450"/>
      <c r="D306" s="450"/>
      <c r="E306" s="450"/>
      <c r="F306" s="450"/>
      <c r="G306" s="450"/>
      <c r="H306" s="450"/>
      <c r="I306" s="450"/>
      <c r="J306" s="450"/>
      <c r="K306" s="325"/>
      <c r="L306" s="325"/>
      <c r="M306" s="11" t="s">
        <v>23</v>
      </c>
      <c r="N306" s="11" t="s">
        <v>20</v>
      </c>
      <c r="O306" s="451"/>
      <c r="P306" s="452"/>
      <c r="Q306" s="453"/>
    </row>
    <row r="307" spans="1:17" ht="14.55" customHeight="1">
      <c r="A307" s="449"/>
      <c r="B307" s="449"/>
      <c r="C307" s="450"/>
      <c r="D307" s="450"/>
      <c r="E307" s="450"/>
      <c r="F307" s="450"/>
      <c r="G307" s="450"/>
      <c r="H307" s="450"/>
      <c r="I307" s="450"/>
      <c r="J307" s="450"/>
      <c r="K307" s="325"/>
      <c r="L307" s="325"/>
      <c r="M307" s="459"/>
      <c r="N307" s="459"/>
      <c r="O307" s="454"/>
      <c r="P307" s="450"/>
      <c r="Q307" s="455"/>
    </row>
    <row r="308" spans="1:17" ht="14.55" customHeight="1">
      <c r="A308" s="449"/>
      <c r="B308" s="449"/>
      <c r="C308" s="450"/>
      <c r="D308" s="450"/>
      <c r="E308" s="450"/>
      <c r="F308" s="450"/>
      <c r="G308" s="450"/>
      <c r="H308" s="450"/>
      <c r="I308" s="450"/>
      <c r="J308" s="450"/>
      <c r="K308" s="325"/>
      <c r="L308" s="325"/>
      <c r="M308" s="459"/>
      <c r="N308" s="459"/>
      <c r="O308" s="456"/>
      <c r="P308" s="457"/>
      <c r="Q308" s="458"/>
    </row>
    <row r="309" spans="1:17" ht="14.55" customHeight="1">
      <c r="A309" s="449"/>
      <c r="B309" s="449"/>
      <c r="C309" s="450"/>
      <c r="D309" s="450"/>
      <c r="E309" s="450"/>
      <c r="F309" s="450"/>
      <c r="G309" s="450"/>
      <c r="H309" s="450"/>
      <c r="I309" s="450"/>
      <c r="J309" s="450"/>
      <c r="K309" s="325"/>
      <c r="L309" s="325"/>
      <c r="M309" s="11" t="s">
        <v>23</v>
      </c>
      <c r="N309" s="11" t="s">
        <v>20</v>
      </c>
      <c r="O309" s="451"/>
      <c r="P309" s="452"/>
      <c r="Q309" s="453"/>
    </row>
    <row r="310" spans="1:17" ht="14.55" customHeight="1">
      <c r="A310" s="449"/>
      <c r="B310" s="449"/>
      <c r="C310" s="450"/>
      <c r="D310" s="450"/>
      <c r="E310" s="450"/>
      <c r="F310" s="450"/>
      <c r="G310" s="450"/>
      <c r="H310" s="450"/>
      <c r="I310" s="450"/>
      <c r="J310" s="450"/>
      <c r="K310" s="325"/>
      <c r="L310" s="325"/>
      <c r="M310" s="459"/>
      <c r="N310" s="459"/>
      <c r="O310" s="454"/>
      <c r="P310" s="450"/>
      <c r="Q310" s="455"/>
    </row>
    <row r="311" spans="1:17" ht="14.55" customHeight="1">
      <c r="A311" s="449"/>
      <c r="B311" s="449"/>
      <c r="C311" s="450"/>
      <c r="D311" s="450"/>
      <c r="E311" s="450"/>
      <c r="F311" s="450"/>
      <c r="G311" s="450"/>
      <c r="H311" s="450"/>
      <c r="I311" s="450"/>
      <c r="J311" s="450"/>
      <c r="K311" s="325"/>
      <c r="L311" s="325"/>
      <c r="M311" s="459"/>
      <c r="N311" s="459"/>
      <c r="O311" s="456"/>
      <c r="P311" s="457"/>
      <c r="Q311" s="458"/>
    </row>
    <row r="312" spans="1:17" ht="14.55" customHeight="1">
      <c r="A312" s="449"/>
      <c r="B312" s="449"/>
      <c r="C312" s="450"/>
      <c r="D312" s="450"/>
      <c r="E312" s="450"/>
      <c r="F312" s="450"/>
      <c r="G312" s="450"/>
      <c r="H312" s="450"/>
      <c r="I312" s="450"/>
      <c r="J312" s="450"/>
      <c r="K312" s="325"/>
      <c r="L312" s="325"/>
      <c r="M312" s="11" t="s">
        <v>23</v>
      </c>
      <c r="N312" s="11" t="s">
        <v>20</v>
      </c>
      <c r="O312" s="451"/>
      <c r="P312" s="452"/>
      <c r="Q312" s="453"/>
    </row>
    <row r="313" spans="1:17" ht="14.55" customHeight="1">
      <c r="A313" s="449"/>
      <c r="B313" s="449"/>
      <c r="C313" s="450"/>
      <c r="D313" s="450"/>
      <c r="E313" s="450"/>
      <c r="F313" s="450"/>
      <c r="G313" s="450"/>
      <c r="H313" s="450"/>
      <c r="I313" s="450"/>
      <c r="J313" s="450"/>
      <c r="K313" s="325"/>
      <c r="L313" s="325"/>
      <c r="M313" s="459"/>
      <c r="N313" s="459"/>
      <c r="O313" s="454"/>
      <c r="P313" s="450"/>
      <c r="Q313" s="455"/>
    </row>
    <row r="314" spans="1:17" ht="14.55" customHeight="1">
      <c r="A314" s="449"/>
      <c r="B314" s="449"/>
      <c r="C314" s="450"/>
      <c r="D314" s="450"/>
      <c r="E314" s="450"/>
      <c r="F314" s="450"/>
      <c r="G314" s="450"/>
      <c r="H314" s="450"/>
      <c r="I314" s="450"/>
      <c r="J314" s="450"/>
      <c r="K314" s="325"/>
      <c r="L314" s="325"/>
      <c r="M314" s="459"/>
      <c r="N314" s="459"/>
      <c r="O314" s="456"/>
      <c r="P314" s="457"/>
      <c r="Q314" s="458"/>
    </row>
    <row r="315" spans="1:17" ht="14.55" customHeight="1">
      <c r="A315" s="449"/>
      <c r="B315" s="449"/>
      <c r="C315" s="450"/>
      <c r="D315" s="450"/>
      <c r="E315" s="450"/>
      <c r="F315" s="450"/>
      <c r="G315" s="450"/>
      <c r="H315" s="450"/>
      <c r="I315" s="450"/>
      <c r="J315" s="450"/>
      <c r="K315" s="325"/>
      <c r="L315" s="325"/>
      <c r="M315" s="11" t="s">
        <v>23</v>
      </c>
      <c r="N315" s="11" t="s">
        <v>20</v>
      </c>
      <c r="O315" s="451"/>
      <c r="P315" s="452"/>
      <c r="Q315" s="453"/>
    </row>
    <row r="316" spans="1:17" ht="14.55" customHeight="1">
      <c r="A316" s="449"/>
      <c r="B316" s="449"/>
      <c r="C316" s="450"/>
      <c r="D316" s="450"/>
      <c r="E316" s="450"/>
      <c r="F316" s="450"/>
      <c r="G316" s="450"/>
      <c r="H316" s="450"/>
      <c r="I316" s="450"/>
      <c r="J316" s="450"/>
      <c r="K316" s="325"/>
      <c r="L316" s="325"/>
      <c r="M316" s="459"/>
      <c r="N316" s="459"/>
      <c r="O316" s="454"/>
      <c r="P316" s="450"/>
      <c r="Q316" s="455"/>
    </row>
    <row r="317" spans="1:17" ht="14.55" customHeight="1">
      <c r="A317" s="449"/>
      <c r="B317" s="449"/>
      <c r="C317" s="450"/>
      <c r="D317" s="450"/>
      <c r="E317" s="450"/>
      <c r="F317" s="450"/>
      <c r="G317" s="450"/>
      <c r="H317" s="450"/>
      <c r="I317" s="450"/>
      <c r="J317" s="450"/>
      <c r="K317" s="325"/>
      <c r="L317" s="325"/>
      <c r="M317" s="459"/>
      <c r="N317" s="459"/>
      <c r="O317" s="456"/>
      <c r="P317" s="457"/>
      <c r="Q317" s="458"/>
    </row>
    <row r="318" spans="1:17" ht="14.55" customHeight="1">
      <c r="A318" s="449"/>
      <c r="B318" s="449"/>
      <c r="C318" s="450"/>
      <c r="D318" s="450"/>
      <c r="E318" s="450"/>
      <c r="F318" s="450"/>
      <c r="G318" s="450"/>
      <c r="H318" s="450"/>
      <c r="I318" s="450"/>
      <c r="J318" s="450"/>
      <c r="K318" s="325"/>
      <c r="L318" s="325"/>
      <c r="M318" s="11" t="s">
        <v>23</v>
      </c>
      <c r="N318" s="11" t="s">
        <v>20</v>
      </c>
      <c r="O318" s="451"/>
      <c r="P318" s="452"/>
      <c r="Q318" s="453"/>
    </row>
    <row r="319" spans="1:17" ht="14.55" customHeight="1">
      <c r="A319" s="449"/>
      <c r="B319" s="449"/>
      <c r="C319" s="450"/>
      <c r="D319" s="450"/>
      <c r="E319" s="450"/>
      <c r="F319" s="450"/>
      <c r="G319" s="450"/>
      <c r="H319" s="450"/>
      <c r="I319" s="450"/>
      <c r="J319" s="450"/>
      <c r="K319" s="325"/>
      <c r="L319" s="325"/>
      <c r="M319" s="459"/>
      <c r="N319" s="459"/>
      <c r="O319" s="454"/>
      <c r="P319" s="450"/>
      <c r="Q319" s="455"/>
    </row>
    <row r="320" spans="1:17" ht="14.55" customHeight="1">
      <c r="A320" s="449"/>
      <c r="B320" s="449"/>
      <c r="C320" s="450"/>
      <c r="D320" s="450"/>
      <c r="E320" s="450"/>
      <c r="F320" s="450"/>
      <c r="G320" s="450"/>
      <c r="H320" s="450"/>
      <c r="I320" s="450"/>
      <c r="J320" s="450"/>
      <c r="K320" s="325"/>
      <c r="L320" s="325"/>
      <c r="M320" s="459"/>
      <c r="N320" s="459"/>
      <c r="O320" s="456"/>
      <c r="P320" s="457"/>
      <c r="Q320" s="458"/>
    </row>
    <row r="321" spans="1:17" ht="14.55" customHeight="1">
      <c r="A321" s="449"/>
      <c r="B321" s="449"/>
      <c r="C321" s="450"/>
      <c r="D321" s="450"/>
      <c r="E321" s="450"/>
      <c r="F321" s="450"/>
      <c r="G321" s="450"/>
      <c r="H321" s="450"/>
      <c r="I321" s="450"/>
      <c r="J321" s="450"/>
      <c r="K321" s="325"/>
      <c r="L321" s="325"/>
      <c r="M321" s="11" t="s">
        <v>23</v>
      </c>
      <c r="N321" s="11" t="s">
        <v>20</v>
      </c>
      <c r="O321" s="451"/>
      <c r="P321" s="452"/>
      <c r="Q321" s="453"/>
    </row>
    <row r="322" spans="1:17" ht="14.55" customHeight="1">
      <c r="A322" s="449"/>
      <c r="B322" s="449"/>
      <c r="C322" s="450"/>
      <c r="D322" s="450"/>
      <c r="E322" s="450"/>
      <c r="F322" s="450"/>
      <c r="G322" s="450"/>
      <c r="H322" s="450"/>
      <c r="I322" s="450"/>
      <c r="J322" s="450"/>
      <c r="K322" s="325"/>
      <c r="L322" s="325"/>
      <c r="M322" s="459"/>
      <c r="N322" s="459"/>
      <c r="O322" s="454"/>
      <c r="P322" s="450"/>
      <c r="Q322" s="455"/>
    </row>
    <row r="323" spans="1:17" ht="14.55" customHeight="1">
      <c r="A323" s="449"/>
      <c r="B323" s="449"/>
      <c r="C323" s="450"/>
      <c r="D323" s="450"/>
      <c r="E323" s="450"/>
      <c r="F323" s="450"/>
      <c r="G323" s="450"/>
      <c r="H323" s="450"/>
      <c r="I323" s="450"/>
      <c r="J323" s="450"/>
      <c r="K323" s="325"/>
      <c r="L323" s="325"/>
      <c r="M323" s="459"/>
      <c r="N323" s="459"/>
      <c r="O323" s="456"/>
      <c r="P323" s="457"/>
      <c r="Q323" s="458"/>
    </row>
    <row r="324" spans="1:17" ht="14.55" customHeight="1">
      <c r="A324" s="449"/>
      <c r="B324" s="449"/>
      <c r="C324" s="450"/>
      <c r="D324" s="450"/>
      <c r="E324" s="450"/>
      <c r="F324" s="450"/>
      <c r="G324" s="450"/>
      <c r="H324" s="450"/>
      <c r="I324" s="450"/>
      <c r="J324" s="450"/>
      <c r="K324" s="325"/>
      <c r="L324" s="325"/>
      <c r="M324" s="11" t="s">
        <v>23</v>
      </c>
      <c r="N324" s="11" t="s">
        <v>20</v>
      </c>
      <c r="O324" s="451"/>
      <c r="P324" s="452"/>
      <c r="Q324" s="453"/>
    </row>
    <row r="325" spans="1:17" ht="14.55" customHeight="1">
      <c r="A325" s="449"/>
      <c r="B325" s="449"/>
      <c r="C325" s="450"/>
      <c r="D325" s="450"/>
      <c r="E325" s="450"/>
      <c r="F325" s="450"/>
      <c r="G325" s="450"/>
      <c r="H325" s="450"/>
      <c r="I325" s="450"/>
      <c r="J325" s="450"/>
      <c r="K325" s="325"/>
      <c r="L325" s="325"/>
      <c r="M325" s="459"/>
      <c r="N325" s="459"/>
      <c r="O325" s="454"/>
      <c r="P325" s="450"/>
      <c r="Q325" s="455"/>
    </row>
    <row r="326" spans="1:17" ht="14.55" customHeight="1">
      <c r="A326" s="449"/>
      <c r="B326" s="449"/>
      <c r="C326" s="450"/>
      <c r="D326" s="450"/>
      <c r="E326" s="450"/>
      <c r="F326" s="450"/>
      <c r="G326" s="450"/>
      <c r="H326" s="450"/>
      <c r="I326" s="450"/>
      <c r="J326" s="450"/>
      <c r="K326" s="325"/>
      <c r="L326" s="325"/>
      <c r="M326" s="459"/>
      <c r="N326" s="459"/>
      <c r="O326" s="456"/>
      <c r="P326" s="457"/>
      <c r="Q326" s="458"/>
    </row>
    <row r="327" spans="1:17" ht="14.55" customHeight="1">
      <c r="A327" s="449"/>
      <c r="B327" s="449"/>
      <c r="C327" s="450"/>
      <c r="D327" s="450"/>
      <c r="E327" s="450"/>
      <c r="F327" s="450"/>
      <c r="G327" s="450"/>
      <c r="H327" s="450"/>
      <c r="I327" s="450"/>
      <c r="J327" s="450"/>
      <c r="K327" s="325"/>
      <c r="L327" s="325"/>
      <c r="M327" s="11" t="s">
        <v>23</v>
      </c>
      <c r="N327" s="11" t="s">
        <v>20</v>
      </c>
      <c r="O327" s="451"/>
      <c r="P327" s="452"/>
      <c r="Q327" s="453"/>
    </row>
    <row r="328" spans="1:17" ht="14.55" customHeight="1">
      <c r="A328" s="449"/>
      <c r="B328" s="449"/>
      <c r="C328" s="450"/>
      <c r="D328" s="450"/>
      <c r="E328" s="450"/>
      <c r="F328" s="450"/>
      <c r="G328" s="450"/>
      <c r="H328" s="450"/>
      <c r="I328" s="450"/>
      <c r="J328" s="450"/>
      <c r="K328" s="325"/>
      <c r="L328" s="325"/>
      <c r="M328" s="459"/>
      <c r="N328" s="459"/>
      <c r="O328" s="454"/>
      <c r="P328" s="450"/>
      <c r="Q328" s="455"/>
    </row>
    <row r="329" spans="1:17" ht="14.55" customHeight="1">
      <c r="A329" s="449"/>
      <c r="B329" s="449"/>
      <c r="C329" s="450"/>
      <c r="D329" s="450"/>
      <c r="E329" s="450"/>
      <c r="F329" s="450"/>
      <c r="G329" s="450"/>
      <c r="H329" s="450"/>
      <c r="I329" s="450"/>
      <c r="J329" s="450"/>
      <c r="K329" s="325"/>
      <c r="L329" s="325"/>
      <c r="M329" s="459"/>
      <c r="N329" s="459"/>
      <c r="O329" s="456"/>
      <c r="P329" s="457"/>
      <c r="Q329" s="458"/>
    </row>
    <row r="330" spans="1:17" ht="14.55" customHeight="1">
      <c r="A330" s="449"/>
      <c r="B330" s="449"/>
      <c r="C330" s="450"/>
      <c r="D330" s="450"/>
      <c r="E330" s="450"/>
      <c r="F330" s="450"/>
      <c r="G330" s="450"/>
      <c r="H330" s="450"/>
      <c r="I330" s="450"/>
      <c r="J330" s="450"/>
      <c r="K330" s="325"/>
      <c r="L330" s="325"/>
      <c r="M330" s="11" t="s">
        <v>23</v>
      </c>
      <c r="N330" s="11" t="s">
        <v>20</v>
      </c>
      <c r="O330" s="451"/>
      <c r="P330" s="452"/>
      <c r="Q330" s="453"/>
    </row>
    <row r="331" spans="1:17" ht="14.55" customHeight="1">
      <c r="A331" s="449"/>
      <c r="B331" s="449"/>
      <c r="C331" s="450"/>
      <c r="D331" s="450"/>
      <c r="E331" s="450"/>
      <c r="F331" s="450"/>
      <c r="G331" s="450"/>
      <c r="H331" s="450"/>
      <c r="I331" s="450"/>
      <c r="J331" s="450"/>
      <c r="K331" s="325"/>
      <c r="L331" s="325"/>
      <c r="M331" s="459"/>
      <c r="N331" s="459"/>
      <c r="O331" s="454"/>
      <c r="P331" s="450"/>
      <c r="Q331" s="455"/>
    </row>
    <row r="332" spans="1:17" ht="14.55" customHeight="1">
      <c r="A332" s="449"/>
      <c r="B332" s="449"/>
      <c r="C332" s="450"/>
      <c r="D332" s="450"/>
      <c r="E332" s="450"/>
      <c r="F332" s="450"/>
      <c r="G332" s="450"/>
      <c r="H332" s="450"/>
      <c r="I332" s="450"/>
      <c r="J332" s="450"/>
      <c r="K332" s="325"/>
      <c r="L332" s="325"/>
      <c r="M332" s="459"/>
      <c r="N332" s="459"/>
      <c r="O332" s="456"/>
      <c r="P332" s="457"/>
      <c r="Q332" s="458"/>
    </row>
    <row r="333" spans="1:17" ht="14.55" customHeight="1">
      <c r="A333" s="449"/>
      <c r="B333" s="449"/>
      <c r="C333" s="450"/>
      <c r="D333" s="450"/>
      <c r="E333" s="450"/>
      <c r="F333" s="450"/>
      <c r="G333" s="450"/>
      <c r="H333" s="450"/>
      <c r="I333" s="450"/>
      <c r="J333" s="450"/>
      <c r="K333" s="325"/>
      <c r="L333" s="325"/>
      <c r="M333" s="11" t="s">
        <v>23</v>
      </c>
      <c r="N333" s="11" t="s">
        <v>20</v>
      </c>
      <c r="O333" s="451"/>
      <c r="P333" s="452"/>
      <c r="Q333" s="453"/>
    </row>
    <row r="334" spans="1:17" ht="14.55" customHeight="1">
      <c r="A334" s="449"/>
      <c r="B334" s="449"/>
      <c r="C334" s="450"/>
      <c r="D334" s="450"/>
      <c r="E334" s="450"/>
      <c r="F334" s="450"/>
      <c r="G334" s="450"/>
      <c r="H334" s="450"/>
      <c r="I334" s="450"/>
      <c r="J334" s="450"/>
      <c r="K334" s="325"/>
      <c r="L334" s="325"/>
      <c r="M334" s="459"/>
      <c r="N334" s="459"/>
      <c r="O334" s="454"/>
      <c r="P334" s="450"/>
      <c r="Q334" s="455"/>
    </row>
    <row r="335" spans="1:17" ht="14.55" customHeight="1">
      <c r="A335" s="449"/>
      <c r="B335" s="449"/>
      <c r="C335" s="450"/>
      <c r="D335" s="450"/>
      <c r="E335" s="450"/>
      <c r="F335" s="450"/>
      <c r="G335" s="450"/>
      <c r="H335" s="450"/>
      <c r="I335" s="450"/>
      <c r="J335" s="450"/>
      <c r="K335" s="325"/>
      <c r="L335" s="325"/>
      <c r="M335" s="459"/>
      <c r="N335" s="459"/>
      <c r="O335" s="456"/>
      <c r="P335" s="457"/>
      <c r="Q335" s="458"/>
    </row>
    <row r="336" spans="1:17" ht="14.55" customHeight="1">
      <c r="A336" s="449"/>
      <c r="B336" s="449"/>
      <c r="C336" s="450"/>
      <c r="D336" s="450"/>
      <c r="E336" s="450"/>
      <c r="F336" s="450"/>
      <c r="G336" s="450"/>
      <c r="H336" s="450"/>
      <c r="I336" s="450"/>
      <c r="J336" s="450"/>
      <c r="K336" s="325"/>
      <c r="L336" s="325"/>
      <c r="M336" s="11" t="s">
        <v>23</v>
      </c>
      <c r="N336" s="11" t="s">
        <v>20</v>
      </c>
      <c r="O336" s="451"/>
      <c r="P336" s="452"/>
      <c r="Q336" s="453"/>
    </row>
    <row r="337" spans="1:17" ht="14.55" customHeight="1">
      <c r="A337" s="449"/>
      <c r="B337" s="449"/>
      <c r="C337" s="450"/>
      <c r="D337" s="450"/>
      <c r="E337" s="450"/>
      <c r="F337" s="450"/>
      <c r="G337" s="450"/>
      <c r="H337" s="450"/>
      <c r="I337" s="450"/>
      <c r="J337" s="450"/>
      <c r="K337" s="325"/>
      <c r="L337" s="325"/>
      <c r="M337" s="459"/>
      <c r="N337" s="459"/>
      <c r="O337" s="454"/>
      <c r="P337" s="450"/>
      <c r="Q337" s="455"/>
    </row>
    <row r="338" spans="1:17" ht="14.55" customHeight="1">
      <c r="A338" s="449"/>
      <c r="B338" s="449"/>
      <c r="C338" s="450"/>
      <c r="D338" s="450"/>
      <c r="E338" s="450"/>
      <c r="F338" s="450"/>
      <c r="G338" s="450"/>
      <c r="H338" s="450"/>
      <c r="I338" s="450"/>
      <c r="J338" s="450"/>
      <c r="K338" s="325"/>
      <c r="L338" s="325"/>
      <c r="M338" s="459"/>
      <c r="N338" s="459"/>
      <c r="O338" s="456"/>
      <c r="P338" s="457"/>
      <c r="Q338" s="458"/>
    </row>
    <row r="339" spans="1:17" ht="14.55" customHeight="1">
      <c r="A339" s="449"/>
      <c r="B339" s="449"/>
      <c r="C339" s="450"/>
      <c r="D339" s="450"/>
      <c r="E339" s="450"/>
      <c r="F339" s="450"/>
      <c r="G339" s="450"/>
      <c r="H339" s="450"/>
      <c r="I339" s="450"/>
      <c r="J339" s="450"/>
      <c r="K339" s="325"/>
      <c r="L339" s="325"/>
      <c r="M339" s="11" t="s">
        <v>23</v>
      </c>
      <c r="N339" s="11" t="s">
        <v>20</v>
      </c>
      <c r="O339" s="451"/>
      <c r="P339" s="452"/>
      <c r="Q339" s="453"/>
    </row>
    <row r="340" spans="1:17" ht="14.55" customHeight="1">
      <c r="A340" s="449"/>
      <c r="B340" s="449"/>
      <c r="C340" s="450"/>
      <c r="D340" s="450"/>
      <c r="E340" s="450"/>
      <c r="F340" s="450"/>
      <c r="G340" s="450"/>
      <c r="H340" s="450"/>
      <c r="I340" s="450"/>
      <c r="J340" s="450"/>
      <c r="K340" s="325"/>
      <c r="L340" s="325"/>
      <c r="M340" s="459"/>
      <c r="N340" s="459"/>
      <c r="O340" s="454"/>
      <c r="P340" s="450"/>
      <c r="Q340" s="455"/>
    </row>
    <row r="341" spans="1:17" ht="14.55" customHeight="1">
      <c r="A341" s="449"/>
      <c r="B341" s="449"/>
      <c r="C341" s="450"/>
      <c r="D341" s="450"/>
      <c r="E341" s="450"/>
      <c r="F341" s="450"/>
      <c r="G341" s="450"/>
      <c r="H341" s="450"/>
      <c r="I341" s="450"/>
      <c r="J341" s="450"/>
      <c r="K341" s="325"/>
      <c r="L341" s="325"/>
      <c r="M341" s="459"/>
      <c r="N341" s="459"/>
      <c r="O341" s="456"/>
      <c r="P341" s="457"/>
      <c r="Q341" s="458"/>
    </row>
    <row r="342" spans="1:17" ht="14.55" customHeight="1">
      <c r="A342" s="449"/>
      <c r="B342" s="449"/>
      <c r="C342" s="450"/>
      <c r="D342" s="450"/>
      <c r="E342" s="450"/>
      <c r="F342" s="450"/>
      <c r="G342" s="450"/>
      <c r="H342" s="450"/>
      <c r="I342" s="450"/>
      <c r="J342" s="450"/>
      <c r="K342" s="325"/>
      <c r="L342" s="325"/>
      <c r="M342" s="11" t="s">
        <v>23</v>
      </c>
      <c r="N342" s="11" t="s">
        <v>20</v>
      </c>
      <c r="O342" s="451"/>
      <c r="P342" s="452"/>
      <c r="Q342" s="453"/>
    </row>
    <row r="343" spans="1:17" ht="14.55" customHeight="1">
      <c r="A343" s="449"/>
      <c r="B343" s="449"/>
      <c r="C343" s="450"/>
      <c r="D343" s="450"/>
      <c r="E343" s="450"/>
      <c r="F343" s="450"/>
      <c r="G343" s="450"/>
      <c r="H343" s="450"/>
      <c r="I343" s="450"/>
      <c r="J343" s="450"/>
      <c r="K343" s="325"/>
      <c r="L343" s="325"/>
      <c r="M343" s="459"/>
      <c r="N343" s="459"/>
      <c r="O343" s="454"/>
      <c r="P343" s="450"/>
      <c r="Q343" s="455"/>
    </row>
    <row r="344" spans="1:17" ht="14.55" customHeight="1">
      <c r="A344" s="449"/>
      <c r="B344" s="449"/>
      <c r="C344" s="450"/>
      <c r="D344" s="450"/>
      <c r="E344" s="450"/>
      <c r="F344" s="450"/>
      <c r="G344" s="450"/>
      <c r="H344" s="450"/>
      <c r="I344" s="450"/>
      <c r="J344" s="450"/>
      <c r="K344" s="325"/>
      <c r="L344" s="325"/>
      <c r="M344" s="459"/>
      <c r="N344" s="459"/>
      <c r="O344" s="456"/>
      <c r="P344" s="457"/>
      <c r="Q344" s="458"/>
    </row>
    <row r="345" spans="1:17" ht="14.55" customHeight="1">
      <c r="A345" s="449"/>
      <c r="B345" s="449"/>
      <c r="C345" s="450"/>
      <c r="D345" s="450"/>
      <c r="E345" s="450"/>
      <c r="F345" s="450"/>
      <c r="G345" s="450"/>
      <c r="H345" s="450"/>
      <c r="I345" s="450"/>
      <c r="J345" s="450"/>
      <c r="K345" s="325"/>
      <c r="L345" s="325"/>
      <c r="M345" s="11" t="s">
        <v>23</v>
      </c>
      <c r="N345" s="11" t="s">
        <v>20</v>
      </c>
      <c r="O345" s="451"/>
      <c r="P345" s="452"/>
      <c r="Q345" s="453"/>
    </row>
    <row r="346" spans="1:17" ht="14.55" customHeight="1">
      <c r="A346" s="449"/>
      <c r="B346" s="449"/>
      <c r="C346" s="450"/>
      <c r="D346" s="450"/>
      <c r="E346" s="450"/>
      <c r="F346" s="450"/>
      <c r="G346" s="450"/>
      <c r="H346" s="450"/>
      <c r="I346" s="450"/>
      <c r="J346" s="450"/>
      <c r="K346" s="325"/>
      <c r="L346" s="325"/>
      <c r="M346" s="459"/>
      <c r="N346" s="459"/>
      <c r="O346" s="454"/>
      <c r="P346" s="450"/>
      <c r="Q346" s="455"/>
    </row>
    <row r="347" spans="1:17" ht="14.55" customHeight="1">
      <c r="A347" s="449"/>
      <c r="B347" s="449"/>
      <c r="C347" s="450"/>
      <c r="D347" s="450"/>
      <c r="E347" s="450"/>
      <c r="F347" s="450"/>
      <c r="G347" s="450"/>
      <c r="H347" s="450"/>
      <c r="I347" s="450"/>
      <c r="J347" s="450"/>
      <c r="K347" s="325"/>
      <c r="L347" s="325"/>
      <c r="M347" s="459"/>
      <c r="N347" s="459"/>
      <c r="O347" s="456"/>
      <c r="P347" s="457"/>
      <c r="Q347" s="458"/>
    </row>
    <row r="348" spans="1:17" ht="14.55" customHeight="1">
      <c r="A348" s="449"/>
      <c r="B348" s="449"/>
      <c r="C348" s="450"/>
      <c r="D348" s="450"/>
      <c r="E348" s="450"/>
      <c r="F348" s="450"/>
      <c r="G348" s="450"/>
      <c r="H348" s="450"/>
      <c r="I348" s="450"/>
      <c r="J348" s="450"/>
      <c r="K348" s="325"/>
      <c r="L348" s="325"/>
      <c r="M348" s="11" t="s">
        <v>23</v>
      </c>
      <c r="N348" s="11" t="s">
        <v>20</v>
      </c>
      <c r="O348" s="451"/>
      <c r="P348" s="452"/>
      <c r="Q348" s="453"/>
    </row>
    <row r="349" spans="1:17" ht="14.55" customHeight="1">
      <c r="A349" s="449"/>
      <c r="B349" s="449"/>
      <c r="C349" s="450"/>
      <c r="D349" s="450"/>
      <c r="E349" s="450"/>
      <c r="F349" s="450"/>
      <c r="G349" s="450"/>
      <c r="H349" s="450"/>
      <c r="I349" s="450"/>
      <c r="J349" s="450"/>
      <c r="K349" s="325"/>
      <c r="L349" s="325"/>
      <c r="M349" s="459"/>
      <c r="N349" s="459"/>
      <c r="O349" s="454"/>
      <c r="P349" s="450"/>
      <c r="Q349" s="455"/>
    </row>
    <row r="350" spans="1:17" ht="14.55" customHeight="1">
      <c r="A350" s="449"/>
      <c r="B350" s="449"/>
      <c r="C350" s="450"/>
      <c r="D350" s="450"/>
      <c r="E350" s="450"/>
      <c r="F350" s="450"/>
      <c r="G350" s="450"/>
      <c r="H350" s="450"/>
      <c r="I350" s="450"/>
      <c r="J350" s="450"/>
      <c r="K350" s="325"/>
      <c r="L350" s="325"/>
      <c r="M350" s="459"/>
      <c r="N350" s="459"/>
      <c r="O350" s="456"/>
      <c r="P350" s="457"/>
      <c r="Q350" s="458"/>
    </row>
    <row r="351" spans="1:17" ht="14.55" customHeight="1">
      <c r="A351" s="449"/>
      <c r="B351" s="449"/>
      <c r="C351" s="450"/>
      <c r="D351" s="450"/>
      <c r="E351" s="450"/>
      <c r="F351" s="450"/>
      <c r="G351" s="450"/>
      <c r="H351" s="450"/>
      <c r="I351" s="450"/>
      <c r="J351" s="450"/>
      <c r="K351" s="325"/>
      <c r="L351" s="325"/>
      <c r="M351" s="11" t="s">
        <v>23</v>
      </c>
      <c r="N351" s="11" t="s">
        <v>20</v>
      </c>
      <c r="O351" s="451"/>
      <c r="P351" s="452"/>
      <c r="Q351" s="453"/>
    </row>
    <row r="352" spans="1:17" ht="14.55" customHeight="1">
      <c r="A352" s="449"/>
      <c r="B352" s="449"/>
      <c r="C352" s="450"/>
      <c r="D352" s="450"/>
      <c r="E352" s="450"/>
      <c r="F352" s="450"/>
      <c r="G352" s="450"/>
      <c r="H352" s="450"/>
      <c r="I352" s="450"/>
      <c r="J352" s="450"/>
      <c r="K352" s="325"/>
      <c r="L352" s="325"/>
      <c r="M352" s="459"/>
      <c r="N352" s="459"/>
      <c r="O352" s="454"/>
      <c r="P352" s="450"/>
      <c r="Q352" s="455"/>
    </row>
    <row r="353" spans="1:17" ht="14.55" customHeight="1">
      <c r="A353" s="449"/>
      <c r="B353" s="449"/>
      <c r="C353" s="450"/>
      <c r="D353" s="450"/>
      <c r="E353" s="450"/>
      <c r="F353" s="450"/>
      <c r="G353" s="450"/>
      <c r="H353" s="450"/>
      <c r="I353" s="450"/>
      <c r="J353" s="450"/>
      <c r="K353" s="325"/>
      <c r="L353" s="325"/>
      <c r="M353" s="459"/>
      <c r="N353" s="459"/>
      <c r="O353" s="456"/>
      <c r="P353" s="457"/>
      <c r="Q353" s="458"/>
    </row>
    <row r="354" spans="1:17" ht="14.55" customHeight="1">
      <c r="A354" s="449"/>
      <c r="B354" s="449"/>
      <c r="C354" s="450"/>
      <c r="D354" s="450"/>
      <c r="E354" s="450"/>
      <c r="F354" s="450"/>
      <c r="G354" s="450"/>
      <c r="H354" s="450"/>
      <c r="I354" s="450"/>
      <c r="J354" s="450"/>
      <c r="K354" s="325"/>
      <c r="L354" s="325"/>
      <c r="M354" s="11" t="s">
        <v>23</v>
      </c>
      <c r="N354" s="11" t="s">
        <v>20</v>
      </c>
      <c r="O354" s="451"/>
      <c r="P354" s="452"/>
      <c r="Q354" s="453"/>
    </row>
    <row r="355" spans="1:17" ht="14.55" customHeight="1">
      <c r="A355" s="449"/>
      <c r="B355" s="449"/>
      <c r="C355" s="450"/>
      <c r="D355" s="450"/>
      <c r="E355" s="450"/>
      <c r="F355" s="450"/>
      <c r="G355" s="450"/>
      <c r="H355" s="450"/>
      <c r="I355" s="450"/>
      <c r="J355" s="450"/>
      <c r="K355" s="325"/>
      <c r="L355" s="325"/>
      <c r="M355" s="459"/>
      <c r="N355" s="459"/>
      <c r="O355" s="454"/>
      <c r="P355" s="450"/>
      <c r="Q355" s="455"/>
    </row>
    <row r="356" spans="1:17" ht="14.55" customHeight="1">
      <c r="A356" s="449"/>
      <c r="B356" s="449"/>
      <c r="C356" s="450"/>
      <c r="D356" s="450"/>
      <c r="E356" s="450"/>
      <c r="F356" s="450"/>
      <c r="G356" s="450"/>
      <c r="H356" s="450"/>
      <c r="I356" s="450"/>
      <c r="J356" s="450"/>
      <c r="K356" s="325"/>
      <c r="L356" s="325"/>
      <c r="M356" s="459"/>
      <c r="N356" s="459"/>
      <c r="O356" s="456"/>
      <c r="P356" s="457"/>
      <c r="Q356" s="458"/>
    </row>
    <row r="357" spans="1:17" ht="14.55" customHeight="1">
      <c r="A357" s="449"/>
      <c r="B357" s="449"/>
      <c r="C357" s="450"/>
      <c r="D357" s="450"/>
      <c r="E357" s="450"/>
      <c r="F357" s="450"/>
      <c r="G357" s="450"/>
      <c r="H357" s="450"/>
      <c r="I357" s="450"/>
      <c r="J357" s="450"/>
      <c r="K357" s="325"/>
      <c r="L357" s="325"/>
      <c r="M357" s="11" t="s">
        <v>23</v>
      </c>
      <c r="N357" s="11" t="s">
        <v>20</v>
      </c>
      <c r="O357" s="451"/>
      <c r="P357" s="452"/>
      <c r="Q357" s="453"/>
    </row>
    <row r="358" spans="1:17" ht="14.55" customHeight="1">
      <c r="A358" s="449"/>
      <c r="B358" s="449"/>
      <c r="C358" s="450"/>
      <c r="D358" s="450"/>
      <c r="E358" s="450"/>
      <c r="F358" s="450"/>
      <c r="G358" s="450"/>
      <c r="H358" s="450"/>
      <c r="I358" s="450"/>
      <c r="J358" s="450"/>
      <c r="K358" s="325"/>
      <c r="L358" s="325"/>
      <c r="M358" s="459"/>
      <c r="N358" s="459"/>
      <c r="O358" s="454"/>
      <c r="P358" s="450"/>
      <c r="Q358" s="455"/>
    </row>
    <row r="359" spans="1:17" ht="14.55" customHeight="1">
      <c r="A359" s="449"/>
      <c r="B359" s="449"/>
      <c r="C359" s="450"/>
      <c r="D359" s="450"/>
      <c r="E359" s="450"/>
      <c r="F359" s="450"/>
      <c r="G359" s="450"/>
      <c r="H359" s="450"/>
      <c r="I359" s="450"/>
      <c r="J359" s="450"/>
      <c r="K359" s="325"/>
      <c r="L359" s="325"/>
      <c r="M359" s="459"/>
      <c r="N359" s="459"/>
      <c r="O359" s="456"/>
      <c r="P359" s="457"/>
      <c r="Q359" s="458"/>
    </row>
    <row r="360" spans="1:17" ht="14.55" customHeight="1">
      <c r="A360" s="449"/>
      <c r="B360" s="449"/>
      <c r="C360" s="450"/>
      <c r="D360" s="450"/>
      <c r="E360" s="450"/>
      <c r="F360" s="450"/>
      <c r="G360" s="450"/>
      <c r="H360" s="450"/>
      <c r="I360" s="450"/>
      <c r="J360" s="450"/>
      <c r="K360" s="325"/>
      <c r="L360" s="325"/>
      <c r="M360" s="11" t="s">
        <v>23</v>
      </c>
      <c r="N360" s="11" t="s">
        <v>20</v>
      </c>
      <c r="O360" s="451"/>
      <c r="P360" s="452"/>
      <c r="Q360" s="453"/>
    </row>
    <row r="361" spans="1:17" ht="14.55" customHeight="1">
      <c r="A361" s="449"/>
      <c r="B361" s="449"/>
      <c r="C361" s="450"/>
      <c r="D361" s="450"/>
      <c r="E361" s="450"/>
      <c r="F361" s="450"/>
      <c r="G361" s="450"/>
      <c r="H361" s="450"/>
      <c r="I361" s="450"/>
      <c r="J361" s="450"/>
      <c r="K361" s="325"/>
      <c r="L361" s="325"/>
      <c r="M361" s="459"/>
      <c r="N361" s="459"/>
      <c r="O361" s="454"/>
      <c r="P361" s="450"/>
      <c r="Q361" s="455"/>
    </row>
    <row r="362" spans="1:17" ht="14.55" customHeight="1">
      <c r="A362" s="449"/>
      <c r="B362" s="449"/>
      <c r="C362" s="450"/>
      <c r="D362" s="450"/>
      <c r="E362" s="450"/>
      <c r="F362" s="450"/>
      <c r="G362" s="450"/>
      <c r="H362" s="450"/>
      <c r="I362" s="450"/>
      <c r="J362" s="450"/>
      <c r="K362" s="325"/>
      <c r="L362" s="325"/>
      <c r="M362" s="459"/>
      <c r="N362" s="459"/>
      <c r="O362" s="456"/>
      <c r="P362" s="457"/>
      <c r="Q362" s="458"/>
    </row>
    <row r="363" spans="1:17" ht="14.55" customHeight="1">
      <c r="A363" s="449"/>
      <c r="B363" s="449"/>
      <c r="C363" s="450"/>
      <c r="D363" s="450"/>
      <c r="E363" s="450"/>
      <c r="F363" s="450"/>
      <c r="G363" s="450"/>
      <c r="H363" s="450"/>
      <c r="I363" s="450"/>
      <c r="J363" s="450"/>
      <c r="K363" s="325"/>
      <c r="L363" s="325"/>
      <c r="M363" s="11" t="s">
        <v>23</v>
      </c>
      <c r="N363" s="11" t="s">
        <v>20</v>
      </c>
      <c r="O363" s="451"/>
      <c r="P363" s="452"/>
      <c r="Q363" s="453"/>
    </row>
    <row r="364" spans="1:17" ht="14.55" customHeight="1">
      <c r="A364" s="449"/>
      <c r="B364" s="449"/>
      <c r="C364" s="450"/>
      <c r="D364" s="450"/>
      <c r="E364" s="450"/>
      <c r="F364" s="450"/>
      <c r="G364" s="450"/>
      <c r="H364" s="450"/>
      <c r="I364" s="450"/>
      <c r="J364" s="450"/>
      <c r="K364" s="325"/>
      <c r="L364" s="325"/>
      <c r="M364" s="459"/>
      <c r="N364" s="459"/>
      <c r="O364" s="454"/>
      <c r="P364" s="450"/>
      <c r="Q364" s="455"/>
    </row>
    <row r="365" spans="1:17" ht="14.55" customHeight="1">
      <c r="A365" s="449"/>
      <c r="B365" s="449"/>
      <c r="C365" s="450"/>
      <c r="D365" s="450"/>
      <c r="E365" s="450"/>
      <c r="F365" s="450"/>
      <c r="G365" s="450"/>
      <c r="H365" s="450"/>
      <c r="I365" s="450"/>
      <c r="J365" s="450"/>
      <c r="K365" s="325"/>
      <c r="L365" s="325"/>
      <c r="M365" s="459"/>
      <c r="N365" s="459"/>
      <c r="O365" s="456"/>
      <c r="P365" s="457"/>
      <c r="Q365" s="458"/>
    </row>
    <row r="366" spans="1:17" ht="14.55" customHeight="1">
      <c r="A366" s="449"/>
      <c r="B366" s="449"/>
      <c r="C366" s="450"/>
      <c r="D366" s="450"/>
      <c r="E366" s="450"/>
      <c r="F366" s="450"/>
      <c r="G366" s="450"/>
      <c r="H366" s="450"/>
      <c r="I366" s="450"/>
      <c r="J366" s="450"/>
      <c r="K366" s="325"/>
      <c r="L366" s="325"/>
      <c r="M366" s="11" t="s">
        <v>23</v>
      </c>
      <c r="N366" s="11" t="s">
        <v>20</v>
      </c>
      <c r="O366" s="451"/>
      <c r="P366" s="452"/>
      <c r="Q366" s="453"/>
    </row>
    <row r="367" spans="1:17" ht="14.55" customHeight="1">
      <c r="A367" s="449"/>
      <c r="B367" s="449"/>
      <c r="C367" s="450"/>
      <c r="D367" s="450"/>
      <c r="E367" s="450"/>
      <c r="F367" s="450"/>
      <c r="G367" s="450"/>
      <c r="H367" s="450"/>
      <c r="I367" s="450"/>
      <c r="J367" s="450"/>
      <c r="K367" s="325"/>
      <c r="L367" s="325"/>
      <c r="M367" s="459"/>
      <c r="N367" s="459"/>
      <c r="O367" s="454"/>
      <c r="P367" s="450"/>
      <c r="Q367" s="455"/>
    </row>
    <row r="368" spans="1:17" ht="14.55" customHeight="1">
      <c r="A368" s="449"/>
      <c r="B368" s="449"/>
      <c r="C368" s="450"/>
      <c r="D368" s="450"/>
      <c r="E368" s="450"/>
      <c r="F368" s="450"/>
      <c r="G368" s="450"/>
      <c r="H368" s="450"/>
      <c r="I368" s="450"/>
      <c r="J368" s="450"/>
      <c r="K368" s="325"/>
      <c r="L368" s="325"/>
      <c r="M368" s="459"/>
      <c r="N368" s="459"/>
      <c r="O368" s="456"/>
      <c r="P368" s="457"/>
      <c r="Q368" s="458"/>
    </row>
  </sheetData>
  <mergeCells count="731">
    <mergeCell ref="A366:B368"/>
    <mergeCell ref="C366:J368"/>
    <mergeCell ref="K366:L368"/>
    <mergeCell ref="O366:Q368"/>
    <mergeCell ref="M367:M368"/>
    <mergeCell ref="N367:N368"/>
    <mergeCell ref="A363:B365"/>
    <mergeCell ref="C363:J365"/>
    <mergeCell ref="K363:L365"/>
    <mergeCell ref="O363:Q365"/>
    <mergeCell ref="M364:M365"/>
    <mergeCell ref="N364:N365"/>
    <mergeCell ref="A357:B359"/>
    <mergeCell ref="C357:J359"/>
    <mergeCell ref="K357:L359"/>
    <mergeCell ref="O357:Q359"/>
    <mergeCell ref="M358:M359"/>
    <mergeCell ref="N358:N359"/>
    <mergeCell ref="A360:B362"/>
    <mergeCell ref="C360:J362"/>
    <mergeCell ref="K360:L362"/>
    <mergeCell ref="O360:Q362"/>
    <mergeCell ref="M361:M362"/>
    <mergeCell ref="N361:N362"/>
    <mergeCell ref="A351:B353"/>
    <mergeCell ref="C351:J353"/>
    <mergeCell ref="K351:L353"/>
    <mergeCell ref="O351:Q353"/>
    <mergeCell ref="M352:M353"/>
    <mergeCell ref="N352:N353"/>
    <mergeCell ref="A354:B356"/>
    <mergeCell ref="C354:J356"/>
    <mergeCell ref="K354:L356"/>
    <mergeCell ref="O354:Q356"/>
    <mergeCell ref="M355:M356"/>
    <mergeCell ref="N355:N356"/>
    <mergeCell ref="A345:B347"/>
    <mergeCell ref="C345:J347"/>
    <mergeCell ref="K345:L347"/>
    <mergeCell ref="O345:Q347"/>
    <mergeCell ref="M346:M347"/>
    <mergeCell ref="N346:N347"/>
    <mergeCell ref="A348:B350"/>
    <mergeCell ref="C348:J350"/>
    <mergeCell ref="K348:L350"/>
    <mergeCell ref="O348:Q350"/>
    <mergeCell ref="M349:M350"/>
    <mergeCell ref="N349:N350"/>
    <mergeCell ref="A339:B341"/>
    <mergeCell ref="C339:J341"/>
    <mergeCell ref="K339:L341"/>
    <mergeCell ref="O339:Q341"/>
    <mergeCell ref="M340:M341"/>
    <mergeCell ref="N340:N341"/>
    <mergeCell ref="A342:B344"/>
    <mergeCell ref="C342:J344"/>
    <mergeCell ref="K342:L344"/>
    <mergeCell ref="O342:Q344"/>
    <mergeCell ref="M343:M344"/>
    <mergeCell ref="N343:N344"/>
    <mergeCell ref="A333:B335"/>
    <mergeCell ref="C333:J335"/>
    <mergeCell ref="K333:L335"/>
    <mergeCell ref="O333:Q335"/>
    <mergeCell ref="M334:M335"/>
    <mergeCell ref="N334:N335"/>
    <mergeCell ref="A336:B338"/>
    <mergeCell ref="C336:J338"/>
    <mergeCell ref="K336:L338"/>
    <mergeCell ref="O336:Q338"/>
    <mergeCell ref="M337:M338"/>
    <mergeCell ref="N337:N338"/>
    <mergeCell ref="A327:B329"/>
    <mergeCell ref="C327:J329"/>
    <mergeCell ref="K327:L329"/>
    <mergeCell ref="O327:Q329"/>
    <mergeCell ref="M328:M329"/>
    <mergeCell ref="N328:N329"/>
    <mergeCell ref="A330:B332"/>
    <mergeCell ref="C330:J332"/>
    <mergeCell ref="K330:L332"/>
    <mergeCell ref="O330:Q332"/>
    <mergeCell ref="M331:M332"/>
    <mergeCell ref="N331:N332"/>
    <mergeCell ref="A321:B323"/>
    <mergeCell ref="C321:J323"/>
    <mergeCell ref="K321:L323"/>
    <mergeCell ref="O321:Q323"/>
    <mergeCell ref="M322:M323"/>
    <mergeCell ref="N322:N323"/>
    <mergeCell ref="A324:B326"/>
    <mergeCell ref="C324:J326"/>
    <mergeCell ref="K324:L326"/>
    <mergeCell ref="O324:Q326"/>
    <mergeCell ref="M325:M326"/>
    <mergeCell ref="N325:N326"/>
    <mergeCell ref="A315:B317"/>
    <mergeCell ref="C315:J317"/>
    <mergeCell ref="K315:L317"/>
    <mergeCell ref="O315:Q317"/>
    <mergeCell ref="M316:M317"/>
    <mergeCell ref="N316:N317"/>
    <mergeCell ref="A318:B320"/>
    <mergeCell ref="C318:J320"/>
    <mergeCell ref="K318:L320"/>
    <mergeCell ref="O318:Q320"/>
    <mergeCell ref="M319:M320"/>
    <mergeCell ref="N319:N320"/>
    <mergeCell ref="A309:B311"/>
    <mergeCell ref="C309:J311"/>
    <mergeCell ref="K309:L311"/>
    <mergeCell ref="O309:Q311"/>
    <mergeCell ref="M310:M311"/>
    <mergeCell ref="N310:N311"/>
    <mergeCell ref="A312:B314"/>
    <mergeCell ref="C312:J314"/>
    <mergeCell ref="K312:L314"/>
    <mergeCell ref="O312:Q314"/>
    <mergeCell ref="M313:M314"/>
    <mergeCell ref="N313:N314"/>
    <mergeCell ref="A303:B305"/>
    <mergeCell ref="C303:J305"/>
    <mergeCell ref="K303:L305"/>
    <mergeCell ref="O303:Q305"/>
    <mergeCell ref="M304:M305"/>
    <mergeCell ref="N304:N305"/>
    <mergeCell ref="A306:B308"/>
    <mergeCell ref="C306:J308"/>
    <mergeCell ref="K306:L308"/>
    <mergeCell ref="O306:Q308"/>
    <mergeCell ref="M307:M308"/>
    <mergeCell ref="N307:N308"/>
    <mergeCell ref="A297:B299"/>
    <mergeCell ref="C297:J299"/>
    <mergeCell ref="K297:L299"/>
    <mergeCell ref="O297:Q299"/>
    <mergeCell ref="M298:M299"/>
    <mergeCell ref="N298:N299"/>
    <mergeCell ref="A300:B302"/>
    <mergeCell ref="C300:J302"/>
    <mergeCell ref="K300:L302"/>
    <mergeCell ref="O300:Q302"/>
    <mergeCell ref="M301:M302"/>
    <mergeCell ref="N301:N302"/>
    <mergeCell ref="A291:B293"/>
    <mergeCell ref="C291:J293"/>
    <mergeCell ref="K291:L293"/>
    <mergeCell ref="O291:Q293"/>
    <mergeCell ref="M292:M293"/>
    <mergeCell ref="N292:N293"/>
    <mergeCell ref="A294:B296"/>
    <mergeCell ref="C294:J296"/>
    <mergeCell ref="K294:L296"/>
    <mergeCell ref="O294:Q296"/>
    <mergeCell ref="M295:M296"/>
    <mergeCell ref="N295:N296"/>
    <mergeCell ref="A285:B287"/>
    <mergeCell ref="C285:J287"/>
    <mergeCell ref="K285:L287"/>
    <mergeCell ref="O285:Q287"/>
    <mergeCell ref="M286:M287"/>
    <mergeCell ref="N286:N287"/>
    <mergeCell ref="A288:B290"/>
    <mergeCell ref="C288:J290"/>
    <mergeCell ref="K288:L290"/>
    <mergeCell ref="O288:Q290"/>
    <mergeCell ref="M289:M290"/>
    <mergeCell ref="N289:N290"/>
    <mergeCell ref="A279:B281"/>
    <mergeCell ref="C279:J281"/>
    <mergeCell ref="K279:L281"/>
    <mergeCell ref="O279:Q281"/>
    <mergeCell ref="M280:M281"/>
    <mergeCell ref="N280:N281"/>
    <mergeCell ref="A282:B284"/>
    <mergeCell ref="C282:J284"/>
    <mergeCell ref="K282:L284"/>
    <mergeCell ref="O282:Q284"/>
    <mergeCell ref="M283:M284"/>
    <mergeCell ref="N283:N284"/>
    <mergeCell ref="A273:B275"/>
    <mergeCell ref="C273:J275"/>
    <mergeCell ref="K273:L275"/>
    <mergeCell ref="O273:Q275"/>
    <mergeCell ref="M274:M275"/>
    <mergeCell ref="N274:N275"/>
    <mergeCell ref="A276:B278"/>
    <mergeCell ref="C276:J278"/>
    <mergeCell ref="K276:L278"/>
    <mergeCell ref="O276:Q278"/>
    <mergeCell ref="M277:M278"/>
    <mergeCell ref="N277:N278"/>
    <mergeCell ref="A267:B269"/>
    <mergeCell ref="C267:J269"/>
    <mergeCell ref="K267:L269"/>
    <mergeCell ref="O267:Q269"/>
    <mergeCell ref="M268:M269"/>
    <mergeCell ref="N268:N269"/>
    <mergeCell ref="A270:B272"/>
    <mergeCell ref="C270:J272"/>
    <mergeCell ref="K270:L272"/>
    <mergeCell ref="O270:Q272"/>
    <mergeCell ref="M271:M272"/>
    <mergeCell ref="N271:N272"/>
    <mergeCell ref="A261:B263"/>
    <mergeCell ref="C261:J263"/>
    <mergeCell ref="K261:L263"/>
    <mergeCell ref="O261:Q263"/>
    <mergeCell ref="M262:M263"/>
    <mergeCell ref="N262:N263"/>
    <mergeCell ref="A264:B266"/>
    <mergeCell ref="C264:J266"/>
    <mergeCell ref="K264:L266"/>
    <mergeCell ref="O264:Q266"/>
    <mergeCell ref="M265:M266"/>
    <mergeCell ref="N265:N266"/>
    <mergeCell ref="A255:B257"/>
    <mergeCell ref="C255:J257"/>
    <mergeCell ref="K255:L257"/>
    <mergeCell ref="O255:Q257"/>
    <mergeCell ref="M256:M257"/>
    <mergeCell ref="N256:N257"/>
    <mergeCell ref="A258:B260"/>
    <mergeCell ref="C258:J260"/>
    <mergeCell ref="K258:L260"/>
    <mergeCell ref="O258:Q260"/>
    <mergeCell ref="M259:M260"/>
    <mergeCell ref="N259:N260"/>
    <mergeCell ref="A249:B251"/>
    <mergeCell ref="C249:J251"/>
    <mergeCell ref="K249:L251"/>
    <mergeCell ref="O249:Q251"/>
    <mergeCell ref="M250:M251"/>
    <mergeCell ref="N250:N251"/>
    <mergeCell ref="A252:B254"/>
    <mergeCell ref="C252:J254"/>
    <mergeCell ref="K252:L254"/>
    <mergeCell ref="O252:Q254"/>
    <mergeCell ref="M253:M254"/>
    <mergeCell ref="N253:N254"/>
    <mergeCell ref="A243:B245"/>
    <mergeCell ref="C243:J245"/>
    <mergeCell ref="K243:L245"/>
    <mergeCell ref="O243:Q245"/>
    <mergeCell ref="M244:M245"/>
    <mergeCell ref="N244:N245"/>
    <mergeCell ref="A246:B248"/>
    <mergeCell ref="C246:J248"/>
    <mergeCell ref="K246:L248"/>
    <mergeCell ref="O246:Q248"/>
    <mergeCell ref="M247:M248"/>
    <mergeCell ref="N247:N248"/>
    <mergeCell ref="A237:B239"/>
    <mergeCell ref="C237:J239"/>
    <mergeCell ref="K237:L239"/>
    <mergeCell ref="O237:Q239"/>
    <mergeCell ref="M238:M239"/>
    <mergeCell ref="N238:N239"/>
    <mergeCell ref="A240:B242"/>
    <mergeCell ref="C240:J242"/>
    <mergeCell ref="K240:L242"/>
    <mergeCell ref="O240:Q242"/>
    <mergeCell ref="M241:M242"/>
    <mergeCell ref="N241:N242"/>
    <mergeCell ref="K171:L173"/>
    <mergeCell ref="K174:L176"/>
    <mergeCell ref="C165:J167"/>
    <mergeCell ref="C168:J170"/>
    <mergeCell ref="C171:J173"/>
    <mergeCell ref="C174:J176"/>
    <mergeCell ref="M184:M185"/>
    <mergeCell ref="N184:N185"/>
    <mergeCell ref="M169:M170"/>
    <mergeCell ref="N169:N170"/>
    <mergeCell ref="M172:M173"/>
    <mergeCell ref="N172:N173"/>
    <mergeCell ref="M175:M176"/>
    <mergeCell ref="N175:N176"/>
    <mergeCell ref="M178:M179"/>
    <mergeCell ref="N178:N179"/>
    <mergeCell ref="M151:M152"/>
    <mergeCell ref="N151:N152"/>
    <mergeCell ref="M154:M155"/>
    <mergeCell ref="N154:N155"/>
    <mergeCell ref="M157:M158"/>
    <mergeCell ref="N157:N158"/>
    <mergeCell ref="M163:M164"/>
    <mergeCell ref="N163:N164"/>
    <mergeCell ref="M166:M167"/>
    <mergeCell ref="N166:N167"/>
    <mergeCell ref="M160:M161"/>
    <mergeCell ref="N160:N161"/>
    <mergeCell ref="M136:M137"/>
    <mergeCell ref="N136:N137"/>
    <mergeCell ref="M139:M140"/>
    <mergeCell ref="N139:N140"/>
    <mergeCell ref="M142:M143"/>
    <mergeCell ref="N142:N143"/>
    <mergeCell ref="M145:M146"/>
    <mergeCell ref="N145:N146"/>
    <mergeCell ref="M148:M149"/>
    <mergeCell ref="N148:N149"/>
    <mergeCell ref="M121:M122"/>
    <mergeCell ref="N121:N122"/>
    <mergeCell ref="M124:M125"/>
    <mergeCell ref="N124:N125"/>
    <mergeCell ref="M127:M128"/>
    <mergeCell ref="N127:N128"/>
    <mergeCell ref="M130:M131"/>
    <mergeCell ref="N130:N131"/>
    <mergeCell ref="M133:M134"/>
    <mergeCell ref="N133:N134"/>
    <mergeCell ref="N106:N107"/>
    <mergeCell ref="M109:M110"/>
    <mergeCell ref="N109:N110"/>
    <mergeCell ref="M112:M113"/>
    <mergeCell ref="N112:N113"/>
    <mergeCell ref="M115:M116"/>
    <mergeCell ref="N115:N116"/>
    <mergeCell ref="M118:M119"/>
    <mergeCell ref="N118:N119"/>
    <mergeCell ref="M76:M77"/>
    <mergeCell ref="N76:N77"/>
    <mergeCell ref="M79:M80"/>
    <mergeCell ref="N79:N80"/>
    <mergeCell ref="M82:M83"/>
    <mergeCell ref="N82:N83"/>
    <mergeCell ref="C39:J41"/>
    <mergeCell ref="C42:J44"/>
    <mergeCell ref="C45:J47"/>
    <mergeCell ref="C48:J50"/>
    <mergeCell ref="C51:J53"/>
    <mergeCell ref="C54:J56"/>
    <mergeCell ref="C57:J59"/>
    <mergeCell ref="C60:J62"/>
    <mergeCell ref="C63:J65"/>
    <mergeCell ref="C66:J68"/>
    <mergeCell ref="C69:J71"/>
    <mergeCell ref="C72:J74"/>
    <mergeCell ref="C75:J77"/>
    <mergeCell ref="C78:J80"/>
    <mergeCell ref="K45:L47"/>
    <mergeCell ref="K48:L50"/>
    <mergeCell ref="K51:L53"/>
    <mergeCell ref="K54:L56"/>
    <mergeCell ref="K27:L29"/>
    <mergeCell ref="K30:L32"/>
    <mergeCell ref="K33:L35"/>
    <mergeCell ref="K36:L38"/>
    <mergeCell ref="C108:J110"/>
    <mergeCell ref="C111:J113"/>
    <mergeCell ref="C114:J116"/>
    <mergeCell ref="C117:J119"/>
    <mergeCell ref="C120:J122"/>
    <mergeCell ref="C81:J83"/>
    <mergeCell ref="C84:J86"/>
    <mergeCell ref="C87:J89"/>
    <mergeCell ref="C90:J92"/>
    <mergeCell ref="C93:J95"/>
    <mergeCell ref="C96:J98"/>
    <mergeCell ref="C99:J101"/>
    <mergeCell ref="C102:J104"/>
    <mergeCell ref="C105:J107"/>
    <mergeCell ref="C27:J29"/>
    <mergeCell ref="C30:J32"/>
    <mergeCell ref="C33:J35"/>
    <mergeCell ref="C36:J38"/>
    <mergeCell ref="K39:L41"/>
    <mergeCell ref="K42:L44"/>
    <mergeCell ref="K141:L143"/>
    <mergeCell ref="K144:L146"/>
    <mergeCell ref="K147:L149"/>
    <mergeCell ref="C138:J140"/>
    <mergeCell ref="C141:J143"/>
    <mergeCell ref="C144:J146"/>
    <mergeCell ref="K57:L59"/>
    <mergeCell ref="K60:L62"/>
    <mergeCell ref="C135:J137"/>
    <mergeCell ref="K117:L119"/>
    <mergeCell ref="K120:L122"/>
    <mergeCell ref="K126:L128"/>
    <mergeCell ref="K129:L131"/>
    <mergeCell ref="K132:L134"/>
    <mergeCell ref="K135:L137"/>
    <mergeCell ref="K63:L65"/>
    <mergeCell ref="K114:L116"/>
    <mergeCell ref="C123:J125"/>
    <mergeCell ref="C126:J128"/>
    <mergeCell ref="C129:J131"/>
    <mergeCell ref="C132:J134"/>
    <mergeCell ref="K96:L98"/>
    <mergeCell ref="K99:L101"/>
    <mergeCell ref="K102:L104"/>
    <mergeCell ref="C147:J149"/>
    <mergeCell ref="C150:J152"/>
    <mergeCell ref="C153:J155"/>
    <mergeCell ref="C156:J158"/>
    <mergeCell ref="C162:J164"/>
    <mergeCell ref="K159:L161"/>
    <mergeCell ref="K165:L167"/>
    <mergeCell ref="K168:L170"/>
    <mergeCell ref="C159:J161"/>
    <mergeCell ref="K72:L74"/>
    <mergeCell ref="K75:L77"/>
    <mergeCell ref="K78:L80"/>
    <mergeCell ref="K81:L83"/>
    <mergeCell ref="K84:L86"/>
    <mergeCell ref="K87:L89"/>
    <mergeCell ref="K90:L92"/>
    <mergeCell ref="K93:L95"/>
    <mergeCell ref="K123:L125"/>
    <mergeCell ref="K105:L107"/>
    <mergeCell ref="K108:L110"/>
    <mergeCell ref="K111:L113"/>
    <mergeCell ref="N25:N26"/>
    <mergeCell ref="C12:J14"/>
    <mergeCell ref="C15:J17"/>
    <mergeCell ref="C18:J20"/>
    <mergeCell ref="C21:J23"/>
    <mergeCell ref="C24:J26"/>
    <mergeCell ref="K12:L14"/>
    <mergeCell ref="K15:L17"/>
    <mergeCell ref="K18:L20"/>
    <mergeCell ref="K21:L23"/>
    <mergeCell ref="K24:L26"/>
    <mergeCell ref="N58:N59"/>
    <mergeCell ref="K150:L152"/>
    <mergeCell ref="K153:L155"/>
    <mergeCell ref="K156:L158"/>
    <mergeCell ref="K162:L164"/>
    <mergeCell ref="M85:M86"/>
    <mergeCell ref="N85:N86"/>
    <mergeCell ref="M88:M89"/>
    <mergeCell ref="N88:N89"/>
    <mergeCell ref="M91:M92"/>
    <mergeCell ref="N91:N92"/>
    <mergeCell ref="M94:M95"/>
    <mergeCell ref="N94:N95"/>
    <mergeCell ref="M97:M98"/>
    <mergeCell ref="N97:N98"/>
    <mergeCell ref="M100:M101"/>
    <mergeCell ref="N100:N101"/>
    <mergeCell ref="M103:M104"/>
    <mergeCell ref="N103:N104"/>
    <mergeCell ref="M106:M107"/>
    <mergeCell ref="K66:L68"/>
    <mergeCell ref="M58:M59"/>
    <mergeCell ref="K138:L140"/>
    <mergeCell ref="K69:L71"/>
    <mergeCell ref="M28:M29"/>
    <mergeCell ref="N28:N29"/>
    <mergeCell ref="M31:M32"/>
    <mergeCell ref="N31:N32"/>
    <mergeCell ref="M34:M35"/>
    <mergeCell ref="N34:N35"/>
    <mergeCell ref="M37:M38"/>
    <mergeCell ref="N37:N38"/>
    <mergeCell ref="M40:M41"/>
    <mergeCell ref="N40:N41"/>
    <mergeCell ref="M43:M44"/>
    <mergeCell ref="N43:N44"/>
    <mergeCell ref="M46:M47"/>
    <mergeCell ref="N46:N47"/>
    <mergeCell ref="M49:M50"/>
    <mergeCell ref="N49:N50"/>
    <mergeCell ref="M52:M53"/>
    <mergeCell ref="N52:N53"/>
    <mergeCell ref="M55:M56"/>
    <mergeCell ref="N55:N56"/>
    <mergeCell ref="A9:B11"/>
    <mergeCell ref="C9:J11"/>
    <mergeCell ref="K9:L11"/>
    <mergeCell ref="M10:M11"/>
    <mergeCell ref="N10:N11"/>
    <mergeCell ref="M13:M14"/>
    <mergeCell ref="N13:N14"/>
    <mergeCell ref="M16:M17"/>
    <mergeCell ref="N73:N74"/>
    <mergeCell ref="M73:M74"/>
    <mergeCell ref="M61:M62"/>
    <mergeCell ref="N61:N62"/>
    <mergeCell ref="M64:M65"/>
    <mergeCell ref="N64:N65"/>
    <mergeCell ref="M67:M68"/>
    <mergeCell ref="N67:N68"/>
    <mergeCell ref="M70:M71"/>
    <mergeCell ref="N70:N71"/>
    <mergeCell ref="N16:N17"/>
    <mergeCell ref="M19:M20"/>
    <mergeCell ref="N19:N20"/>
    <mergeCell ref="M22:M23"/>
    <mergeCell ref="N22:N23"/>
    <mergeCell ref="M25:M26"/>
    <mergeCell ref="O7:Q8"/>
    <mergeCell ref="M1:N2"/>
    <mergeCell ref="M7:N8"/>
    <mergeCell ref="A7:B8"/>
    <mergeCell ref="C7:J8"/>
    <mergeCell ref="K7:L8"/>
    <mergeCell ref="K1:L2"/>
    <mergeCell ref="K3:L4"/>
    <mergeCell ref="A1:J4"/>
    <mergeCell ref="O9:Q11"/>
    <mergeCell ref="O12:Q14"/>
    <mergeCell ref="O15:Q17"/>
    <mergeCell ref="O18:Q20"/>
    <mergeCell ref="O21:Q23"/>
    <mergeCell ref="O24:Q26"/>
    <mergeCell ref="O27:Q29"/>
    <mergeCell ref="O30:Q32"/>
    <mergeCell ref="O33:Q35"/>
    <mergeCell ref="O36:Q38"/>
    <mergeCell ref="O39:Q41"/>
    <mergeCell ref="O42:Q44"/>
    <mergeCell ref="O45:Q47"/>
    <mergeCell ref="O48:Q50"/>
    <mergeCell ref="O51:Q53"/>
    <mergeCell ref="O54:Q56"/>
    <mergeCell ref="O57:Q59"/>
    <mergeCell ref="O60:Q62"/>
    <mergeCell ref="O63:Q65"/>
    <mergeCell ref="O66:Q68"/>
    <mergeCell ref="O69:Q71"/>
    <mergeCell ref="O72:Q74"/>
    <mergeCell ref="O75:Q77"/>
    <mergeCell ref="O78:Q80"/>
    <mergeCell ref="O81:Q83"/>
    <mergeCell ref="O84:Q86"/>
    <mergeCell ref="O87:Q89"/>
    <mergeCell ref="O141:Q143"/>
    <mergeCell ref="O90:Q92"/>
    <mergeCell ref="O93:Q95"/>
    <mergeCell ref="O96:Q98"/>
    <mergeCell ref="O99:Q101"/>
    <mergeCell ref="O102:Q104"/>
    <mergeCell ref="O105:Q107"/>
    <mergeCell ref="O108:Q110"/>
    <mergeCell ref="O111:Q113"/>
    <mergeCell ref="O114:Q116"/>
    <mergeCell ref="O171:Q173"/>
    <mergeCell ref="O174:Q176"/>
    <mergeCell ref="O177:Q179"/>
    <mergeCell ref="O180:Q182"/>
    <mergeCell ref="O183:Q185"/>
    <mergeCell ref="P5:Q6"/>
    <mergeCell ref="A5:O6"/>
    <mergeCell ref="O144:Q146"/>
    <mergeCell ref="O147:Q149"/>
    <mergeCell ref="O150:Q152"/>
    <mergeCell ref="O153:Q155"/>
    <mergeCell ref="O156:Q158"/>
    <mergeCell ref="O159:Q161"/>
    <mergeCell ref="O162:Q164"/>
    <mergeCell ref="O165:Q167"/>
    <mergeCell ref="O168:Q170"/>
    <mergeCell ref="O117:Q119"/>
    <mergeCell ref="O120:Q122"/>
    <mergeCell ref="O123:Q125"/>
    <mergeCell ref="O126:Q128"/>
    <mergeCell ref="O129:Q131"/>
    <mergeCell ref="O132:Q134"/>
    <mergeCell ref="O135:Q137"/>
    <mergeCell ref="O138:Q140"/>
    <mergeCell ref="A12:B14"/>
    <mergeCell ref="A15:B17"/>
    <mergeCell ref="A18:B20"/>
    <mergeCell ref="A21:B23"/>
    <mergeCell ref="A24:B26"/>
    <mergeCell ref="A27:B29"/>
    <mergeCell ref="A30:B32"/>
    <mergeCell ref="A33:B35"/>
    <mergeCell ref="A36:B38"/>
    <mergeCell ref="A39:B41"/>
    <mergeCell ref="A42:B44"/>
    <mergeCell ref="A45:B47"/>
    <mergeCell ref="A48:B50"/>
    <mergeCell ref="A51:B53"/>
    <mergeCell ref="A54:B56"/>
    <mergeCell ref="A57:B59"/>
    <mergeCell ref="A60:B62"/>
    <mergeCell ref="A63:B65"/>
    <mergeCell ref="A66:B68"/>
    <mergeCell ref="A69:B71"/>
    <mergeCell ref="A72:B74"/>
    <mergeCell ref="A75:B77"/>
    <mergeCell ref="A78:B80"/>
    <mergeCell ref="A81:B83"/>
    <mergeCell ref="A84:B86"/>
    <mergeCell ref="A87:B89"/>
    <mergeCell ref="A90:B92"/>
    <mergeCell ref="A93:B95"/>
    <mergeCell ref="A96:B98"/>
    <mergeCell ref="A99:B101"/>
    <mergeCell ref="A102:B104"/>
    <mergeCell ref="A105:B107"/>
    <mergeCell ref="A108:B110"/>
    <mergeCell ref="A111:B113"/>
    <mergeCell ref="A114:B116"/>
    <mergeCell ref="A117:B119"/>
    <mergeCell ref="A120:B122"/>
    <mergeCell ref="A123:B125"/>
    <mergeCell ref="A126:B128"/>
    <mergeCell ref="A129:B131"/>
    <mergeCell ref="A132:B134"/>
    <mergeCell ref="A135:B137"/>
    <mergeCell ref="A138:B140"/>
    <mergeCell ref="A141:B143"/>
    <mergeCell ref="A144:B146"/>
    <mergeCell ref="A147:B149"/>
    <mergeCell ref="A150:B152"/>
    <mergeCell ref="A153:B155"/>
    <mergeCell ref="A156:B158"/>
    <mergeCell ref="A159:B161"/>
    <mergeCell ref="A162:B164"/>
    <mergeCell ref="A165:B167"/>
    <mergeCell ref="A168:B170"/>
    <mergeCell ref="A171:B173"/>
    <mergeCell ref="A174:B176"/>
    <mergeCell ref="A177:B179"/>
    <mergeCell ref="A180:B182"/>
    <mergeCell ref="A183:B185"/>
    <mergeCell ref="A186:B188"/>
    <mergeCell ref="C186:J188"/>
    <mergeCell ref="K186:L188"/>
    <mergeCell ref="O186:Q188"/>
    <mergeCell ref="M187:M188"/>
    <mergeCell ref="N187:N188"/>
    <mergeCell ref="M181:M182"/>
    <mergeCell ref="N181:N182"/>
    <mergeCell ref="C180:J182"/>
    <mergeCell ref="K177:L179"/>
    <mergeCell ref="C177:J179"/>
    <mergeCell ref="K180:L182"/>
    <mergeCell ref="K183:L185"/>
    <mergeCell ref="C183:J185"/>
    <mergeCell ref="A189:B191"/>
    <mergeCell ref="C189:J191"/>
    <mergeCell ref="K189:L191"/>
    <mergeCell ref="O189:Q191"/>
    <mergeCell ref="M190:M191"/>
    <mergeCell ref="N190:N191"/>
    <mergeCell ref="A192:B194"/>
    <mergeCell ref="C192:J194"/>
    <mergeCell ref="K192:L194"/>
    <mergeCell ref="O192:Q194"/>
    <mergeCell ref="M193:M194"/>
    <mergeCell ref="N193:N194"/>
    <mergeCell ref="A195:B197"/>
    <mergeCell ref="C195:J197"/>
    <mergeCell ref="K195:L197"/>
    <mergeCell ref="O195:Q197"/>
    <mergeCell ref="M196:M197"/>
    <mergeCell ref="N196:N197"/>
    <mergeCell ref="A198:B200"/>
    <mergeCell ref="C198:J200"/>
    <mergeCell ref="K198:L200"/>
    <mergeCell ref="O198:Q200"/>
    <mergeCell ref="M199:M200"/>
    <mergeCell ref="N199:N200"/>
    <mergeCell ref="A201:B203"/>
    <mergeCell ref="C201:J203"/>
    <mergeCell ref="K201:L203"/>
    <mergeCell ref="O201:Q203"/>
    <mergeCell ref="M202:M203"/>
    <mergeCell ref="N202:N203"/>
    <mergeCell ref="A204:B206"/>
    <mergeCell ref="C204:J206"/>
    <mergeCell ref="K204:L206"/>
    <mergeCell ref="O204:Q206"/>
    <mergeCell ref="M205:M206"/>
    <mergeCell ref="N205:N206"/>
    <mergeCell ref="A207:B209"/>
    <mergeCell ref="C207:J209"/>
    <mergeCell ref="K207:L209"/>
    <mergeCell ref="O207:Q209"/>
    <mergeCell ref="M208:M209"/>
    <mergeCell ref="N208:N209"/>
    <mergeCell ref="A210:B212"/>
    <mergeCell ref="C210:J212"/>
    <mergeCell ref="K210:L212"/>
    <mergeCell ref="O210:Q212"/>
    <mergeCell ref="M211:M212"/>
    <mergeCell ref="N211:N212"/>
    <mergeCell ref="O213:Q215"/>
    <mergeCell ref="M214:M215"/>
    <mergeCell ref="N214:N215"/>
    <mergeCell ref="A216:B218"/>
    <mergeCell ref="C216:J218"/>
    <mergeCell ref="K216:L218"/>
    <mergeCell ref="O216:Q218"/>
    <mergeCell ref="M217:M218"/>
    <mergeCell ref="N217:N218"/>
    <mergeCell ref="A213:B215"/>
    <mergeCell ref="C213:J215"/>
    <mergeCell ref="K213:L215"/>
    <mergeCell ref="A234:B236"/>
    <mergeCell ref="C234:J236"/>
    <mergeCell ref="K234:L236"/>
    <mergeCell ref="O234:Q236"/>
    <mergeCell ref="M235:M236"/>
    <mergeCell ref="N235:N236"/>
    <mergeCell ref="A225:B227"/>
    <mergeCell ref="C225:J227"/>
    <mergeCell ref="K225:L227"/>
    <mergeCell ref="O225:Q227"/>
    <mergeCell ref="M226:M227"/>
    <mergeCell ref="N226:N227"/>
    <mergeCell ref="A228:B230"/>
    <mergeCell ref="C228:J230"/>
    <mergeCell ref="K228:L230"/>
    <mergeCell ref="O228:Q230"/>
    <mergeCell ref="M229:M230"/>
    <mergeCell ref="N229:N230"/>
    <mergeCell ref="A231:B233"/>
    <mergeCell ref="C231:J233"/>
    <mergeCell ref="K231:L233"/>
    <mergeCell ref="O231:Q233"/>
    <mergeCell ref="M232:M233"/>
    <mergeCell ref="N232:N233"/>
    <mergeCell ref="A219:B221"/>
    <mergeCell ref="C219:J221"/>
    <mergeCell ref="K219:L221"/>
    <mergeCell ref="O219:Q221"/>
    <mergeCell ref="M220:M221"/>
    <mergeCell ref="N220:N221"/>
    <mergeCell ref="A222:B224"/>
    <mergeCell ref="C222:J224"/>
    <mergeCell ref="K222:L224"/>
    <mergeCell ref="O222:Q224"/>
    <mergeCell ref="M223:M224"/>
    <mergeCell ref="N223:N224"/>
  </mergeCells>
  <phoneticPr fontId="17" type="noConversion"/>
  <conditionalFormatting sqref="A5">
    <cfRule type="dataBar" priority="186">
      <dataBar>
        <cfvo type="num" val="0"/>
        <cfvo type="num" val="200"/>
        <color rgb="FFB8341E"/>
      </dataBar>
      <extLst>
        <ext xmlns:x14="http://schemas.microsoft.com/office/spreadsheetml/2009/9/main" uri="{B025F937-C7B1-47D3-B67F-A62EFF666E3E}">
          <x14:id>{5D90EED9-B807-4BDA-B997-8F866AA4B348}</x14:id>
        </ext>
      </extLst>
    </cfRule>
  </conditionalFormatting>
  <conditionalFormatting sqref="M10:M11">
    <cfRule type="dataBar" priority="183">
      <dataBar>
        <cfvo type="num" val="0"/>
        <cfvo type="num" val="5"/>
        <color theme="9" tint="0.39997558519241921"/>
      </dataBar>
      <extLst>
        <ext xmlns:x14="http://schemas.microsoft.com/office/spreadsheetml/2009/9/main" uri="{B025F937-C7B1-47D3-B67F-A62EFF666E3E}">
          <x14:id>{791C36E9-3D3D-437D-9778-B6F9072E1E12}</x14:id>
        </ext>
      </extLst>
    </cfRule>
  </conditionalFormatting>
  <conditionalFormatting sqref="P5">
    <cfRule type="dataBar" priority="121">
      <dataBar>
        <cfvo type="num" val="0"/>
        <cfvo type="num" val="200"/>
        <color rgb="FFB8341E"/>
      </dataBar>
      <extLst>
        <ext xmlns:x14="http://schemas.microsoft.com/office/spreadsheetml/2009/9/main" uri="{B025F937-C7B1-47D3-B67F-A62EFF666E3E}">
          <x14:id>{04A3EE8A-E5AF-4122-86EA-BC6EC59ACD8F}</x14:id>
        </ext>
      </extLst>
    </cfRule>
  </conditionalFormatting>
  <conditionalFormatting sqref="P5">
    <cfRule type="iconSet" priority="120">
      <iconSet iconSet="3Symbols" showValue="0">
        <cfvo type="percent" val="0"/>
        <cfvo type="num" val="150"/>
        <cfvo type="num" val="200"/>
      </iconSet>
    </cfRule>
  </conditionalFormatting>
  <conditionalFormatting sqref="M238:M239 M241:M242 M265:M266 M289:M290 M331:M332 M337:M338">
    <cfRule type="dataBar" priority="117">
      <dataBar>
        <cfvo type="num" val="0"/>
        <cfvo type="num" val="5"/>
        <color theme="9" tint="0.39997558519241921"/>
      </dataBar>
      <extLst>
        <ext xmlns:x14="http://schemas.microsoft.com/office/spreadsheetml/2009/9/main" uri="{B025F937-C7B1-47D3-B67F-A62EFF666E3E}">
          <x14:id>{AF641A53-8271-402B-ABEF-0E9B713B4D6B}</x14:id>
        </ext>
      </extLst>
    </cfRule>
  </conditionalFormatting>
  <conditionalFormatting sqref="M13:M14">
    <cfRule type="dataBar" priority="116">
      <dataBar>
        <cfvo type="num" val="0"/>
        <cfvo type="num" val="5"/>
        <color theme="9" tint="0.39997558519241921"/>
      </dataBar>
      <extLst>
        <ext xmlns:x14="http://schemas.microsoft.com/office/spreadsheetml/2009/9/main" uri="{B025F937-C7B1-47D3-B67F-A62EFF666E3E}">
          <x14:id>{15F44787-5573-4870-A9E8-37B0BE2F076D}</x14:id>
        </ext>
      </extLst>
    </cfRule>
  </conditionalFormatting>
  <conditionalFormatting sqref="M16:M17">
    <cfRule type="dataBar" priority="115">
      <dataBar>
        <cfvo type="num" val="0"/>
        <cfvo type="num" val="5"/>
        <color theme="9" tint="0.39997558519241921"/>
      </dataBar>
      <extLst>
        <ext xmlns:x14="http://schemas.microsoft.com/office/spreadsheetml/2009/9/main" uri="{B025F937-C7B1-47D3-B67F-A62EFF666E3E}">
          <x14:id>{B9FEC0D9-C6BA-4CF9-A2CC-656DB046C61E}</x14:id>
        </ext>
      </extLst>
    </cfRule>
  </conditionalFormatting>
  <conditionalFormatting sqref="M19:M20">
    <cfRule type="dataBar" priority="113">
      <dataBar>
        <cfvo type="num" val="0"/>
        <cfvo type="num" val="5"/>
        <color theme="9" tint="0.39997558519241921"/>
      </dataBar>
      <extLst>
        <ext xmlns:x14="http://schemas.microsoft.com/office/spreadsheetml/2009/9/main" uri="{B025F937-C7B1-47D3-B67F-A62EFF666E3E}">
          <x14:id>{F7D9A545-32C3-4F9A-85A5-536712EAB776}</x14:id>
        </ext>
      </extLst>
    </cfRule>
  </conditionalFormatting>
  <conditionalFormatting sqref="M22:M23">
    <cfRule type="dataBar" priority="112">
      <dataBar>
        <cfvo type="num" val="0"/>
        <cfvo type="num" val="5"/>
        <color theme="9" tint="0.39997558519241921"/>
      </dataBar>
      <extLst>
        <ext xmlns:x14="http://schemas.microsoft.com/office/spreadsheetml/2009/9/main" uri="{B025F937-C7B1-47D3-B67F-A62EFF666E3E}">
          <x14:id>{B72F2DBF-011D-483E-B360-DF8F8818DEDF}</x14:id>
        </ext>
      </extLst>
    </cfRule>
  </conditionalFormatting>
  <conditionalFormatting sqref="M25:M26">
    <cfRule type="dataBar" priority="111">
      <dataBar>
        <cfvo type="num" val="0"/>
        <cfvo type="num" val="5"/>
        <color theme="9" tint="0.39997558519241921"/>
      </dataBar>
      <extLst>
        <ext xmlns:x14="http://schemas.microsoft.com/office/spreadsheetml/2009/9/main" uri="{B025F937-C7B1-47D3-B67F-A62EFF666E3E}">
          <x14:id>{80A429E5-3C81-45CD-961E-1ED47CAD59C6}</x14:id>
        </ext>
      </extLst>
    </cfRule>
  </conditionalFormatting>
  <conditionalFormatting sqref="M28:M29">
    <cfRule type="dataBar" priority="110">
      <dataBar>
        <cfvo type="num" val="0"/>
        <cfvo type="num" val="5"/>
        <color theme="9" tint="0.39997558519241921"/>
      </dataBar>
      <extLst>
        <ext xmlns:x14="http://schemas.microsoft.com/office/spreadsheetml/2009/9/main" uri="{B025F937-C7B1-47D3-B67F-A62EFF666E3E}">
          <x14:id>{78C712FE-5F98-44BC-A0EC-D54C68F4ADA5}</x14:id>
        </ext>
      </extLst>
    </cfRule>
  </conditionalFormatting>
  <conditionalFormatting sqref="M31:M32">
    <cfRule type="dataBar" priority="109">
      <dataBar>
        <cfvo type="num" val="0"/>
        <cfvo type="num" val="5"/>
        <color theme="9" tint="0.39997558519241921"/>
      </dataBar>
      <extLst>
        <ext xmlns:x14="http://schemas.microsoft.com/office/spreadsheetml/2009/9/main" uri="{B025F937-C7B1-47D3-B67F-A62EFF666E3E}">
          <x14:id>{CC3B6057-9A6A-4EF5-A76C-34C26B8CDA80}</x14:id>
        </ext>
      </extLst>
    </cfRule>
  </conditionalFormatting>
  <conditionalFormatting sqref="M34:M35">
    <cfRule type="dataBar" priority="108">
      <dataBar>
        <cfvo type="num" val="0"/>
        <cfvo type="num" val="5"/>
        <color theme="9" tint="0.39997558519241921"/>
      </dataBar>
      <extLst>
        <ext xmlns:x14="http://schemas.microsoft.com/office/spreadsheetml/2009/9/main" uri="{B025F937-C7B1-47D3-B67F-A62EFF666E3E}">
          <x14:id>{E7E29131-17E8-4AAA-9291-5BF205C79C74}</x14:id>
        </ext>
      </extLst>
    </cfRule>
  </conditionalFormatting>
  <conditionalFormatting sqref="M37:M38">
    <cfRule type="dataBar" priority="107">
      <dataBar>
        <cfvo type="num" val="0"/>
        <cfvo type="num" val="5"/>
        <color theme="9" tint="0.39997558519241921"/>
      </dataBar>
      <extLst>
        <ext xmlns:x14="http://schemas.microsoft.com/office/spreadsheetml/2009/9/main" uri="{B025F937-C7B1-47D3-B67F-A62EFF666E3E}">
          <x14:id>{FAA690D0-8CE4-4CF8-893E-A77A27B209B7}</x14:id>
        </ext>
      </extLst>
    </cfRule>
  </conditionalFormatting>
  <conditionalFormatting sqref="M40:M41">
    <cfRule type="dataBar" priority="106">
      <dataBar>
        <cfvo type="num" val="0"/>
        <cfvo type="num" val="5"/>
        <color theme="9" tint="0.39997558519241921"/>
      </dataBar>
      <extLst>
        <ext xmlns:x14="http://schemas.microsoft.com/office/spreadsheetml/2009/9/main" uri="{B025F937-C7B1-47D3-B67F-A62EFF666E3E}">
          <x14:id>{2FA55376-6C24-4374-8C49-B01D220029FF}</x14:id>
        </ext>
      </extLst>
    </cfRule>
  </conditionalFormatting>
  <conditionalFormatting sqref="M43:M44">
    <cfRule type="dataBar" priority="105">
      <dataBar>
        <cfvo type="num" val="0"/>
        <cfvo type="num" val="5"/>
        <color theme="9" tint="0.39997558519241921"/>
      </dataBar>
      <extLst>
        <ext xmlns:x14="http://schemas.microsoft.com/office/spreadsheetml/2009/9/main" uri="{B025F937-C7B1-47D3-B67F-A62EFF666E3E}">
          <x14:id>{FC9E26E9-0EA6-410A-83A2-11458A796339}</x14:id>
        </ext>
      </extLst>
    </cfRule>
  </conditionalFormatting>
  <conditionalFormatting sqref="M46:M47">
    <cfRule type="dataBar" priority="104">
      <dataBar>
        <cfvo type="num" val="0"/>
        <cfvo type="num" val="5"/>
        <color theme="9" tint="0.39997558519241921"/>
      </dataBar>
      <extLst>
        <ext xmlns:x14="http://schemas.microsoft.com/office/spreadsheetml/2009/9/main" uri="{B025F937-C7B1-47D3-B67F-A62EFF666E3E}">
          <x14:id>{4F0DF4F6-4C49-40B0-95C9-B16A444AC1BA}</x14:id>
        </ext>
      </extLst>
    </cfRule>
  </conditionalFormatting>
  <conditionalFormatting sqref="M49:M50">
    <cfRule type="dataBar" priority="103">
      <dataBar>
        <cfvo type="num" val="0"/>
        <cfvo type="num" val="5"/>
        <color theme="9" tint="0.39997558519241921"/>
      </dataBar>
      <extLst>
        <ext xmlns:x14="http://schemas.microsoft.com/office/spreadsheetml/2009/9/main" uri="{B025F937-C7B1-47D3-B67F-A62EFF666E3E}">
          <x14:id>{986E78C3-72B7-40EA-95EE-B920C08D4257}</x14:id>
        </ext>
      </extLst>
    </cfRule>
  </conditionalFormatting>
  <conditionalFormatting sqref="M52:M53">
    <cfRule type="dataBar" priority="102">
      <dataBar>
        <cfvo type="num" val="0"/>
        <cfvo type="num" val="5"/>
        <color theme="9" tint="0.39997558519241921"/>
      </dataBar>
      <extLst>
        <ext xmlns:x14="http://schemas.microsoft.com/office/spreadsheetml/2009/9/main" uri="{B025F937-C7B1-47D3-B67F-A62EFF666E3E}">
          <x14:id>{1E405F3D-27E3-4D92-AD6A-C9154840C4B9}</x14:id>
        </ext>
      </extLst>
    </cfRule>
  </conditionalFormatting>
  <conditionalFormatting sqref="M55:M56">
    <cfRule type="dataBar" priority="101">
      <dataBar>
        <cfvo type="num" val="0"/>
        <cfvo type="num" val="5"/>
        <color theme="9" tint="0.39997558519241921"/>
      </dataBar>
      <extLst>
        <ext xmlns:x14="http://schemas.microsoft.com/office/spreadsheetml/2009/9/main" uri="{B025F937-C7B1-47D3-B67F-A62EFF666E3E}">
          <x14:id>{C98407EA-2952-4F6A-9BCB-8ECC9F368C9B}</x14:id>
        </ext>
      </extLst>
    </cfRule>
  </conditionalFormatting>
  <conditionalFormatting sqref="M58:M59">
    <cfRule type="dataBar" priority="100">
      <dataBar>
        <cfvo type="num" val="0"/>
        <cfvo type="num" val="5"/>
        <color theme="9" tint="0.39997558519241921"/>
      </dataBar>
      <extLst>
        <ext xmlns:x14="http://schemas.microsoft.com/office/spreadsheetml/2009/9/main" uri="{B025F937-C7B1-47D3-B67F-A62EFF666E3E}">
          <x14:id>{CABC81CD-7E87-4386-99B8-52AAF9DEF316}</x14:id>
        </ext>
      </extLst>
    </cfRule>
  </conditionalFormatting>
  <conditionalFormatting sqref="M61:M62">
    <cfRule type="dataBar" priority="99">
      <dataBar>
        <cfvo type="num" val="0"/>
        <cfvo type="num" val="5"/>
        <color theme="9" tint="0.39997558519241921"/>
      </dataBar>
      <extLst>
        <ext xmlns:x14="http://schemas.microsoft.com/office/spreadsheetml/2009/9/main" uri="{B025F937-C7B1-47D3-B67F-A62EFF666E3E}">
          <x14:id>{7E54D9D8-ACD5-4B73-B5A3-ADE2EBF057D6}</x14:id>
        </ext>
      </extLst>
    </cfRule>
  </conditionalFormatting>
  <conditionalFormatting sqref="M64:M65">
    <cfRule type="dataBar" priority="98">
      <dataBar>
        <cfvo type="num" val="0"/>
        <cfvo type="num" val="5"/>
        <color theme="9" tint="0.39997558519241921"/>
      </dataBar>
      <extLst>
        <ext xmlns:x14="http://schemas.microsoft.com/office/spreadsheetml/2009/9/main" uri="{B025F937-C7B1-47D3-B67F-A62EFF666E3E}">
          <x14:id>{AB9D8F20-2577-441C-800F-8F158F83F055}</x14:id>
        </ext>
      </extLst>
    </cfRule>
  </conditionalFormatting>
  <conditionalFormatting sqref="M67:M68">
    <cfRule type="dataBar" priority="97">
      <dataBar>
        <cfvo type="num" val="0"/>
        <cfvo type="num" val="5"/>
        <color theme="9" tint="0.39997558519241921"/>
      </dataBar>
      <extLst>
        <ext xmlns:x14="http://schemas.microsoft.com/office/spreadsheetml/2009/9/main" uri="{B025F937-C7B1-47D3-B67F-A62EFF666E3E}">
          <x14:id>{7AD9D749-FC9C-4F88-8451-97761A7DD659}</x14:id>
        </ext>
      </extLst>
    </cfRule>
  </conditionalFormatting>
  <conditionalFormatting sqref="M70:M71">
    <cfRule type="dataBar" priority="96">
      <dataBar>
        <cfvo type="num" val="0"/>
        <cfvo type="num" val="5"/>
        <color theme="9" tint="0.39997558519241921"/>
      </dataBar>
      <extLst>
        <ext xmlns:x14="http://schemas.microsoft.com/office/spreadsheetml/2009/9/main" uri="{B025F937-C7B1-47D3-B67F-A62EFF666E3E}">
          <x14:id>{B83F6F39-A249-447E-A8A7-B8FA96BB843E}</x14:id>
        </ext>
      </extLst>
    </cfRule>
  </conditionalFormatting>
  <conditionalFormatting sqref="M73:M74">
    <cfRule type="dataBar" priority="95">
      <dataBar>
        <cfvo type="num" val="0"/>
        <cfvo type="num" val="5"/>
        <color theme="9" tint="0.39997558519241921"/>
      </dataBar>
      <extLst>
        <ext xmlns:x14="http://schemas.microsoft.com/office/spreadsheetml/2009/9/main" uri="{B025F937-C7B1-47D3-B67F-A62EFF666E3E}">
          <x14:id>{FA2F4172-2CCC-4747-B37B-D1CE4AB1FE61}</x14:id>
        </ext>
      </extLst>
    </cfRule>
  </conditionalFormatting>
  <conditionalFormatting sqref="M76:M77">
    <cfRule type="dataBar" priority="94">
      <dataBar>
        <cfvo type="num" val="0"/>
        <cfvo type="num" val="5"/>
        <color theme="9" tint="0.39997558519241921"/>
      </dataBar>
      <extLst>
        <ext xmlns:x14="http://schemas.microsoft.com/office/spreadsheetml/2009/9/main" uri="{B025F937-C7B1-47D3-B67F-A62EFF666E3E}">
          <x14:id>{2E8256A6-FF21-4F6A-B7F1-45E5AE547732}</x14:id>
        </ext>
      </extLst>
    </cfRule>
  </conditionalFormatting>
  <conditionalFormatting sqref="M79:M80">
    <cfRule type="dataBar" priority="93">
      <dataBar>
        <cfvo type="num" val="0"/>
        <cfvo type="num" val="5"/>
        <color theme="9" tint="0.39997558519241921"/>
      </dataBar>
      <extLst>
        <ext xmlns:x14="http://schemas.microsoft.com/office/spreadsheetml/2009/9/main" uri="{B025F937-C7B1-47D3-B67F-A62EFF666E3E}">
          <x14:id>{22F67F8F-7D59-4539-A49F-F0C63BA2D517}</x14:id>
        </ext>
      </extLst>
    </cfRule>
  </conditionalFormatting>
  <conditionalFormatting sqref="M82:M83">
    <cfRule type="dataBar" priority="91">
      <dataBar>
        <cfvo type="num" val="0"/>
        <cfvo type="num" val="5"/>
        <color theme="9" tint="0.39997558519241921"/>
      </dataBar>
      <extLst>
        <ext xmlns:x14="http://schemas.microsoft.com/office/spreadsheetml/2009/9/main" uri="{B025F937-C7B1-47D3-B67F-A62EFF666E3E}">
          <x14:id>{11F73F9E-B146-46C8-8462-D521BD7ECBF0}</x14:id>
        </ext>
      </extLst>
    </cfRule>
  </conditionalFormatting>
  <conditionalFormatting sqref="M85:M86">
    <cfRule type="dataBar" priority="90">
      <dataBar>
        <cfvo type="num" val="0"/>
        <cfvo type="num" val="5"/>
        <color theme="9" tint="0.39997558519241921"/>
      </dataBar>
      <extLst>
        <ext xmlns:x14="http://schemas.microsoft.com/office/spreadsheetml/2009/9/main" uri="{B025F937-C7B1-47D3-B67F-A62EFF666E3E}">
          <x14:id>{F9251A85-914E-4BD6-BD89-E031FF15D713}</x14:id>
        </ext>
      </extLst>
    </cfRule>
  </conditionalFormatting>
  <conditionalFormatting sqref="M88:M89">
    <cfRule type="dataBar" priority="89">
      <dataBar>
        <cfvo type="num" val="0"/>
        <cfvo type="num" val="5"/>
        <color theme="9" tint="0.39997558519241921"/>
      </dataBar>
      <extLst>
        <ext xmlns:x14="http://schemas.microsoft.com/office/spreadsheetml/2009/9/main" uri="{B025F937-C7B1-47D3-B67F-A62EFF666E3E}">
          <x14:id>{58971B18-DD46-42EF-8C65-2437AD2805E4}</x14:id>
        </ext>
      </extLst>
    </cfRule>
  </conditionalFormatting>
  <conditionalFormatting sqref="M91:M92">
    <cfRule type="dataBar" priority="88">
      <dataBar>
        <cfvo type="num" val="0"/>
        <cfvo type="num" val="5"/>
        <color theme="9" tint="0.39997558519241921"/>
      </dataBar>
      <extLst>
        <ext xmlns:x14="http://schemas.microsoft.com/office/spreadsheetml/2009/9/main" uri="{B025F937-C7B1-47D3-B67F-A62EFF666E3E}">
          <x14:id>{84E87156-ABA5-43E9-9402-02925434B161}</x14:id>
        </ext>
      </extLst>
    </cfRule>
  </conditionalFormatting>
  <conditionalFormatting sqref="M94:M95">
    <cfRule type="dataBar" priority="87">
      <dataBar>
        <cfvo type="num" val="0"/>
        <cfvo type="num" val="5"/>
        <color theme="9" tint="0.39997558519241921"/>
      </dataBar>
      <extLst>
        <ext xmlns:x14="http://schemas.microsoft.com/office/spreadsheetml/2009/9/main" uri="{B025F937-C7B1-47D3-B67F-A62EFF666E3E}">
          <x14:id>{E69B0AD4-08BB-4091-89BA-38472DF37D61}</x14:id>
        </ext>
      </extLst>
    </cfRule>
  </conditionalFormatting>
  <conditionalFormatting sqref="M97:M98">
    <cfRule type="dataBar" priority="86">
      <dataBar>
        <cfvo type="num" val="0"/>
        <cfvo type="num" val="5"/>
        <color theme="9" tint="0.39997558519241921"/>
      </dataBar>
      <extLst>
        <ext xmlns:x14="http://schemas.microsoft.com/office/spreadsheetml/2009/9/main" uri="{B025F937-C7B1-47D3-B67F-A62EFF666E3E}">
          <x14:id>{09FA722B-67A8-496F-BBBE-EE7AF48E3439}</x14:id>
        </ext>
      </extLst>
    </cfRule>
  </conditionalFormatting>
  <conditionalFormatting sqref="M100:M101">
    <cfRule type="dataBar" priority="85">
      <dataBar>
        <cfvo type="num" val="0"/>
        <cfvo type="num" val="5"/>
        <color theme="9" tint="0.39997558519241921"/>
      </dataBar>
      <extLst>
        <ext xmlns:x14="http://schemas.microsoft.com/office/spreadsheetml/2009/9/main" uri="{B025F937-C7B1-47D3-B67F-A62EFF666E3E}">
          <x14:id>{78CE9469-3D5A-40DE-A7F7-57C5AFD0F9F6}</x14:id>
        </ext>
      </extLst>
    </cfRule>
  </conditionalFormatting>
  <conditionalFormatting sqref="M103:M104">
    <cfRule type="dataBar" priority="84">
      <dataBar>
        <cfvo type="num" val="0"/>
        <cfvo type="num" val="5"/>
        <color theme="9" tint="0.39997558519241921"/>
      </dataBar>
      <extLst>
        <ext xmlns:x14="http://schemas.microsoft.com/office/spreadsheetml/2009/9/main" uri="{B025F937-C7B1-47D3-B67F-A62EFF666E3E}">
          <x14:id>{DBE1465C-EA69-4098-9DF5-EAA6F8C2A901}</x14:id>
        </ext>
      </extLst>
    </cfRule>
  </conditionalFormatting>
  <conditionalFormatting sqref="M106:M107">
    <cfRule type="dataBar" priority="83">
      <dataBar>
        <cfvo type="num" val="0"/>
        <cfvo type="num" val="5"/>
        <color theme="9" tint="0.39997558519241921"/>
      </dataBar>
      <extLst>
        <ext xmlns:x14="http://schemas.microsoft.com/office/spreadsheetml/2009/9/main" uri="{B025F937-C7B1-47D3-B67F-A62EFF666E3E}">
          <x14:id>{942C45A3-5001-479C-A3C1-C8891C9A0283}</x14:id>
        </ext>
      </extLst>
    </cfRule>
  </conditionalFormatting>
  <conditionalFormatting sqref="M109:M110">
    <cfRule type="dataBar" priority="82">
      <dataBar>
        <cfvo type="num" val="0"/>
        <cfvo type="num" val="5"/>
        <color theme="9" tint="0.39997558519241921"/>
      </dataBar>
      <extLst>
        <ext xmlns:x14="http://schemas.microsoft.com/office/spreadsheetml/2009/9/main" uri="{B025F937-C7B1-47D3-B67F-A62EFF666E3E}">
          <x14:id>{A5CB8920-7C65-4F81-AE89-4A6AC53A8F3C}</x14:id>
        </ext>
      </extLst>
    </cfRule>
  </conditionalFormatting>
  <conditionalFormatting sqref="M112:M113">
    <cfRule type="dataBar" priority="81">
      <dataBar>
        <cfvo type="num" val="0"/>
        <cfvo type="num" val="5"/>
        <color theme="9" tint="0.39997558519241921"/>
      </dataBar>
      <extLst>
        <ext xmlns:x14="http://schemas.microsoft.com/office/spreadsheetml/2009/9/main" uri="{B025F937-C7B1-47D3-B67F-A62EFF666E3E}">
          <x14:id>{700D6455-2CD3-4568-80D9-2D34E8AA7B4C}</x14:id>
        </ext>
      </extLst>
    </cfRule>
  </conditionalFormatting>
  <conditionalFormatting sqref="M115:M116">
    <cfRule type="dataBar" priority="80">
      <dataBar>
        <cfvo type="num" val="0"/>
        <cfvo type="num" val="5"/>
        <color theme="9" tint="0.39997558519241921"/>
      </dataBar>
      <extLst>
        <ext xmlns:x14="http://schemas.microsoft.com/office/spreadsheetml/2009/9/main" uri="{B025F937-C7B1-47D3-B67F-A62EFF666E3E}">
          <x14:id>{3EA60E98-0E84-4CEF-9634-370D26081395}</x14:id>
        </ext>
      </extLst>
    </cfRule>
  </conditionalFormatting>
  <conditionalFormatting sqref="M118:M119">
    <cfRule type="dataBar" priority="79">
      <dataBar>
        <cfvo type="num" val="0"/>
        <cfvo type="num" val="5"/>
        <color theme="9" tint="0.39997558519241921"/>
      </dataBar>
      <extLst>
        <ext xmlns:x14="http://schemas.microsoft.com/office/spreadsheetml/2009/9/main" uri="{B025F937-C7B1-47D3-B67F-A62EFF666E3E}">
          <x14:id>{D30E3597-2C27-4302-8ED2-A4EB46F80887}</x14:id>
        </ext>
      </extLst>
    </cfRule>
  </conditionalFormatting>
  <conditionalFormatting sqref="M121:M122">
    <cfRule type="dataBar" priority="78">
      <dataBar>
        <cfvo type="num" val="0"/>
        <cfvo type="num" val="5"/>
        <color theme="9" tint="0.39997558519241921"/>
      </dataBar>
      <extLst>
        <ext xmlns:x14="http://schemas.microsoft.com/office/spreadsheetml/2009/9/main" uri="{B025F937-C7B1-47D3-B67F-A62EFF666E3E}">
          <x14:id>{8358B6D4-9A89-448D-98F1-32D071373E0A}</x14:id>
        </ext>
      </extLst>
    </cfRule>
  </conditionalFormatting>
  <conditionalFormatting sqref="M124:M125">
    <cfRule type="dataBar" priority="77">
      <dataBar>
        <cfvo type="num" val="0"/>
        <cfvo type="num" val="5"/>
        <color theme="9" tint="0.39997558519241921"/>
      </dataBar>
      <extLst>
        <ext xmlns:x14="http://schemas.microsoft.com/office/spreadsheetml/2009/9/main" uri="{B025F937-C7B1-47D3-B67F-A62EFF666E3E}">
          <x14:id>{787B2752-643D-41A4-9429-FC64997FC2A6}</x14:id>
        </ext>
      </extLst>
    </cfRule>
  </conditionalFormatting>
  <conditionalFormatting sqref="M127:M128">
    <cfRule type="dataBar" priority="76">
      <dataBar>
        <cfvo type="num" val="0"/>
        <cfvo type="num" val="5"/>
        <color theme="9" tint="0.39997558519241921"/>
      </dataBar>
      <extLst>
        <ext xmlns:x14="http://schemas.microsoft.com/office/spreadsheetml/2009/9/main" uri="{B025F937-C7B1-47D3-B67F-A62EFF666E3E}">
          <x14:id>{CFD285CA-CB28-4D95-B958-5C5D28770A43}</x14:id>
        </ext>
      </extLst>
    </cfRule>
  </conditionalFormatting>
  <conditionalFormatting sqref="M130:M131">
    <cfRule type="dataBar" priority="75">
      <dataBar>
        <cfvo type="num" val="0"/>
        <cfvo type="num" val="5"/>
        <color theme="9" tint="0.39997558519241921"/>
      </dataBar>
      <extLst>
        <ext xmlns:x14="http://schemas.microsoft.com/office/spreadsheetml/2009/9/main" uri="{B025F937-C7B1-47D3-B67F-A62EFF666E3E}">
          <x14:id>{752EA7DD-9A38-4C8C-848C-6BB6B9E821A9}</x14:id>
        </ext>
      </extLst>
    </cfRule>
  </conditionalFormatting>
  <conditionalFormatting sqref="M133:M134">
    <cfRule type="dataBar" priority="74">
      <dataBar>
        <cfvo type="num" val="0"/>
        <cfvo type="num" val="5"/>
        <color theme="9" tint="0.39997558519241921"/>
      </dataBar>
      <extLst>
        <ext xmlns:x14="http://schemas.microsoft.com/office/spreadsheetml/2009/9/main" uri="{B025F937-C7B1-47D3-B67F-A62EFF666E3E}">
          <x14:id>{00651558-6BA4-4AAB-8DAA-6642911564D5}</x14:id>
        </ext>
      </extLst>
    </cfRule>
  </conditionalFormatting>
  <conditionalFormatting sqref="M136:M137">
    <cfRule type="dataBar" priority="73">
      <dataBar>
        <cfvo type="num" val="0"/>
        <cfvo type="num" val="5"/>
        <color theme="9" tint="0.39997558519241921"/>
      </dataBar>
      <extLst>
        <ext xmlns:x14="http://schemas.microsoft.com/office/spreadsheetml/2009/9/main" uri="{B025F937-C7B1-47D3-B67F-A62EFF666E3E}">
          <x14:id>{735FE817-85AD-49F8-B6A8-7FFCBB9AF7D1}</x14:id>
        </ext>
      </extLst>
    </cfRule>
  </conditionalFormatting>
  <conditionalFormatting sqref="M139:M140">
    <cfRule type="dataBar" priority="72">
      <dataBar>
        <cfvo type="num" val="0"/>
        <cfvo type="num" val="5"/>
        <color theme="9" tint="0.39997558519241921"/>
      </dataBar>
      <extLst>
        <ext xmlns:x14="http://schemas.microsoft.com/office/spreadsheetml/2009/9/main" uri="{B025F937-C7B1-47D3-B67F-A62EFF666E3E}">
          <x14:id>{9C9D2623-2AC3-4B5A-B123-E2771F01C495}</x14:id>
        </ext>
      </extLst>
    </cfRule>
  </conditionalFormatting>
  <conditionalFormatting sqref="M142:M143">
    <cfRule type="dataBar" priority="71">
      <dataBar>
        <cfvo type="num" val="0"/>
        <cfvo type="num" val="5"/>
        <color theme="9" tint="0.39997558519241921"/>
      </dataBar>
      <extLst>
        <ext xmlns:x14="http://schemas.microsoft.com/office/spreadsheetml/2009/9/main" uri="{B025F937-C7B1-47D3-B67F-A62EFF666E3E}">
          <x14:id>{26FF3EAD-E9BE-4034-89E9-17DEC4EF36E3}</x14:id>
        </ext>
      </extLst>
    </cfRule>
  </conditionalFormatting>
  <conditionalFormatting sqref="M145:M146">
    <cfRule type="dataBar" priority="70">
      <dataBar>
        <cfvo type="num" val="0"/>
        <cfvo type="num" val="5"/>
        <color theme="9" tint="0.39997558519241921"/>
      </dataBar>
      <extLst>
        <ext xmlns:x14="http://schemas.microsoft.com/office/spreadsheetml/2009/9/main" uri="{B025F937-C7B1-47D3-B67F-A62EFF666E3E}">
          <x14:id>{D6D6B0C2-9102-40FB-8B05-EE1AE4A6C5DB}</x14:id>
        </ext>
      </extLst>
    </cfRule>
  </conditionalFormatting>
  <conditionalFormatting sqref="M148:M149">
    <cfRule type="dataBar" priority="69">
      <dataBar>
        <cfvo type="num" val="0"/>
        <cfvo type="num" val="5"/>
        <color theme="9" tint="0.39997558519241921"/>
      </dataBar>
      <extLst>
        <ext xmlns:x14="http://schemas.microsoft.com/office/spreadsheetml/2009/9/main" uri="{B025F937-C7B1-47D3-B67F-A62EFF666E3E}">
          <x14:id>{D8F92F6B-0B55-4104-A31A-A451AFE0C887}</x14:id>
        </ext>
      </extLst>
    </cfRule>
  </conditionalFormatting>
  <conditionalFormatting sqref="M151:M152">
    <cfRule type="dataBar" priority="68">
      <dataBar>
        <cfvo type="num" val="0"/>
        <cfvo type="num" val="5"/>
        <color theme="9" tint="0.39997558519241921"/>
      </dataBar>
      <extLst>
        <ext xmlns:x14="http://schemas.microsoft.com/office/spreadsheetml/2009/9/main" uri="{B025F937-C7B1-47D3-B67F-A62EFF666E3E}">
          <x14:id>{E434E887-6C14-4EA4-8BFC-08A52B242E3A}</x14:id>
        </ext>
      </extLst>
    </cfRule>
  </conditionalFormatting>
  <conditionalFormatting sqref="M154:M155">
    <cfRule type="dataBar" priority="67">
      <dataBar>
        <cfvo type="num" val="0"/>
        <cfvo type="num" val="5"/>
        <color theme="9" tint="0.39997558519241921"/>
      </dataBar>
      <extLst>
        <ext xmlns:x14="http://schemas.microsoft.com/office/spreadsheetml/2009/9/main" uri="{B025F937-C7B1-47D3-B67F-A62EFF666E3E}">
          <x14:id>{0976061C-D921-4954-9376-19868F62BEF7}</x14:id>
        </ext>
      </extLst>
    </cfRule>
  </conditionalFormatting>
  <conditionalFormatting sqref="M157:M158">
    <cfRule type="dataBar" priority="66">
      <dataBar>
        <cfvo type="num" val="0"/>
        <cfvo type="num" val="5"/>
        <color theme="9" tint="0.39997558519241921"/>
      </dataBar>
      <extLst>
        <ext xmlns:x14="http://schemas.microsoft.com/office/spreadsheetml/2009/9/main" uri="{B025F937-C7B1-47D3-B67F-A62EFF666E3E}">
          <x14:id>{5A156D06-E8D9-497C-B941-FBD6A9878F38}</x14:id>
        </ext>
      </extLst>
    </cfRule>
  </conditionalFormatting>
  <conditionalFormatting sqref="M160:M161">
    <cfRule type="dataBar" priority="65">
      <dataBar>
        <cfvo type="num" val="0"/>
        <cfvo type="num" val="5"/>
        <color theme="9" tint="0.39997558519241921"/>
      </dataBar>
      <extLst>
        <ext xmlns:x14="http://schemas.microsoft.com/office/spreadsheetml/2009/9/main" uri="{B025F937-C7B1-47D3-B67F-A62EFF666E3E}">
          <x14:id>{9E25577B-B772-4A6A-BBE0-F75B4347D76D}</x14:id>
        </ext>
      </extLst>
    </cfRule>
  </conditionalFormatting>
  <conditionalFormatting sqref="M163:M164">
    <cfRule type="dataBar" priority="64">
      <dataBar>
        <cfvo type="num" val="0"/>
        <cfvo type="num" val="5"/>
        <color theme="9" tint="0.39997558519241921"/>
      </dataBar>
      <extLst>
        <ext xmlns:x14="http://schemas.microsoft.com/office/spreadsheetml/2009/9/main" uri="{B025F937-C7B1-47D3-B67F-A62EFF666E3E}">
          <x14:id>{1C26C89B-21AF-4848-89D6-15117794EAD7}</x14:id>
        </ext>
      </extLst>
    </cfRule>
  </conditionalFormatting>
  <conditionalFormatting sqref="M166:M167">
    <cfRule type="dataBar" priority="63">
      <dataBar>
        <cfvo type="num" val="0"/>
        <cfvo type="num" val="5"/>
        <color theme="9" tint="0.39997558519241921"/>
      </dataBar>
      <extLst>
        <ext xmlns:x14="http://schemas.microsoft.com/office/spreadsheetml/2009/9/main" uri="{B025F937-C7B1-47D3-B67F-A62EFF666E3E}">
          <x14:id>{D4D1688B-9F2E-481C-8156-6828645C0950}</x14:id>
        </ext>
      </extLst>
    </cfRule>
  </conditionalFormatting>
  <conditionalFormatting sqref="M169:M170">
    <cfRule type="dataBar" priority="62">
      <dataBar>
        <cfvo type="num" val="0"/>
        <cfvo type="num" val="5"/>
        <color theme="9" tint="0.39997558519241921"/>
      </dataBar>
      <extLst>
        <ext xmlns:x14="http://schemas.microsoft.com/office/spreadsheetml/2009/9/main" uri="{B025F937-C7B1-47D3-B67F-A62EFF666E3E}">
          <x14:id>{B9624770-F883-4F87-BBB5-4302B46AD404}</x14:id>
        </ext>
      </extLst>
    </cfRule>
  </conditionalFormatting>
  <conditionalFormatting sqref="M172:M173">
    <cfRule type="dataBar" priority="61">
      <dataBar>
        <cfvo type="num" val="0"/>
        <cfvo type="num" val="5"/>
        <color theme="9" tint="0.39997558519241921"/>
      </dataBar>
      <extLst>
        <ext xmlns:x14="http://schemas.microsoft.com/office/spreadsheetml/2009/9/main" uri="{B025F937-C7B1-47D3-B67F-A62EFF666E3E}">
          <x14:id>{3DD732DF-811A-417F-AE90-C2AC105659F7}</x14:id>
        </ext>
      </extLst>
    </cfRule>
  </conditionalFormatting>
  <conditionalFormatting sqref="M175:M176">
    <cfRule type="dataBar" priority="60">
      <dataBar>
        <cfvo type="num" val="0"/>
        <cfvo type="num" val="5"/>
        <color theme="9" tint="0.39997558519241921"/>
      </dataBar>
      <extLst>
        <ext xmlns:x14="http://schemas.microsoft.com/office/spreadsheetml/2009/9/main" uri="{B025F937-C7B1-47D3-B67F-A62EFF666E3E}">
          <x14:id>{C338749A-1E91-480C-8E52-B9E7D51BEB08}</x14:id>
        </ext>
      </extLst>
    </cfRule>
  </conditionalFormatting>
  <conditionalFormatting sqref="M178:M179">
    <cfRule type="dataBar" priority="59">
      <dataBar>
        <cfvo type="num" val="0"/>
        <cfvo type="num" val="5"/>
        <color theme="9" tint="0.39997558519241921"/>
      </dataBar>
      <extLst>
        <ext xmlns:x14="http://schemas.microsoft.com/office/spreadsheetml/2009/9/main" uri="{B025F937-C7B1-47D3-B67F-A62EFF666E3E}">
          <x14:id>{94138C1C-7C82-4CC6-B2A8-9ECBE5D12A28}</x14:id>
        </ext>
      </extLst>
    </cfRule>
  </conditionalFormatting>
  <conditionalFormatting sqref="M181:M182">
    <cfRule type="dataBar" priority="58">
      <dataBar>
        <cfvo type="num" val="0"/>
        <cfvo type="num" val="5"/>
        <color theme="9" tint="0.39997558519241921"/>
      </dataBar>
      <extLst>
        <ext xmlns:x14="http://schemas.microsoft.com/office/spreadsheetml/2009/9/main" uri="{B025F937-C7B1-47D3-B67F-A62EFF666E3E}">
          <x14:id>{E30A420C-B88A-48D0-8E54-A22017182AD9}</x14:id>
        </ext>
      </extLst>
    </cfRule>
  </conditionalFormatting>
  <conditionalFormatting sqref="M184:M185">
    <cfRule type="dataBar" priority="56">
      <dataBar>
        <cfvo type="num" val="0"/>
        <cfvo type="num" val="5"/>
        <color theme="9" tint="0.39997558519241921"/>
      </dataBar>
      <extLst>
        <ext xmlns:x14="http://schemas.microsoft.com/office/spreadsheetml/2009/9/main" uri="{B025F937-C7B1-47D3-B67F-A62EFF666E3E}">
          <x14:id>{19BD1312-FAE9-4066-B431-C31A5E7979DD}</x14:id>
        </ext>
      </extLst>
    </cfRule>
  </conditionalFormatting>
  <conditionalFormatting sqref="M187:M188">
    <cfRule type="dataBar" priority="55">
      <dataBar>
        <cfvo type="num" val="0"/>
        <cfvo type="num" val="5"/>
        <color theme="9" tint="0.39997558519241921"/>
      </dataBar>
      <extLst>
        <ext xmlns:x14="http://schemas.microsoft.com/office/spreadsheetml/2009/9/main" uri="{B025F937-C7B1-47D3-B67F-A62EFF666E3E}">
          <x14:id>{80568764-FAC1-46C5-A181-11348B0A9812}</x14:id>
        </ext>
      </extLst>
    </cfRule>
  </conditionalFormatting>
  <conditionalFormatting sqref="M190:M191">
    <cfRule type="dataBar" priority="54">
      <dataBar>
        <cfvo type="num" val="0"/>
        <cfvo type="num" val="5"/>
        <color theme="9" tint="0.39997558519241921"/>
      </dataBar>
      <extLst>
        <ext xmlns:x14="http://schemas.microsoft.com/office/spreadsheetml/2009/9/main" uri="{B025F937-C7B1-47D3-B67F-A62EFF666E3E}">
          <x14:id>{E4EFBC6A-B1A7-4E26-9160-CA86AEF53A42}</x14:id>
        </ext>
      </extLst>
    </cfRule>
  </conditionalFormatting>
  <conditionalFormatting sqref="M193:M194">
    <cfRule type="dataBar" priority="53">
      <dataBar>
        <cfvo type="num" val="0"/>
        <cfvo type="num" val="5"/>
        <color theme="9" tint="0.39997558519241921"/>
      </dataBar>
      <extLst>
        <ext xmlns:x14="http://schemas.microsoft.com/office/spreadsheetml/2009/9/main" uri="{B025F937-C7B1-47D3-B67F-A62EFF666E3E}">
          <x14:id>{8F7FC881-0958-4DA2-9147-F3B4650DDB38}</x14:id>
        </ext>
      </extLst>
    </cfRule>
  </conditionalFormatting>
  <conditionalFormatting sqref="M196:M197">
    <cfRule type="dataBar" priority="52">
      <dataBar>
        <cfvo type="num" val="0"/>
        <cfvo type="num" val="5"/>
        <color theme="9" tint="0.39997558519241921"/>
      </dataBar>
      <extLst>
        <ext xmlns:x14="http://schemas.microsoft.com/office/spreadsheetml/2009/9/main" uri="{B025F937-C7B1-47D3-B67F-A62EFF666E3E}">
          <x14:id>{6485AC1B-F7A3-4078-85CD-84A35413DFAF}</x14:id>
        </ext>
      </extLst>
    </cfRule>
  </conditionalFormatting>
  <conditionalFormatting sqref="M199:M200">
    <cfRule type="dataBar" priority="51">
      <dataBar>
        <cfvo type="num" val="0"/>
        <cfvo type="num" val="5"/>
        <color theme="9" tint="0.39997558519241921"/>
      </dataBar>
      <extLst>
        <ext xmlns:x14="http://schemas.microsoft.com/office/spreadsheetml/2009/9/main" uri="{B025F937-C7B1-47D3-B67F-A62EFF666E3E}">
          <x14:id>{6F937D2B-AFF1-4687-8697-1774614415A4}</x14:id>
        </ext>
      </extLst>
    </cfRule>
  </conditionalFormatting>
  <conditionalFormatting sqref="M202:M203">
    <cfRule type="dataBar" priority="50">
      <dataBar>
        <cfvo type="num" val="0"/>
        <cfvo type="num" val="5"/>
        <color theme="9" tint="0.39997558519241921"/>
      </dataBar>
      <extLst>
        <ext xmlns:x14="http://schemas.microsoft.com/office/spreadsheetml/2009/9/main" uri="{B025F937-C7B1-47D3-B67F-A62EFF666E3E}">
          <x14:id>{4E044BEB-C746-44C0-866C-40A951E826DD}</x14:id>
        </ext>
      </extLst>
    </cfRule>
  </conditionalFormatting>
  <conditionalFormatting sqref="M205:M206">
    <cfRule type="dataBar" priority="49">
      <dataBar>
        <cfvo type="num" val="0"/>
        <cfvo type="num" val="5"/>
        <color theme="9" tint="0.39997558519241921"/>
      </dataBar>
      <extLst>
        <ext xmlns:x14="http://schemas.microsoft.com/office/spreadsheetml/2009/9/main" uri="{B025F937-C7B1-47D3-B67F-A62EFF666E3E}">
          <x14:id>{094A97FD-BC24-4BE4-90FD-EE911C0F71EC}</x14:id>
        </ext>
      </extLst>
    </cfRule>
  </conditionalFormatting>
  <conditionalFormatting sqref="M208:M209">
    <cfRule type="dataBar" priority="48">
      <dataBar>
        <cfvo type="num" val="0"/>
        <cfvo type="num" val="5"/>
        <color theme="9" tint="0.39997558519241921"/>
      </dataBar>
      <extLst>
        <ext xmlns:x14="http://schemas.microsoft.com/office/spreadsheetml/2009/9/main" uri="{B025F937-C7B1-47D3-B67F-A62EFF666E3E}">
          <x14:id>{E8669F2B-E26F-47F7-B6FF-7C93680D740C}</x14:id>
        </ext>
      </extLst>
    </cfRule>
  </conditionalFormatting>
  <conditionalFormatting sqref="M211:M212">
    <cfRule type="dataBar" priority="47">
      <dataBar>
        <cfvo type="num" val="0"/>
        <cfvo type="num" val="5"/>
        <color theme="9" tint="0.39997558519241921"/>
      </dataBar>
      <extLst>
        <ext xmlns:x14="http://schemas.microsoft.com/office/spreadsheetml/2009/9/main" uri="{B025F937-C7B1-47D3-B67F-A62EFF666E3E}">
          <x14:id>{E08203C5-F47B-44B4-BBF1-58DAF0282E19}</x14:id>
        </ext>
      </extLst>
    </cfRule>
  </conditionalFormatting>
  <conditionalFormatting sqref="M214:M215">
    <cfRule type="dataBar" priority="46">
      <dataBar>
        <cfvo type="num" val="0"/>
        <cfvo type="num" val="5"/>
        <color theme="9" tint="0.39997558519241921"/>
      </dataBar>
      <extLst>
        <ext xmlns:x14="http://schemas.microsoft.com/office/spreadsheetml/2009/9/main" uri="{B025F937-C7B1-47D3-B67F-A62EFF666E3E}">
          <x14:id>{6EE81865-95D5-4161-9FA3-29AB3BBE2C9E}</x14:id>
        </ext>
      </extLst>
    </cfRule>
  </conditionalFormatting>
  <conditionalFormatting sqref="M217:M218">
    <cfRule type="dataBar" priority="45">
      <dataBar>
        <cfvo type="num" val="0"/>
        <cfvo type="num" val="5"/>
        <color theme="9" tint="0.39997558519241921"/>
      </dataBar>
      <extLst>
        <ext xmlns:x14="http://schemas.microsoft.com/office/spreadsheetml/2009/9/main" uri="{B025F937-C7B1-47D3-B67F-A62EFF666E3E}">
          <x14:id>{8F5E1F86-05C0-4CAC-8661-4DD60F959B0B}</x14:id>
        </ext>
      </extLst>
    </cfRule>
  </conditionalFormatting>
  <conditionalFormatting sqref="M220:M221">
    <cfRule type="dataBar" priority="44">
      <dataBar>
        <cfvo type="num" val="0"/>
        <cfvo type="num" val="5"/>
        <color theme="9" tint="0.39997558519241921"/>
      </dataBar>
      <extLst>
        <ext xmlns:x14="http://schemas.microsoft.com/office/spreadsheetml/2009/9/main" uri="{B025F937-C7B1-47D3-B67F-A62EFF666E3E}">
          <x14:id>{CCD3B8E4-78F6-4FD9-B218-5F3243CD9C37}</x14:id>
        </ext>
      </extLst>
    </cfRule>
  </conditionalFormatting>
  <conditionalFormatting sqref="M223:M224">
    <cfRule type="dataBar" priority="43">
      <dataBar>
        <cfvo type="num" val="0"/>
        <cfvo type="num" val="5"/>
        <color theme="9" tint="0.39997558519241921"/>
      </dataBar>
      <extLst>
        <ext xmlns:x14="http://schemas.microsoft.com/office/spreadsheetml/2009/9/main" uri="{B025F937-C7B1-47D3-B67F-A62EFF666E3E}">
          <x14:id>{7C18BD71-4713-4BD5-A265-6ACD346B5DED}</x14:id>
        </ext>
      </extLst>
    </cfRule>
  </conditionalFormatting>
  <conditionalFormatting sqref="M226:M227">
    <cfRule type="dataBar" priority="42">
      <dataBar>
        <cfvo type="num" val="0"/>
        <cfvo type="num" val="5"/>
        <color theme="9" tint="0.39997558519241921"/>
      </dataBar>
      <extLst>
        <ext xmlns:x14="http://schemas.microsoft.com/office/spreadsheetml/2009/9/main" uri="{B025F937-C7B1-47D3-B67F-A62EFF666E3E}">
          <x14:id>{8EB70CC0-C9F7-4A07-A2DC-728DA506E33C}</x14:id>
        </ext>
      </extLst>
    </cfRule>
  </conditionalFormatting>
  <conditionalFormatting sqref="M229:M230">
    <cfRule type="dataBar" priority="41">
      <dataBar>
        <cfvo type="num" val="0"/>
        <cfvo type="num" val="5"/>
        <color theme="9" tint="0.39997558519241921"/>
      </dataBar>
      <extLst>
        <ext xmlns:x14="http://schemas.microsoft.com/office/spreadsheetml/2009/9/main" uri="{B025F937-C7B1-47D3-B67F-A62EFF666E3E}">
          <x14:id>{4E81357D-C045-454E-9ACC-CD16AB6B50A7}</x14:id>
        </ext>
      </extLst>
    </cfRule>
  </conditionalFormatting>
  <conditionalFormatting sqref="M232:M233">
    <cfRule type="dataBar" priority="40">
      <dataBar>
        <cfvo type="num" val="0"/>
        <cfvo type="num" val="5"/>
        <color theme="9" tint="0.39997558519241921"/>
      </dataBar>
      <extLst>
        <ext xmlns:x14="http://schemas.microsoft.com/office/spreadsheetml/2009/9/main" uri="{B025F937-C7B1-47D3-B67F-A62EFF666E3E}">
          <x14:id>{E0FF9086-0960-4D3B-A589-EF91F22B93AF}</x14:id>
        </ext>
      </extLst>
    </cfRule>
  </conditionalFormatting>
  <conditionalFormatting sqref="M235:M236">
    <cfRule type="dataBar" priority="39">
      <dataBar>
        <cfvo type="num" val="0"/>
        <cfvo type="num" val="5"/>
        <color theme="9" tint="0.39997558519241921"/>
      </dataBar>
      <extLst>
        <ext xmlns:x14="http://schemas.microsoft.com/office/spreadsheetml/2009/9/main" uri="{B025F937-C7B1-47D3-B67F-A62EFF666E3E}">
          <x14:id>{9CE4853A-F368-4931-A55F-7EE025CF16A1}</x14:id>
        </ext>
      </extLst>
    </cfRule>
  </conditionalFormatting>
  <conditionalFormatting sqref="M244:M245">
    <cfRule type="dataBar" priority="38">
      <dataBar>
        <cfvo type="num" val="0"/>
        <cfvo type="num" val="5"/>
        <color theme="9" tint="0.39997558519241921"/>
      </dataBar>
      <extLst>
        <ext xmlns:x14="http://schemas.microsoft.com/office/spreadsheetml/2009/9/main" uri="{B025F937-C7B1-47D3-B67F-A62EFF666E3E}">
          <x14:id>{83E4405E-D2B2-4901-8D45-DDFE627743B3}</x14:id>
        </ext>
      </extLst>
    </cfRule>
  </conditionalFormatting>
  <conditionalFormatting sqref="M247:M248">
    <cfRule type="dataBar" priority="37">
      <dataBar>
        <cfvo type="num" val="0"/>
        <cfvo type="num" val="5"/>
        <color theme="9" tint="0.39997558519241921"/>
      </dataBar>
      <extLst>
        <ext xmlns:x14="http://schemas.microsoft.com/office/spreadsheetml/2009/9/main" uri="{B025F937-C7B1-47D3-B67F-A62EFF666E3E}">
          <x14:id>{97B9BF0D-CACA-444B-A797-EE658CFA4BE5}</x14:id>
        </ext>
      </extLst>
    </cfRule>
  </conditionalFormatting>
  <conditionalFormatting sqref="M250:M251">
    <cfRule type="dataBar" priority="36">
      <dataBar>
        <cfvo type="num" val="0"/>
        <cfvo type="num" val="5"/>
        <color theme="9" tint="0.39997558519241921"/>
      </dataBar>
      <extLst>
        <ext xmlns:x14="http://schemas.microsoft.com/office/spreadsheetml/2009/9/main" uri="{B025F937-C7B1-47D3-B67F-A62EFF666E3E}">
          <x14:id>{C2091A10-691E-4A7F-9F1B-36DBE59DB86D}</x14:id>
        </ext>
      </extLst>
    </cfRule>
  </conditionalFormatting>
  <conditionalFormatting sqref="M253:M254">
    <cfRule type="dataBar" priority="35">
      <dataBar>
        <cfvo type="num" val="0"/>
        <cfvo type="num" val="5"/>
        <color theme="9" tint="0.39997558519241921"/>
      </dataBar>
      <extLst>
        <ext xmlns:x14="http://schemas.microsoft.com/office/spreadsheetml/2009/9/main" uri="{B025F937-C7B1-47D3-B67F-A62EFF666E3E}">
          <x14:id>{0B43BBF8-F8CF-4888-B133-9D4865EE395A}</x14:id>
        </ext>
      </extLst>
    </cfRule>
  </conditionalFormatting>
  <conditionalFormatting sqref="M256:M257">
    <cfRule type="dataBar" priority="34">
      <dataBar>
        <cfvo type="num" val="0"/>
        <cfvo type="num" val="5"/>
        <color theme="9" tint="0.39997558519241921"/>
      </dataBar>
      <extLst>
        <ext xmlns:x14="http://schemas.microsoft.com/office/spreadsheetml/2009/9/main" uri="{B025F937-C7B1-47D3-B67F-A62EFF666E3E}">
          <x14:id>{E3F8302B-3868-4442-9BA7-7E1790FD6B0B}</x14:id>
        </ext>
      </extLst>
    </cfRule>
  </conditionalFormatting>
  <conditionalFormatting sqref="M259:M260">
    <cfRule type="dataBar" priority="33">
      <dataBar>
        <cfvo type="num" val="0"/>
        <cfvo type="num" val="5"/>
        <color theme="9" tint="0.39997558519241921"/>
      </dataBar>
      <extLst>
        <ext xmlns:x14="http://schemas.microsoft.com/office/spreadsheetml/2009/9/main" uri="{B025F937-C7B1-47D3-B67F-A62EFF666E3E}">
          <x14:id>{DFD13B41-B88B-423F-B000-0D77BE778A4A}</x14:id>
        </ext>
      </extLst>
    </cfRule>
  </conditionalFormatting>
  <conditionalFormatting sqref="M262:M263">
    <cfRule type="dataBar" priority="32">
      <dataBar>
        <cfvo type="num" val="0"/>
        <cfvo type="num" val="5"/>
        <color theme="9" tint="0.39997558519241921"/>
      </dataBar>
      <extLst>
        <ext xmlns:x14="http://schemas.microsoft.com/office/spreadsheetml/2009/9/main" uri="{B025F937-C7B1-47D3-B67F-A62EFF666E3E}">
          <x14:id>{B4293965-14E3-46E8-B860-4C5A6D643337}</x14:id>
        </ext>
      </extLst>
    </cfRule>
  </conditionalFormatting>
  <conditionalFormatting sqref="M268:M269">
    <cfRule type="dataBar" priority="31">
      <dataBar>
        <cfvo type="num" val="0"/>
        <cfvo type="num" val="5"/>
        <color theme="9" tint="0.39997558519241921"/>
      </dataBar>
      <extLst>
        <ext xmlns:x14="http://schemas.microsoft.com/office/spreadsheetml/2009/9/main" uri="{B025F937-C7B1-47D3-B67F-A62EFF666E3E}">
          <x14:id>{C3FD430F-D52C-45D0-96A7-BB12466074F5}</x14:id>
        </ext>
      </extLst>
    </cfRule>
  </conditionalFormatting>
  <conditionalFormatting sqref="M271:M272">
    <cfRule type="dataBar" priority="30">
      <dataBar>
        <cfvo type="num" val="0"/>
        <cfvo type="num" val="5"/>
        <color theme="9" tint="0.39997558519241921"/>
      </dataBar>
      <extLst>
        <ext xmlns:x14="http://schemas.microsoft.com/office/spreadsheetml/2009/9/main" uri="{B025F937-C7B1-47D3-B67F-A62EFF666E3E}">
          <x14:id>{7B07E0D4-0846-44E9-A630-C9D9883F0607}</x14:id>
        </ext>
      </extLst>
    </cfRule>
  </conditionalFormatting>
  <conditionalFormatting sqref="M274:M275">
    <cfRule type="dataBar" priority="29">
      <dataBar>
        <cfvo type="num" val="0"/>
        <cfvo type="num" val="5"/>
        <color theme="9" tint="0.39997558519241921"/>
      </dataBar>
      <extLst>
        <ext xmlns:x14="http://schemas.microsoft.com/office/spreadsheetml/2009/9/main" uri="{B025F937-C7B1-47D3-B67F-A62EFF666E3E}">
          <x14:id>{206618FC-71B4-4DC8-B018-F6643007E174}</x14:id>
        </ext>
      </extLst>
    </cfRule>
  </conditionalFormatting>
  <conditionalFormatting sqref="M277:M278">
    <cfRule type="dataBar" priority="28">
      <dataBar>
        <cfvo type="num" val="0"/>
        <cfvo type="num" val="5"/>
        <color theme="9" tint="0.39997558519241921"/>
      </dataBar>
      <extLst>
        <ext xmlns:x14="http://schemas.microsoft.com/office/spreadsheetml/2009/9/main" uri="{B025F937-C7B1-47D3-B67F-A62EFF666E3E}">
          <x14:id>{E34191AB-C2C4-4D81-9A16-CEF26E169BEB}</x14:id>
        </ext>
      </extLst>
    </cfRule>
  </conditionalFormatting>
  <conditionalFormatting sqref="M280:M281">
    <cfRule type="dataBar" priority="27">
      <dataBar>
        <cfvo type="num" val="0"/>
        <cfvo type="num" val="5"/>
        <color theme="9" tint="0.39997558519241921"/>
      </dataBar>
      <extLst>
        <ext xmlns:x14="http://schemas.microsoft.com/office/spreadsheetml/2009/9/main" uri="{B025F937-C7B1-47D3-B67F-A62EFF666E3E}">
          <x14:id>{E636B5B4-E9A7-4831-ABD8-3AD3BD3F884E}</x14:id>
        </ext>
      </extLst>
    </cfRule>
  </conditionalFormatting>
  <conditionalFormatting sqref="M283:M284">
    <cfRule type="dataBar" priority="26">
      <dataBar>
        <cfvo type="num" val="0"/>
        <cfvo type="num" val="5"/>
        <color theme="9" tint="0.39997558519241921"/>
      </dataBar>
      <extLst>
        <ext xmlns:x14="http://schemas.microsoft.com/office/spreadsheetml/2009/9/main" uri="{B025F937-C7B1-47D3-B67F-A62EFF666E3E}">
          <x14:id>{43E28DD3-97F8-429E-8E39-2D42FDC2113B}</x14:id>
        </ext>
      </extLst>
    </cfRule>
  </conditionalFormatting>
  <conditionalFormatting sqref="M286:M287">
    <cfRule type="dataBar" priority="25">
      <dataBar>
        <cfvo type="num" val="0"/>
        <cfvo type="num" val="5"/>
        <color theme="9" tint="0.39997558519241921"/>
      </dataBar>
      <extLst>
        <ext xmlns:x14="http://schemas.microsoft.com/office/spreadsheetml/2009/9/main" uri="{B025F937-C7B1-47D3-B67F-A62EFF666E3E}">
          <x14:id>{B3F48511-50C8-4A0B-9149-8D71C3073A3F}</x14:id>
        </ext>
      </extLst>
    </cfRule>
  </conditionalFormatting>
  <conditionalFormatting sqref="M292:M293">
    <cfRule type="dataBar" priority="24">
      <dataBar>
        <cfvo type="num" val="0"/>
        <cfvo type="num" val="5"/>
        <color theme="9" tint="0.39997558519241921"/>
      </dataBar>
      <extLst>
        <ext xmlns:x14="http://schemas.microsoft.com/office/spreadsheetml/2009/9/main" uri="{B025F937-C7B1-47D3-B67F-A62EFF666E3E}">
          <x14:id>{F739798C-51AA-40A0-BF93-BFBE4A286AA8}</x14:id>
        </ext>
      </extLst>
    </cfRule>
  </conditionalFormatting>
  <conditionalFormatting sqref="M295:M296">
    <cfRule type="dataBar" priority="23">
      <dataBar>
        <cfvo type="num" val="0"/>
        <cfvo type="num" val="5"/>
        <color theme="9" tint="0.39997558519241921"/>
      </dataBar>
      <extLst>
        <ext xmlns:x14="http://schemas.microsoft.com/office/spreadsheetml/2009/9/main" uri="{B025F937-C7B1-47D3-B67F-A62EFF666E3E}">
          <x14:id>{56F86DE2-9651-4AD0-8B35-874E72A38237}</x14:id>
        </ext>
      </extLst>
    </cfRule>
  </conditionalFormatting>
  <conditionalFormatting sqref="M298:M299">
    <cfRule type="dataBar" priority="22">
      <dataBar>
        <cfvo type="num" val="0"/>
        <cfvo type="num" val="5"/>
        <color theme="9" tint="0.39997558519241921"/>
      </dataBar>
      <extLst>
        <ext xmlns:x14="http://schemas.microsoft.com/office/spreadsheetml/2009/9/main" uri="{B025F937-C7B1-47D3-B67F-A62EFF666E3E}">
          <x14:id>{B90459E3-BA81-416F-BA45-18E552CC9B71}</x14:id>
        </ext>
      </extLst>
    </cfRule>
  </conditionalFormatting>
  <conditionalFormatting sqref="M301:M302">
    <cfRule type="dataBar" priority="21">
      <dataBar>
        <cfvo type="num" val="0"/>
        <cfvo type="num" val="5"/>
        <color theme="9" tint="0.39997558519241921"/>
      </dataBar>
      <extLst>
        <ext xmlns:x14="http://schemas.microsoft.com/office/spreadsheetml/2009/9/main" uri="{B025F937-C7B1-47D3-B67F-A62EFF666E3E}">
          <x14:id>{597F850C-2431-4D32-861F-85AE02839D0A}</x14:id>
        </ext>
      </extLst>
    </cfRule>
  </conditionalFormatting>
  <conditionalFormatting sqref="M304:M305">
    <cfRule type="dataBar" priority="20">
      <dataBar>
        <cfvo type="num" val="0"/>
        <cfvo type="num" val="5"/>
        <color theme="9" tint="0.39997558519241921"/>
      </dataBar>
      <extLst>
        <ext xmlns:x14="http://schemas.microsoft.com/office/spreadsheetml/2009/9/main" uri="{B025F937-C7B1-47D3-B67F-A62EFF666E3E}">
          <x14:id>{57F3A856-7796-4957-A3B6-96DC4B5C5593}</x14:id>
        </ext>
      </extLst>
    </cfRule>
  </conditionalFormatting>
  <conditionalFormatting sqref="M307:M308">
    <cfRule type="dataBar" priority="19">
      <dataBar>
        <cfvo type="num" val="0"/>
        <cfvo type="num" val="5"/>
        <color theme="9" tint="0.39997558519241921"/>
      </dataBar>
      <extLst>
        <ext xmlns:x14="http://schemas.microsoft.com/office/spreadsheetml/2009/9/main" uri="{B025F937-C7B1-47D3-B67F-A62EFF666E3E}">
          <x14:id>{A0FCC4E4-2D02-4DC1-A61C-A0EC198014CD}</x14:id>
        </ext>
      </extLst>
    </cfRule>
  </conditionalFormatting>
  <conditionalFormatting sqref="M310:M311">
    <cfRule type="dataBar" priority="18">
      <dataBar>
        <cfvo type="num" val="0"/>
        <cfvo type="num" val="5"/>
        <color theme="9" tint="0.39997558519241921"/>
      </dataBar>
      <extLst>
        <ext xmlns:x14="http://schemas.microsoft.com/office/spreadsheetml/2009/9/main" uri="{B025F937-C7B1-47D3-B67F-A62EFF666E3E}">
          <x14:id>{C83975CF-4745-41CD-A815-B09D235AEF54}</x14:id>
        </ext>
      </extLst>
    </cfRule>
  </conditionalFormatting>
  <conditionalFormatting sqref="M313:M314">
    <cfRule type="dataBar" priority="17">
      <dataBar>
        <cfvo type="num" val="0"/>
        <cfvo type="num" val="5"/>
        <color theme="9" tint="0.39997558519241921"/>
      </dataBar>
      <extLst>
        <ext xmlns:x14="http://schemas.microsoft.com/office/spreadsheetml/2009/9/main" uri="{B025F937-C7B1-47D3-B67F-A62EFF666E3E}">
          <x14:id>{9B08D7C7-26B7-4917-829E-765AC7CC72C6}</x14:id>
        </ext>
      </extLst>
    </cfRule>
  </conditionalFormatting>
  <conditionalFormatting sqref="M316:M317">
    <cfRule type="dataBar" priority="16">
      <dataBar>
        <cfvo type="num" val="0"/>
        <cfvo type="num" val="5"/>
        <color theme="9" tint="0.39997558519241921"/>
      </dataBar>
      <extLst>
        <ext xmlns:x14="http://schemas.microsoft.com/office/spreadsheetml/2009/9/main" uri="{B025F937-C7B1-47D3-B67F-A62EFF666E3E}">
          <x14:id>{F5602429-B6FD-444B-96F7-49A14E892EE3}</x14:id>
        </ext>
      </extLst>
    </cfRule>
  </conditionalFormatting>
  <conditionalFormatting sqref="M319:M320">
    <cfRule type="dataBar" priority="15">
      <dataBar>
        <cfvo type="num" val="0"/>
        <cfvo type="num" val="5"/>
        <color theme="9" tint="0.39997558519241921"/>
      </dataBar>
      <extLst>
        <ext xmlns:x14="http://schemas.microsoft.com/office/spreadsheetml/2009/9/main" uri="{B025F937-C7B1-47D3-B67F-A62EFF666E3E}">
          <x14:id>{A08A6BC2-7629-4A68-BD3E-69AEFF1521B8}</x14:id>
        </ext>
      </extLst>
    </cfRule>
  </conditionalFormatting>
  <conditionalFormatting sqref="M322:M323">
    <cfRule type="dataBar" priority="14">
      <dataBar>
        <cfvo type="num" val="0"/>
        <cfvo type="num" val="5"/>
        <color theme="9" tint="0.39997558519241921"/>
      </dataBar>
      <extLst>
        <ext xmlns:x14="http://schemas.microsoft.com/office/spreadsheetml/2009/9/main" uri="{B025F937-C7B1-47D3-B67F-A62EFF666E3E}">
          <x14:id>{525E735A-6E73-49A6-B9A0-5EFE6C143694}</x14:id>
        </ext>
      </extLst>
    </cfRule>
  </conditionalFormatting>
  <conditionalFormatting sqref="M325:M326">
    <cfRule type="dataBar" priority="13">
      <dataBar>
        <cfvo type="num" val="0"/>
        <cfvo type="num" val="5"/>
        <color theme="9" tint="0.39997558519241921"/>
      </dataBar>
      <extLst>
        <ext xmlns:x14="http://schemas.microsoft.com/office/spreadsheetml/2009/9/main" uri="{B025F937-C7B1-47D3-B67F-A62EFF666E3E}">
          <x14:id>{103F64A2-FC8B-46A7-A5EB-FD0D62545223}</x14:id>
        </ext>
      </extLst>
    </cfRule>
  </conditionalFormatting>
  <conditionalFormatting sqref="M328:M329">
    <cfRule type="dataBar" priority="12">
      <dataBar>
        <cfvo type="num" val="0"/>
        <cfvo type="num" val="5"/>
        <color theme="9" tint="0.39997558519241921"/>
      </dataBar>
      <extLst>
        <ext xmlns:x14="http://schemas.microsoft.com/office/spreadsheetml/2009/9/main" uri="{B025F937-C7B1-47D3-B67F-A62EFF666E3E}">
          <x14:id>{FA6BAC52-AB34-49B8-89B4-9EDA9D478B83}</x14:id>
        </ext>
      </extLst>
    </cfRule>
  </conditionalFormatting>
  <conditionalFormatting sqref="M334:M335">
    <cfRule type="dataBar" priority="11">
      <dataBar>
        <cfvo type="num" val="0"/>
        <cfvo type="num" val="5"/>
        <color theme="9" tint="0.39997558519241921"/>
      </dataBar>
      <extLst>
        <ext xmlns:x14="http://schemas.microsoft.com/office/spreadsheetml/2009/9/main" uri="{B025F937-C7B1-47D3-B67F-A62EFF666E3E}">
          <x14:id>{274807CB-C7D2-4F2D-A716-021881E64C77}</x14:id>
        </ext>
      </extLst>
    </cfRule>
  </conditionalFormatting>
  <conditionalFormatting sqref="M340:M341">
    <cfRule type="dataBar" priority="10">
      <dataBar>
        <cfvo type="num" val="0"/>
        <cfvo type="num" val="5"/>
        <color theme="9" tint="0.39997558519241921"/>
      </dataBar>
      <extLst>
        <ext xmlns:x14="http://schemas.microsoft.com/office/spreadsheetml/2009/9/main" uri="{B025F937-C7B1-47D3-B67F-A62EFF666E3E}">
          <x14:id>{1636D9F8-9600-4C78-8864-B5DACE060C9A}</x14:id>
        </ext>
      </extLst>
    </cfRule>
  </conditionalFormatting>
  <conditionalFormatting sqref="M343:M344">
    <cfRule type="dataBar" priority="9">
      <dataBar>
        <cfvo type="num" val="0"/>
        <cfvo type="num" val="5"/>
        <color theme="9" tint="0.39997558519241921"/>
      </dataBar>
      <extLst>
        <ext xmlns:x14="http://schemas.microsoft.com/office/spreadsheetml/2009/9/main" uri="{B025F937-C7B1-47D3-B67F-A62EFF666E3E}">
          <x14:id>{A644D601-1682-4DD4-8099-D9CF2893D239}</x14:id>
        </ext>
      </extLst>
    </cfRule>
  </conditionalFormatting>
  <conditionalFormatting sqref="M346:M347">
    <cfRule type="dataBar" priority="8">
      <dataBar>
        <cfvo type="num" val="0"/>
        <cfvo type="num" val="5"/>
        <color theme="9" tint="0.39997558519241921"/>
      </dataBar>
      <extLst>
        <ext xmlns:x14="http://schemas.microsoft.com/office/spreadsheetml/2009/9/main" uri="{B025F937-C7B1-47D3-B67F-A62EFF666E3E}">
          <x14:id>{0EA53348-5D7B-446A-821B-F12249F22EEB}</x14:id>
        </ext>
      </extLst>
    </cfRule>
  </conditionalFormatting>
  <conditionalFormatting sqref="M349:M350">
    <cfRule type="dataBar" priority="7">
      <dataBar>
        <cfvo type="num" val="0"/>
        <cfvo type="num" val="5"/>
        <color theme="9" tint="0.39997558519241921"/>
      </dataBar>
      <extLst>
        <ext xmlns:x14="http://schemas.microsoft.com/office/spreadsheetml/2009/9/main" uri="{B025F937-C7B1-47D3-B67F-A62EFF666E3E}">
          <x14:id>{1D2451D2-6A9A-43C2-A19D-74E928D5C361}</x14:id>
        </ext>
      </extLst>
    </cfRule>
  </conditionalFormatting>
  <conditionalFormatting sqref="M352:M353">
    <cfRule type="dataBar" priority="6">
      <dataBar>
        <cfvo type="num" val="0"/>
        <cfvo type="num" val="5"/>
        <color theme="9" tint="0.39997558519241921"/>
      </dataBar>
      <extLst>
        <ext xmlns:x14="http://schemas.microsoft.com/office/spreadsheetml/2009/9/main" uri="{B025F937-C7B1-47D3-B67F-A62EFF666E3E}">
          <x14:id>{F57D06DF-9F2F-4E33-8C3A-18772D1A7DCA}</x14:id>
        </ext>
      </extLst>
    </cfRule>
  </conditionalFormatting>
  <conditionalFormatting sqref="M355:M356">
    <cfRule type="dataBar" priority="5">
      <dataBar>
        <cfvo type="num" val="0"/>
        <cfvo type="num" val="5"/>
        <color theme="9" tint="0.39997558519241921"/>
      </dataBar>
      <extLst>
        <ext xmlns:x14="http://schemas.microsoft.com/office/spreadsheetml/2009/9/main" uri="{B025F937-C7B1-47D3-B67F-A62EFF666E3E}">
          <x14:id>{0F842E49-F49B-4969-B474-3AFD8DA51ECA}</x14:id>
        </ext>
      </extLst>
    </cfRule>
  </conditionalFormatting>
  <conditionalFormatting sqref="M358:M359">
    <cfRule type="dataBar" priority="4">
      <dataBar>
        <cfvo type="num" val="0"/>
        <cfvo type="num" val="5"/>
        <color theme="9" tint="0.39997558519241921"/>
      </dataBar>
      <extLst>
        <ext xmlns:x14="http://schemas.microsoft.com/office/spreadsheetml/2009/9/main" uri="{B025F937-C7B1-47D3-B67F-A62EFF666E3E}">
          <x14:id>{349B4F0E-CB40-4F17-BCB8-A32050A45E3A}</x14:id>
        </ext>
      </extLst>
    </cfRule>
  </conditionalFormatting>
  <conditionalFormatting sqref="M361:M362">
    <cfRule type="dataBar" priority="3">
      <dataBar>
        <cfvo type="num" val="0"/>
        <cfvo type="num" val="5"/>
        <color theme="9" tint="0.39997558519241921"/>
      </dataBar>
      <extLst>
        <ext xmlns:x14="http://schemas.microsoft.com/office/spreadsheetml/2009/9/main" uri="{B025F937-C7B1-47D3-B67F-A62EFF666E3E}">
          <x14:id>{24080D74-673C-4CEC-9101-9FBDD2E88873}</x14:id>
        </ext>
      </extLst>
    </cfRule>
  </conditionalFormatting>
  <conditionalFormatting sqref="M364:M365">
    <cfRule type="dataBar" priority="2">
      <dataBar>
        <cfvo type="num" val="0"/>
        <cfvo type="num" val="5"/>
        <color theme="9" tint="0.39997558519241921"/>
      </dataBar>
      <extLst>
        <ext xmlns:x14="http://schemas.microsoft.com/office/spreadsheetml/2009/9/main" uri="{B025F937-C7B1-47D3-B67F-A62EFF666E3E}">
          <x14:id>{D9077B9E-D076-409C-82D3-9A7AAAAC777A}</x14:id>
        </ext>
      </extLst>
    </cfRule>
  </conditionalFormatting>
  <conditionalFormatting sqref="M367:M368">
    <cfRule type="dataBar" priority="1">
      <dataBar>
        <cfvo type="num" val="0"/>
        <cfvo type="num" val="5"/>
        <color theme="9" tint="0.39997558519241921"/>
      </dataBar>
      <extLst>
        <ext xmlns:x14="http://schemas.microsoft.com/office/spreadsheetml/2009/9/main" uri="{B025F937-C7B1-47D3-B67F-A62EFF666E3E}">
          <x14:id>{6765311E-BC25-4771-AA13-9A11308223CA}</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5D90EED9-B807-4BDA-B997-8F866AA4B348}">
            <x14:dataBar minLength="0" maxLength="100" border="1" negativeBarBorderColorSameAsPositive="0">
              <x14:cfvo type="num">
                <xm:f>0</xm:f>
              </x14:cfvo>
              <x14:cfvo type="num">
                <xm:f>200</xm:f>
              </x14:cfvo>
              <x14:borderColor rgb="FFB8341E"/>
              <x14:negativeFillColor rgb="FFFF0000"/>
              <x14:negativeBorderColor rgb="FFFF0000"/>
              <x14:axisColor rgb="FF000000"/>
            </x14:dataBar>
          </x14:cfRule>
          <xm:sqref>A5</xm:sqref>
        </x14:conditionalFormatting>
        <x14:conditionalFormatting xmlns:xm="http://schemas.microsoft.com/office/excel/2006/main">
          <x14:cfRule type="dataBar" id="{791C36E9-3D3D-437D-9778-B6F9072E1E12}">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M10:M11</xm:sqref>
        </x14:conditionalFormatting>
        <x14:conditionalFormatting xmlns:xm="http://schemas.microsoft.com/office/excel/2006/main">
          <x14:cfRule type="dataBar" id="{04A3EE8A-E5AF-4122-86EA-BC6EC59ACD8F}">
            <x14:dataBar minLength="0" maxLength="100" border="1" negativeBarBorderColorSameAsPositive="0">
              <x14:cfvo type="num">
                <xm:f>0</xm:f>
              </x14:cfvo>
              <x14:cfvo type="num">
                <xm:f>200</xm:f>
              </x14:cfvo>
              <x14:borderColor rgb="FFB8341E"/>
              <x14:negativeFillColor rgb="FFFF0000"/>
              <x14:negativeBorderColor rgb="FFFF0000"/>
              <x14:axisColor rgb="FF000000"/>
            </x14:dataBar>
          </x14:cfRule>
          <xm:sqref>P5</xm:sqref>
        </x14:conditionalFormatting>
        <x14:conditionalFormatting xmlns:xm="http://schemas.microsoft.com/office/excel/2006/main">
          <x14:cfRule type="dataBar" id="{AF641A53-8271-402B-ABEF-0E9B713B4D6B}">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M238:M239 M241:M242 M265:M266 M289:M290 M331:M332 M337:M338</xm:sqref>
        </x14:conditionalFormatting>
        <x14:conditionalFormatting xmlns:xm="http://schemas.microsoft.com/office/excel/2006/main">
          <x14:cfRule type="dataBar" id="{15F44787-5573-4870-A9E8-37B0BE2F076D}">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M13:M14</xm:sqref>
        </x14:conditionalFormatting>
        <x14:conditionalFormatting xmlns:xm="http://schemas.microsoft.com/office/excel/2006/main">
          <x14:cfRule type="dataBar" id="{B9FEC0D9-C6BA-4CF9-A2CC-656DB046C61E}">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M16:M17</xm:sqref>
        </x14:conditionalFormatting>
        <x14:conditionalFormatting xmlns:xm="http://schemas.microsoft.com/office/excel/2006/main">
          <x14:cfRule type="dataBar" id="{F7D9A545-32C3-4F9A-85A5-536712EAB776}">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M19:M20</xm:sqref>
        </x14:conditionalFormatting>
        <x14:conditionalFormatting xmlns:xm="http://schemas.microsoft.com/office/excel/2006/main">
          <x14:cfRule type="dataBar" id="{B72F2DBF-011D-483E-B360-DF8F8818DEDF}">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M22:M23</xm:sqref>
        </x14:conditionalFormatting>
        <x14:conditionalFormatting xmlns:xm="http://schemas.microsoft.com/office/excel/2006/main">
          <x14:cfRule type="dataBar" id="{80A429E5-3C81-45CD-961E-1ED47CAD59C6}">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M25:M26</xm:sqref>
        </x14:conditionalFormatting>
        <x14:conditionalFormatting xmlns:xm="http://schemas.microsoft.com/office/excel/2006/main">
          <x14:cfRule type="dataBar" id="{78C712FE-5F98-44BC-A0EC-D54C68F4ADA5}">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M28:M29</xm:sqref>
        </x14:conditionalFormatting>
        <x14:conditionalFormatting xmlns:xm="http://schemas.microsoft.com/office/excel/2006/main">
          <x14:cfRule type="dataBar" id="{CC3B6057-9A6A-4EF5-A76C-34C26B8CDA80}">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M31:M32</xm:sqref>
        </x14:conditionalFormatting>
        <x14:conditionalFormatting xmlns:xm="http://schemas.microsoft.com/office/excel/2006/main">
          <x14:cfRule type="dataBar" id="{E7E29131-17E8-4AAA-9291-5BF205C79C74}">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M34:M35</xm:sqref>
        </x14:conditionalFormatting>
        <x14:conditionalFormatting xmlns:xm="http://schemas.microsoft.com/office/excel/2006/main">
          <x14:cfRule type="dataBar" id="{FAA690D0-8CE4-4CF8-893E-A77A27B209B7}">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M37:M38</xm:sqref>
        </x14:conditionalFormatting>
        <x14:conditionalFormatting xmlns:xm="http://schemas.microsoft.com/office/excel/2006/main">
          <x14:cfRule type="dataBar" id="{2FA55376-6C24-4374-8C49-B01D220029FF}">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M40:M41</xm:sqref>
        </x14:conditionalFormatting>
        <x14:conditionalFormatting xmlns:xm="http://schemas.microsoft.com/office/excel/2006/main">
          <x14:cfRule type="dataBar" id="{FC9E26E9-0EA6-410A-83A2-11458A796339}">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M43:M44</xm:sqref>
        </x14:conditionalFormatting>
        <x14:conditionalFormatting xmlns:xm="http://schemas.microsoft.com/office/excel/2006/main">
          <x14:cfRule type="dataBar" id="{4F0DF4F6-4C49-40B0-95C9-B16A444AC1BA}">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M46:M47</xm:sqref>
        </x14:conditionalFormatting>
        <x14:conditionalFormatting xmlns:xm="http://schemas.microsoft.com/office/excel/2006/main">
          <x14:cfRule type="dataBar" id="{986E78C3-72B7-40EA-95EE-B920C08D4257}">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M49:M50</xm:sqref>
        </x14:conditionalFormatting>
        <x14:conditionalFormatting xmlns:xm="http://schemas.microsoft.com/office/excel/2006/main">
          <x14:cfRule type="dataBar" id="{1E405F3D-27E3-4D92-AD6A-C9154840C4B9}">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M52:M53</xm:sqref>
        </x14:conditionalFormatting>
        <x14:conditionalFormatting xmlns:xm="http://schemas.microsoft.com/office/excel/2006/main">
          <x14:cfRule type="dataBar" id="{C98407EA-2952-4F6A-9BCB-8ECC9F368C9B}">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M55:M56</xm:sqref>
        </x14:conditionalFormatting>
        <x14:conditionalFormatting xmlns:xm="http://schemas.microsoft.com/office/excel/2006/main">
          <x14:cfRule type="dataBar" id="{CABC81CD-7E87-4386-99B8-52AAF9DEF316}">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M58:M59</xm:sqref>
        </x14:conditionalFormatting>
        <x14:conditionalFormatting xmlns:xm="http://schemas.microsoft.com/office/excel/2006/main">
          <x14:cfRule type="dataBar" id="{7E54D9D8-ACD5-4B73-B5A3-ADE2EBF057D6}">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M61:M62</xm:sqref>
        </x14:conditionalFormatting>
        <x14:conditionalFormatting xmlns:xm="http://schemas.microsoft.com/office/excel/2006/main">
          <x14:cfRule type="dataBar" id="{AB9D8F20-2577-441C-800F-8F158F83F055}">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M64:M65</xm:sqref>
        </x14:conditionalFormatting>
        <x14:conditionalFormatting xmlns:xm="http://schemas.microsoft.com/office/excel/2006/main">
          <x14:cfRule type="dataBar" id="{7AD9D749-FC9C-4F88-8451-97761A7DD659}">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M67:M68</xm:sqref>
        </x14:conditionalFormatting>
        <x14:conditionalFormatting xmlns:xm="http://schemas.microsoft.com/office/excel/2006/main">
          <x14:cfRule type="dataBar" id="{B83F6F39-A249-447E-A8A7-B8FA96BB843E}">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M70:M71</xm:sqref>
        </x14:conditionalFormatting>
        <x14:conditionalFormatting xmlns:xm="http://schemas.microsoft.com/office/excel/2006/main">
          <x14:cfRule type="dataBar" id="{FA2F4172-2CCC-4747-B37B-D1CE4AB1FE61}">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M73:M74</xm:sqref>
        </x14:conditionalFormatting>
        <x14:conditionalFormatting xmlns:xm="http://schemas.microsoft.com/office/excel/2006/main">
          <x14:cfRule type="dataBar" id="{2E8256A6-FF21-4F6A-B7F1-45E5AE547732}">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M76:M77</xm:sqref>
        </x14:conditionalFormatting>
        <x14:conditionalFormatting xmlns:xm="http://schemas.microsoft.com/office/excel/2006/main">
          <x14:cfRule type="dataBar" id="{22F67F8F-7D59-4539-A49F-F0C63BA2D517}">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M79:M80</xm:sqref>
        </x14:conditionalFormatting>
        <x14:conditionalFormatting xmlns:xm="http://schemas.microsoft.com/office/excel/2006/main">
          <x14:cfRule type="dataBar" id="{11F73F9E-B146-46C8-8462-D521BD7ECBF0}">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M82:M83</xm:sqref>
        </x14:conditionalFormatting>
        <x14:conditionalFormatting xmlns:xm="http://schemas.microsoft.com/office/excel/2006/main">
          <x14:cfRule type="dataBar" id="{F9251A85-914E-4BD6-BD89-E031FF15D713}">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M85:M86</xm:sqref>
        </x14:conditionalFormatting>
        <x14:conditionalFormatting xmlns:xm="http://schemas.microsoft.com/office/excel/2006/main">
          <x14:cfRule type="dataBar" id="{58971B18-DD46-42EF-8C65-2437AD2805E4}">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M88:M89</xm:sqref>
        </x14:conditionalFormatting>
        <x14:conditionalFormatting xmlns:xm="http://schemas.microsoft.com/office/excel/2006/main">
          <x14:cfRule type="dataBar" id="{84E87156-ABA5-43E9-9402-02925434B161}">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M91:M92</xm:sqref>
        </x14:conditionalFormatting>
        <x14:conditionalFormatting xmlns:xm="http://schemas.microsoft.com/office/excel/2006/main">
          <x14:cfRule type="dataBar" id="{E69B0AD4-08BB-4091-89BA-38472DF37D61}">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M94:M95</xm:sqref>
        </x14:conditionalFormatting>
        <x14:conditionalFormatting xmlns:xm="http://schemas.microsoft.com/office/excel/2006/main">
          <x14:cfRule type="dataBar" id="{09FA722B-67A8-496F-BBBE-EE7AF48E3439}">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M97:M98</xm:sqref>
        </x14:conditionalFormatting>
        <x14:conditionalFormatting xmlns:xm="http://schemas.microsoft.com/office/excel/2006/main">
          <x14:cfRule type="dataBar" id="{78CE9469-3D5A-40DE-A7F7-57C5AFD0F9F6}">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M100:M101</xm:sqref>
        </x14:conditionalFormatting>
        <x14:conditionalFormatting xmlns:xm="http://schemas.microsoft.com/office/excel/2006/main">
          <x14:cfRule type="dataBar" id="{DBE1465C-EA69-4098-9DF5-EAA6F8C2A901}">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M103:M104</xm:sqref>
        </x14:conditionalFormatting>
        <x14:conditionalFormatting xmlns:xm="http://schemas.microsoft.com/office/excel/2006/main">
          <x14:cfRule type="dataBar" id="{942C45A3-5001-479C-A3C1-C8891C9A0283}">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M106:M107</xm:sqref>
        </x14:conditionalFormatting>
        <x14:conditionalFormatting xmlns:xm="http://schemas.microsoft.com/office/excel/2006/main">
          <x14:cfRule type="dataBar" id="{A5CB8920-7C65-4F81-AE89-4A6AC53A8F3C}">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M109:M110</xm:sqref>
        </x14:conditionalFormatting>
        <x14:conditionalFormatting xmlns:xm="http://schemas.microsoft.com/office/excel/2006/main">
          <x14:cfRule type="dataBar" id="{700D6455-2CD3-4568-80D9-2D34E8AA7B4C}">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M112:M113</xm:sqref>
        </x14:conditionalFormatting>
        <x14:conditionalFormatting xmlns:xm="http://schemas.microsoft.com/office/excel/2006/main">
          <x14:cfRule type="dataBar" id="{3EA60E98-0E84-4CEF-9634-370D26081395}">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M115:M116</xm:sqref>
        </x14:conditionalFormatting>
        <x14:conditionalFormatting xmlns:xm="http://schemas.microsoft.com/office/excel/2006/main">
          <x14:cfRule type="dataBar" id="{D30E3597-2C27-4302-8ED2-A4EB46F80887}">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M118:M119</xm:sqref>
        </x14:conditionalFormatting>
        <x14:conditionalFormatting xmlns:xm="http://schemas.microsoft.com/office/excel/2006/main">
          <x14:cfRule type="dataBar" id="{8358B6D4-9A89-448D-98F1-32D071373E0A}">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M121:M122</xm:sqref>
        </x14:conditionalFormatting>
        <x14:conditionalFormatting xmlns:xm="http://schemas.microsoft.com/office/excel/2006/main">
          <x14:cfRule type="dataBar" id="{787B2752-643D-41A4-9429-FC64997FC2A6}">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M124:M125</xm:sqref>
        </x14:conditionalFormatting>
        <x14:conditionalFormatting xmlns:xm="http://schemas.microsoft.com/office/excel/2006/main">
          <x14:cfRule type="dataBar" id="{CFD285CA-CB28-4D95-B958-5C5D28770A43}">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M127:M128</xm:sqref>
        </x14:conditionalFormatting>
        <x14:conditionalFormatting xmlns:xm="http://schemas.microsoft.com/office/excel/2006/main">
          <x14:cfRule type="dataBar" id="{752EA7DD-9A38-4C8C-848C-6BB6B9E821A9}">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M130:M131</xm:sqref>
        </x14:conditionalFormatting>
        <x14:conditionalFormatting xmlns:xm="http://schemas.microsoft.com/office/excel/2006/main">
          <x14:cfRule type="dataBar" id="{00651558-6BA4-4AAB-8DAA-6642911564D5}">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M133:M134</xm:sqref>
        </x14:conditionalFormatting>
        <x14:conditionalFormatting xmlns:xm="http://schemas.microsoft.com/office/excel/2006/main">
          <x14:cfRule type="dataBar" id="{735FE817-85AD-49F8-B6A8-7FFCBB9AF7D1}">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M136:M137</xm:sqref>
        </x14:conditionalFormatting>
        <x14:conditionalFormatting xmlns:xm="http://schemas.microsoft.com/office/excel/2006/main">
          <x14:cfRule type="dataBar" id="{9C9D2623-2AC3-4B5A-B123-E2771F01C495}">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M139:M140</xm:sqref>
        </x14:conditionalFormatting>
        <x14:conditionalFormatting xmlns:xm="http://schemas.microsoft.com/office/excel/2006/main">
          <x14:cfRule type="dataBar" id="{26FF3EAD-E9BE-4034-89E9-17DEC4EF36E3}">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M142:M143</xm:sqref>
        </x14:conditionalFormatting>
        <x14:conditionalFormatting xmlns:xm="http://schemas.microsoft.com/office/excel/2006/main">
          <x14:cfRule type="dataBar" id="{D6D6B0C2-9102-40FB-8B05-EE1AE4A6C5DB}">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M145:M146</xm:sqref>
        </x14:conditionalFormatting>
        <x14:conditionalFormatting xmlns:xm="http://schemas.microsoft.com/office/excel/2006/main">
          <x14:cfRule type="dataBar" id="{D8F92F6B-0B55-4104-A31A-A451AFE0C887}">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M148:M149</xm:sqref>
        </x14:conditionalFormatting>
        <x14:conditionalFormatting xmlns:xm="http://schemas.microsoft.com/office/excel/2006/main">
          <x14:cfRule type="dataBar" id="{E434E887-6C14-4EA4-8BFC-08A52B242E3A}">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M151:M152</xm:sqref>
        </x14:conditionalFormatting>
        <x14:conditionalFormatting xmlns:xm="http://schemas.microsoft.com/office/excel/2006/main">
          <x14:cfRule type="dataBar" id="{0976061C-D921-4954-9376-19868F62BEF7}">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M154:M155</xm:sqref>
        </x14:conditionalFormatting>
        <x14:conditionalFormatting xmlns:xm="http://schemas.microsoft.com/office/excel/2006/main">
          <x14:cfRule type="dataBar" id="{5A156D06-E8D9-497C-B941-FBD6A9878F38}">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M157:M158</xm:sqref>
        </x14:conditionalFormatting>
        <x14:conditionalFormatting xmlns:xm="http://schemas.microsoft.com/office/excel/2006/main">
          <x14:cfRule type="dataBar" id="{9E25577B-B772-4A6A-BBE0-F75B4347D76D}">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M160:M161</xm:sqref>
        </x14:conditionalFormatting>
        <x14:conditionalFormatting xmlns:xm="http://schemas.microsoft.com/office/excel/2006/main">
          <x14:cfRule type="dataBar" id="{1C26C89B-21AF-4848-89D6-15117794EAD7}">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M163:M164</xm:sqref>
        </x14:conditionalFormatting>
        <x14:conditionalFormatting xmlns:xm="http://schemas.microsoft.com/office/excel/2006/main">
          <x14:cfRule type="dataBar" id="{D4D1688B-9F2E-481C-8156-6828645C0950}">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M166:M167</xm:sqref>
        </x14:conditionalFormatting>
        <x14:conditionalFormatting xmlns:xm="http://schemas.microsoft.com/office/excel/2006/main">
          <x14:cfRule type="dataBar" id="{B9624770-F883-4F87-BBB5-4302B46AD404}">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M169:M170</xm:sqref>
        </x14:conditionalFormatting>
        <x14:conditionalFormatting xmlns:xm="http://schemas.microsoft.com/office/excel/2006/main">
          <x14:cfRule type="dataBar" id="{3DD732DF-811A-417F-AE90-C2AC105659F7}">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M172:M173</xm:sqref>
        </x14:conditionalFormatting>
        <x14:conditionalFormatting xmlns:xm="http://schemas.microsoft.com/office/excel/2006/main">
          <x14:cfRule type="dataBar" id="{C338749A-1E91-480C-8E52-B9E7D51BEB08}">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M175:M176</xm:sqref>
        </x14:conditionalFormatting>
        <x14:conditionalFormatting xmlns:xm="http://schemas.microsoft.com/office/excel/2006/main">
          <x14:cfRule type="dataBar" id="{94138C1C-7C82-4CC6-B2A8-9ECBE5D12A28}">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M178:M179</xm:sqref>
        </x14:conditionalFormatting>
        <x14:conditionalFormatting xmlns:xm="http://schemas.microsoft.com/office/excel/2006/main">
          <x14:cfRule type="dataBar" id="{E30A420C-B88A-48D0-8E54-A22017182AD9}">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M181:M182</xm:sqref>
        </x14:conditionalFormatting>
        <x14:conditionalFormatting xmlns:xm="http://schemas.microsoft.com/office/excel/2006/main">
          <x14:cfRule type="dataBar" id="{19BD1312-FAE9-4066-B431-C31A5E7979DD}">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M184:M185</xm:sqref>
        </x14:conditionalFormatting>
        <x14:conditionalFormatting xmlns:xm="http://schemas.microsoft.com/office/excel/2006/main">
          <x14:cfRule type="dataBar" id="{80568764-FAC1-46C5-A181-11348B0A9812}">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M187:M188</xm:sqref>
        </x14:conditionalFormatting>
        <x14:conditionalFormatting xmlns:xm="http://schemas.microsoft.com/office/excel/2006/main">
          <x14:cfRule type="dataBar" id="{E4EFBC6A-B1A7-4E26-9160-CA86AEF53A42}">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M190:M191</xm:sqref>
        </x14:conditionalFormatting>
        <x14:conditionalFormatting xmlns:xm="http://schemas.microsoft.com/office/excel/2006/main">
          <x14:cfRule type="dataBar" id="{8F7FC881-0958-4DA2-9147-F3B4650DDB38}">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M193:M194</xm:sqref>
        </x14:conditionalFormatting>
        <x14:conditionalFormatting xmlns:xm="http://schemas.microsoft.com/office/excel/2006/main">
          <x14:cfRule type="dataBar" id="{6485AC1B-F7A3-4078-85CD-84A35413DFAF}">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M196:M197</xm:sqref>
        </x14:conditionalFormatting>
        <x14:conditionalFormatting xmlns:xm="http://schemas.microsoft.com/office/excel/2006/main">
          <x14:cfRule type="dataBar" id="{6F937D2B-AFF1-4687-8697-1774614415A4}">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M199:M200</xm:sqref>
        </x14:conditionalFormatting>
        <x14:conditionalFormatting xmlns:xm="http://schemas.microsoft.com/office/excel/2006/main">
          <x14:cfRule type="dataBar" id="{4E044BEB-C746-44C0-866C-40A951E826DD}">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M202:M203</xm:sqref>
        </x14:conditionalFormatting>
        <x14:conditionalFormatting xmlns:xm="http://schemas.microsoft.com/office/excel/2006/main">
          <x14:cfRule type="dataBar" id="{094A97FD-BC24-4BE4-90FD-EE911C0F71EC}">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M205:M206</xm:sqref>
        </x14:conditionalFormatting>
        <x14:conditionalFormatting xmlns:xm="http://schemas.microsoft.com/office/excel/2006/main">
          <x14:cfRule type="dataBar" id="{E8669F2B-E26F-47F7-B6FF-7C93680D740C}">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M208:M209</xm:sqref>
        </x14:conditionalFormatting>
        <x14:conditionalFormatting xmlns:xm="http://schemas.microsoft.com/office/excel/2006/main">
          <x14:cfRule type="dataBar" id="{E08203C5-F47B-44B4-BBF1-58DAF0282E19}">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M211:M212</xm:sqref>
        </x14:conditionalFormatting>
        <x14:conditionalFormatting xmlns:xm="http://schemas.microsoft.com/office/excel/2006/main">
          <x14:cfRule type="dataBar" id="{6EE81865-95D5-4161-9FA3-29AB3BBE2C9E}">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M214:M215</xm:sqref>
        </x14:conditionalFormatting>
        <x14:conditionalFormatting xmlns:xm="http://schemas.microsoft.com/office/excel/2006/main">
          <x14:cfRule type="dataBar" id="{8F5E1F86-05C0-4CAC-8661-4DD60F959B0B}">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M217:M218</xm:sqref>
        </x14:conditionalFormatting>
        <x14:conditionalFormatting xmlns:xm="http://schemas.microsoft.com/office/excel/2006/main">
          <x14:cfRule type="dataBar" id="{CCD3B8E4-78F6-4FD9-B218-5F3243CD9C37}">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M220:M221</xm:sqref>
        </x14:conditionalFormatting>
        <x14:conditionalFormatting xmlns:xm="http://schemas.microsoft.com/office/excel/2006/main">
          <x14:cfRule type="dataBar" id="{7C18BD71-4713-4BD5-A265-6ACD346B5DED}">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M223:M224</xm:sqref>
        </x14:conditionalFormatting>
        <x14:conditionalFormatting xmlns:xm="http://schemas.microsoft.com/office/excel/2006/main">
          <x14:cfRule type="dataBar" id="{8EB70CC0-C9F7-4A07-A2DC-728DA506E33C}">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M226:M227</xm:sqref>
        </x14:conditionalFormatting>
        <x14:conditionalFormatting xmlns:xm="http://schemas.microsoft.com/office/excel/2006/main">
          <x14:cfRule type="dataBar" id="{4E81357D-C045-454E-9ACC-CD16AB6B50A7}">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M229:M230</xm:sqref>
        </x14:conditionalFormatting>
        <x14:conditionalFormatting xmlns:xm="http://schemas.microsoft.com/office/excel/2006/main">
          <x14:cfRule type="dataBar" id="{E0FF9086-0960-4D3B-A589-EF91F22B93AF}">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M232:M233</xm:sqref>
        </x14:conditionalFormatting>
        <x14:conditionalFormatting xmlns:xm="http://schemas.microsoft.com/office/excel/2006/main">
          <x14:cfRule type="dataBar" id="{9CE4853A-F368-4931-A55F-7EE025CF16A1}">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M235:M236</xm:sqref>
        </x14:conditionalFormatting>
        <x14:conditionalFormatting xmlns:xm="http://schemas.microsoft.com/office/excel/2006/main">
          <x14:cfRule type="dataBar" id="{83E4405E-D2B2-4901-8D45-DDFE627743B3}">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M244:M245</xm:sqref>
        </x14:conditionalFormatting>
        <x14:conditionalFormatting xmlns:xm="http://schemas.microsoft.com/office/excel/2006/main">
          <x14:cfRule type="dataBar" id="{97B9BF0D-CACA-444B-A797-EE658CFA4BE5}">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M247:M248</xm:sqref>
        </x14:conditionalFormatting>
        <x14:conditionalFormatting xmlns:xm="http://schemas.microsoft.com/office/excel/2006/main">
          <x14:cfRule type="dataBar" id="{C2091A10-691E-4A7F-9F1B-36DBE59DB86D}">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M250:M251</xm:sqref>
        </x14:conditionalFormatting>
        <x14:conditionalFormatting xmlns:xm="http://schemas.microsoft.com/office/excel/2006/main">
          <x14:cfRule type="dataBar" id="{0B43BBF8-F8CF-4888-B133-9D4865EE395A}">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M253:M254</xm:sqref>
        </x14:conditionalFormatting>
        <x14:conditionalFormatting xmlns:xm="http://schemas.microsoft.com/office/excel/2006/main">
          <x14:cfRule type="dataBar" id="{E3F8302B-3868-4442-9BA7-7E1790FD6B0B}">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M256:M257</xm:sqref>
        </x14:conditionalFormatting>
        <x14:conditionalFormatting xmlns:xm="http://schemas.microsoft.com/office/excel/2006/main">
          <x14:cfRule type="dataBar" id="{DFD13B41-B88B-423F-B000-0D77BE778A4A}">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M259:M260</xm:sqref>
        </x14:conditionalFormatting>
        <x14:conditionalFormatting xmlns:xm="http://schemas.microsoft.com/office/excel/2006/main">
          <x14:cfRule type="dataBar" id="{B4293965-14E3-46E8-B860-4C5A6D643337}">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M262:M263</xm:sqref>
        </x14:conditionalFormatting>
        <x14:conditionalFormatting xmlns:xm="http://schemas.microsoft.com/office/excel/2006/main">
          <x14:cfRule type="dataBar" id="{C3FD430F-D52C-45D0-96A7-BB12466074F5}">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M268:M269</xm:sqref>
        </x14:conditionalFormatting>
        <x14:conditionalFormatting xmlns:xm="http://schemas.microsoft.com/office/excel/2006/main">
          <x14:cfRule type="dataBar" id="{7B07E0D4-0846-44E9-A630-C9D9883F0607}">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M271:M272</xm:sqref>
        </x14:conditionalFormatting>
        <x14:conditionalFormatting xmlns:xm="http://schemas.microsoft.com/office/excel/2006/main">
          <x14:cfRule type="dataBar" id="{206618FC-71B4-4DC8-B018-F6643007E174}">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M274:M275</xm:sqref>
        </x14:conditionalFormatting>
        <x14:conditionalFormatting xmlns:xm="http://schemas.microsoft.com/office/excel/2006/main">
          <x14:cfRule type="dataBar" id="{E34191AB-C2C4-4D81-9A16-CEF26E169BEB}">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M277:M278</xm:sqref>
        </x14:conditionalFormatting>
        <x14:conditionalFormatting xmlns:xm="http://schemas.microsoft.com/office/excel/2006/main">
          <x14:cfRule type="dataBar" id="{E636B5B4-E9A7-4831-ABD8-3AD3BD3F884E}">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M280:M281</xm:sqref>
        </x14:conditionalFormatting>
        <x14:conditionalFormatting xmlns:xm="http://schemas.microsoft.com/office/excel/2006/main">
          <x14:cfRule type="dataBar" id="{43E28DD3-97F8-429E-8E39-2D42FDC2113B}">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M283:M284</xm:sqref>
        </x14:conditionalFormatting>
        <x14:conditionalFormatting xmlns:xm="http://schemas.microsoft.com/office/excel/2006/main">
          <x14:cfRule type="dataBar" id="{B3F48511-50C8-4A0B-9149-8D71C3073A3F}">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M286:M287</xm:sqref>
        </x14:conditionalFormatting>
        <x14:conditionalFormatting xmlns:xm="http://schemas.microsoft.com/office/excel/2006/main">
          <x14:cfRule type="dataBar" id="{F739798C-51AA-40A0-BF93-BFBE4A286AA8}">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M292:M293</xm:sqref>
        </x14:conditionalFormatting>
        <x14:conditionalFormatting xmlns:xm="http://schemas.microsoft.com/office/excel/2006/main">
          <x14:cfRule type="dataBar" id="{56F86DE2-9651-4AD0-8B35-874E72A38237}">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M295:M296</xm:sqref>
        </x14:conditionalFormatting>
        <x14:conditionalFormatting xmlns:xm="http://schemas.microsoft.com/office/excel/2006/main">
          <x14:cfRule type="dataBar" id="{B90459E3-BA81-416F-BA45-18E552CC9B71}">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M298:M299</xm:sqref>
        </x14:conditionalFormatting>
        <x14:conditionalFormatting xmlns:xm="http://schemas.microsoft.com/office/excel/2006/main">
          <x14:cfRule type="dataBar" id="{597F850C-2431-4D32-861F-85AE02839D0A}">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M301:M302</xm:sqref>
        </x14:conditionalFormatting>
        <x14:conditionalFormatting xmlns:xm="http://schemas.microsoft.com/office/excel/2006/main">
          <x14:cfRule type="dataBar" id="{57F3A856-7796-4957-A3B6-96DC4B5C5593}">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M304:M305</xm:sqref>
        </x14:conditionalFormatting>
        <x14:conditionalFormatting xmlns:xm="http://schemas.microsoft.com/office/excel/2006/main">
          <x14:cfRule type="dataBar" id="{A0FCC4E4-2D02-4DC1-A61C-A0EC198014CD}">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M307:M308</xm:sqref>
        </x14:conditionalFormatting>
        <x14:conditionalFormatting xmlns:xm="http://schemas.microsoft.com/office/excel/2006/main">
          <x14:cfRule type="dataBar" id="{C83975CF-4745-41CD-A815-B09D235AEF54}">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M310:M311</xm:sqref>
        </x14:conditionalFormatting>
        <x14:conditionalFormatting xmlns:xm="http://schemas.microsoft.com/office/excel/2006/main">
          <x14:cfRule type="dataBar" id="{9B08D7C7-26B7-4917-829E-765AC7CC72C6}">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M313:M314</xm:sqref>
        </x14:conditionalFormatting>
        <x14:conditionalFormatting xmlns:xm="http://schemas.microsoft.com/office/excel/2006/main">
          <x14:cfRule type="dataBar" id="{F5602429-B6FD-444B-96F7-49A14E892EE3}">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M316:M317</xm:sqref>
        </x14:conditionalFormatting>
        <x14:conditionalFormatting xmlns:xm="http://schemas.microsoft.com/office/excel/2006/main">
          <x14:cfRule type="dataBar" id="{A08A6BC2-7629-4A68-BD3E-69AEFF1521B8}">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M319:M320</xm:sqref>
        </x14:conditionalFormatting>
        <x14:conditionalFormatting xmlns:xm="http://schemas.microsoft.com/office/excel/2006/main">
          <x14:cfRule type="dataBar" id="{525E735A-6E73-49A6-B9A0-5EFE6C143694}">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M322:M323</xm:sqref>
        </x14:conditionalFormatting>
        <x14:conditionalFormatting xmlns:xm="http://schemas.microsoft.com/office/excel/2006/main">
          <x14:cfRule type="dataBar" id="{103F64A2-FC8B-46A7-A5EB-FD0D62545223}">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M325:M326</xm:sqref>
        </x14:conditionalFormatting>
        <x14:conditionalFormatting xmlns:xm="http://schemas.microsoft.com/office/excel/2006/main">
          <x14:cfRule type="dataBar" id="{FA6BAC52-AB34-49B8-89B4-9EDA9D478B83}">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M328:M329</xm:sqref>
        </x14:conditionalFormatting>
        <x14:conditionalFormatting xmlns:xm="http://schemas.microsoft.com/office/excel/2006/main">
          <x14:cfRule type="dataBar" id="{274807CB-C7D2-4F2D-A716-021881E64C77}">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M334:M335</xm:sqref>
        </x14:conditionalFormatting>
        <x14:conditionalFormatting xmlns:xm="http://schemas.microsoft.com/office/excel/2006/main">
          <x14:cfRule type="dataBar" id="{1636D9F8-9600-4C78-8864-B5DACE060C9A}">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M340:M341</xm:sqref>
        </x14:conditionalFormatting>
        <x14:conditionalFormatting xmlns:xm="http://schemas.microsoft.com/office/excel/2006/main">
          <x14:cfRule type="dataBar" id="{A644D601-1682-4DD4-8099-D9CF2893D239}">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M343:M344</xm:sqref>
        </x14:conditionalFormatting>
        <x14:conditionalFormatting xmlns:xm="http://schemas.microsoft.com/office/excel/2006/main">
          <x14:cfRule type="dataBar" id="{0EA53348-5D7B-446A-821B-F12249F22EEB}">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M346:M347</xm:sqref>
        </x14:conditionalFormatting>
        <x14:conditionalFormatting xmlns:xm="http://schemas.microsoft.com/office/excel/2006/main">
          <x14:cfRule type="dataBar" id="{1D2451D2-6A9A-43C2-A19D-74E928D5C361}">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M349:M350</xm:sqref>
        </x14:conditionalFormatting>
        <x14:conditionalFormatting xmlns:xm="http://schemas.microsoft.com/office/excel/2006/main">
          <x14:cfRule type="dataBar" id="{F57D06DF-9F2F-4E33-8C3A-18772D1A7DCA}">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M352:M353</xm:sqref>
        </x14:conditionalFormatting>
        <x14:conditionalFormatting xmlns:xm="http://schemas.microsoft.com/office/excel/2006/main">
          <x14:cfRule type="dataBar" id="{0F842E49-F49B-4969-B474-3AFD8DA51ECA}">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M355:M356</xm:sqref>
        </x14:conditionalFormatting>
        <x14:conditionalFormatting xmlns:xm="http://schemas.microsoft.com/office/excel/2006/main">
          <x14:cfRule type="dataBar" id="{349B4F0E-CB40-4F17-BCB8-A32050A45E3A}">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M358:M359</xm:sqref>
        </x14:conditionalFormatting>
        <x14:conditionalFormatting xmlns:xm="http://schemas.microsoft.com/office/excel/2006/main">
          <x14:cfRule type="dataBar" id="{24080D74-673C-4CEC-9101-9FBDD2E88873}">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M361:M362</xm:sqref>
        </x14:conditionalFormatting>
        <x14:conditionalFormatting xmlns:xm="http://schemas.microsoft.com/office/excel/2006/main">
          <x14:cfRule type="dataBar" id="{D9077B9E-D076-409C-82D3-9A7AAAAC777A}">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M364:M365</xm:sqref>
        </x14:conditionalFormatting>
        <x14:conditionalFormatting xmlns:xm="http://schemas.microsoft.com/office/excel/2006/main">
          <x14:cfRule type="dataBar" id="{6765311E-BC25-4771-AA13-9A11308223CA}">
            <x14:dataBar minLength="0" maxLength="100" border="1" negativeBarBorderColorSameAsPositive="0">
              <x14:cfvo type="num">
                <xm:f>0</xm:f>
              </x14:cfvo>
              <x14:cfvo type="num">
                <xm:f>5</xm:f>
              </x14:cfvo>
              <x14:borderColor rgb="FF63C384"/>
              <x14:negativeFillColor rgb="FFFF0000"/>
              <x14:negativeBorderColor rgb="FFFF0000"/>
              <x14:axisColor rgb="FF000000"/>
            </x14:dataBar>
          </x14:cfRule>
          <xm:sqref>M367:M368</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FAEF1-049B-4894-9011-9BEEA6935B59}">
  <sheetPr codeName="Sheet15"/>
  <dimension ref="A1:L26"/>
  <sheetViews>
    <sheetView zoomScale="145" zoomScaleNormal="145" workbookViewId="0">
      <selection activeCell="B17" sqref="B17:L17"/>
    </sheetView>
  </sheetViews>
  <sheetFormatPr defaultRowHeight="17.399999999999999"/>
  <cols>
    <col min="1" max="16384" width="8.88671875" style="37"/>
  </cols>
  <sheetData>
    <row r="1" spans="1:12">
      <c r="A1" s="37">
        <v>1</v>
      </c>
      <c r="B1" s="482"/>
      <c r="C1" s="482"/>
      <c r="D1" s="482"/>
      <c r="E1" s="482"/>
      <c r="F1" s="482"/>
      <c r="G1" s="482"/>
      <c r="H1" s="482"/>
      <c r="I1" s="482"/>
      <c r="J1" s="482"/>
      <c r="K1" s="482"/>
      <c r="L1" s="482"/>
    </row>
    <row r="2" spans="1:12">
      <c r="A2" s="37">
        <v>2</v>
      </c>
      <c r="B2" s="482"/>
      <c r="C2" s="482"/>
      <c r="D2" s="482"/>
      <c r="E2" s="482"/>
      <c r="F2" s="482"/>
      <c r="G2" s="482"/>
      <c r="H2" s="482"/>
      <c r="I2" s="482"/>
      <c r="J2" s="482"/>
      <c r="K2" s="482"/>
      <c r="L2" s="482"/>
    </row>
    <row r="3" spans="1:12">
      <c r="A3" s="37">
        <v>3</v>
      </c>
      <c r="B3" s="482"/>
      <c r="C3" s="482"/>
      <c r="D3" s="482"/>
      <c r="E3" s="482"/>
      <c r="F3" s="482"/>
      <c r="G3" s="482"/>
      <c r="H3" s="482"/>
      <c r="I3" s="482"/>
      <c r="J3" s="482"/>
      <c r="K3" s="482"/>
      <c r="L3" s="482"/>
    </row>
    <row r="4" spans="1:12">
      <c r="A4" s="37">
        <v>4</v>
      </c>
      <c r="B4" s="482"/>
      <c r="C4" s="482"/>
      <c r="D4" s="482"/>
      <c r="E4" s="482"/>
      <c r="F4" s="482"/>
      <c r="G4" s="482"/>
      <c r="H4" s="482"/>
      <c r="I4" s="482"/>
      <c r="J4" s="482"/>
      <c r="K4" s="482"/>
      <c r="L4" s="482"/>
    </row>
    <row r="5" spans="1:12">
      <c r="A5" s="37">
        <v>5</v>
      </c>
      <c r="B5" s="482"/>
      <c r="C5" s="482"/>
      <c r="D5" s="482"/>
      <c r="E5" s="482"/>
      <c r="F5" s="482"/>
      <c r="G5" s="482"/>
      <c r="H5" s="482"/>
      <c r="I5" s="482"/>
      <c r="J5" s="482"/>
      <c r="K5" s="482"/>
      <c r="L5" s="482"/>
    </row>
    <row r="6" spans="1:12">
      <c r="A6" s="37">
        <v>6</v>
      </c>
      <c r="B6" s="482"/>
      <c r="C6" s="482"/>
      <c r="D6" s="482"/>
      <c r="E6" s="482"/>
      <c r="F6" s="482"/>
      <c r="G6" s="482"/>
      <c r="H6" s="482"/>
      <c r="I6" s="482"/>
      <c r="J6" s="482"/>
      <c r="K6" s="482"/>
      <c r="L6" s="482"/>
    </row>
    <row r="7" spans="1:12">
      <c r="A7" s="37">
        <v>7</v>
      </c>
      <c r="B7" s="482"/>
      <c r="C7" s="482"/>
      <c r="D7" s="482"/>
      <c r="E7" s="482"/>
      <c r="F7" s="482"/>
      <c r="G7" s="482"/>
      <c r="H7" s="482"/>
      <c r="I7" s="482"/>
      <c r="J7" s="482"/>
      <c r="K7" s="482"/>
      <c r="L7" s="482"/>
    </row>
    <row r="8" spans="1:12">
      <c r="A8" s="37">
        <v>8</v>
      </c>
      <c r="B8" s="482"/>
      <c r="C8" s="482"/>
      <c r="D8" s="482"/>
      <c r="E8" s="482"/>
      <c r="F8" s="482"/>
      <c r="G8" s="482"/>
      <c r="H8" s="482"/>
      <c r="I8" s="482"/>
      <c r="J8" s="482"/>
      <c r="K8" s="482"/>
      <c r="L8" s="482"/>
    </row>
    <row r="9" spans="1:12">
      <c r="A9" s="37">
        <v>9</v>
      </c>
      <c r="B9" s="482"/>
      <c r="C9" s="482"/>
      <c r="D9" s="482"/>
      <c r="E9" s="482"/>
      <c r="F9" s="482"/>
      <c r="G9" s="482"/>
      <c r="H9" s="482"/>
      <c r="I9" s="482"/>
      <c r="J9" s="482"/>
      <c r="K9" s="482"/>
      <c r="L9" s="482"/>
    </row>
    <row r="10" spans="1:12">
      <c r="A10" s="37">
        <v>10</v>
      </c>
      <c r="B10" s="482"/>
      <c r="C10" s="482"/>
      <c r="D10" s="482"/>
      <c r="E10" s="482"/>
      <c r="F10" s="482"/>
      <c r="G10" s="482"/>
      <c r="H10" s="482"/>
      <c r="I10" s="482"/>
      <c r="J10" s="482"/>
      <c r="K10" s="482"/>
      <c r="L10" s="482"/>
    </row>
    <row r="11" spans="1:12">
      <c r="A11" s="37">
        <v>11</v>
      </c>
      <c r="B11" s="482"/>
      <c r="C11" s="482"/>
      <c r="D11" s="482"/>
      <c r="E11" s="482"/>
      <c r="F11" s="482"/>
      <c r="G11" s="482"/>
      <c r="H11" s="482"/>
      <c r="I11" s="482"/>
      <c r="J11" s="482"/>
      <c r="K11" s="482"/>
      <c r="L11" s="482"/>
    </row>
    <row r="12" spans="1:12">
      <c r="A12" s="37">
        <v>12</v>
      </c>
      <c r="B12" s="482"/>
      <c r="C12" s="482"/>
      <c r="D12" s="482"/>
      <c r="E12" s="482"/>
      <c r="F12" s="482"/>
      <c r="G12" s="482"/>
      <c r="H12" s="482"/>
      <c r="I12" s="482"/>
      <c r="J12" s="482"/>
      <c r="K12" s="482"/>
      <c r="L12" s="482"/>
    </row>
    <row r="13" spans="1:12">
      <c r="A13" s="37">
        <v>13</v>
      </c>
      <c r="B13" s="482"/>
      <c r="C13" s="482"/>
      <c r="D13" s="482"/>
      <c r="E13" s="482"/>
      <c r="F13" s="482"/>
      <c r="G13" s="482"/>
      <c r="H13" s="482"/>
      <c r="I13" s="482"/>
      <c r="J13" s="482"/>
      <c r="K13" s="482"/>
      <c r="L13" s="482"/>
    </row>
    <row r="14" spans="1:12">
      <c r="A14" s="37">
        <v>14</v>
      </c>
      <c r="B14" s="482"/>
      <c r="C14" s="482"/>
      <c r="D14" s="482"/>
      <c r="E14" s="482"/>
      <c r="F14" s="482"/>
      <c r="G14" s="482"/>
      <c r="H14" s="482"/>
      <c r="I14" s="482"/>
      <c r="J14" s="482"/>
      <c r="K14" s="482"/>
      <c r="L14" s="482"/>
    </row>
    <row r="15" spans="1:12">
      <c r="A15" s="37">
        <v>15</v>
      </c>
      <c r="B15" s="482"/>
      <c r="C15" s="482"/>
      <c r="D15" s="482"/>
      <c r="E15" s="482"/>
      <c r="F15" s="482"/>
      <c r="G15" s="482"/>
      <c r="H15" s="482"/>
      <c r="I15" s="482"/>
      <c r="J15" s="482"/>
      <c r="K15" s="482"/>
      <c r="L15" s="482"/>
    </row>
    <row r="16" spans="1:12">
      <c r="A16" s="37">
        <v>16</v>
      </c>
      <c r="B16" s="482"/>
      <c r="C16" s="482"/>
      <c r="D16" s="482"/>
      <c r="E16" s="482"/>
      <c r="F16" s="482"/>
      <c r="G16" s="482"/>
      <c r="H16" s="482"/>
      <c r="I16" s="482"/>
      <c r="J16" s="482"/>
      <c r="K16" s="482"/>
      <c r="L16" s="482"/>
    </row>
    <row r="17" spans="1:12">
      <c r="A17" s="37">
        <v>17</v>
      </c>
      <c r="B17" s="482"/>
      <c r="C17" s="482"/>
      <c r="D17" s="482"/>
      <c r="E17" s="482"/>
      <c r="F17" s="482"/>
      <c r="G17" s="482"/>
      <c r="H17" s="482"/>
      <c r="I17" s="482"/>
      <c r="J17" s="482"/>
      <c r="K17" s="482"/>
      <c r="L17" s="482"/>
    </row>
    <row r="18" spans="1:12">
      <c r="A18" s="37">
        <v>18</v>
      </c>
      <c r="B18" s="482"/>
      <c r="C18" s="482"/>
      <c r="D18" s="482"/>
      <c r="E18" s="482"/>
      <c r="F18" s="482"/>
      <c r="G18" s="482"/>
      <c r="H18" s="482"/>
      <c r="I18" s="482"/>
      <c r="J18" s="482"/>
      <c r="K18" s="482"/>
      <c r="L18" s="482"/>
    </row>
    <row r="19" spans="1:12">
      <c r="A19" s="37">
        <v>19</v>
      </c>
      <c r="B19" s="482"/>
      <c r="C19" s="482"/>
      <c r="D19" s="482"/>
      <c r="E19" s="482"/>
      <c r="F19" s="482"/>
      <c r="G19" s="482"/>
      <c r="H19" s="482"/>
      <c r="I19" s="482"/>
      <c r="J19" s="482"/>
      <c r="K19" s="482"/>
      <c r="L19" s="482"/>
    </row>
    <row r="20" spans="1:12">
      <c r="A20" s="37">
        <v>20</v>
      </c>
      <c r="B20" s="482"/>
      <c r="C20" s="482"/>
      <c r="D20" s="482"/>
      <c r="E20" s="482"/>
      <c r="F20" s="482"/>
      <c r="G20" s="482"/>
      <c r="H20" s="482"/>
      <c r="I20" s="482"/>
      <c r="J20" s="482"/>
      <c r="K20" s="482"/>
      <c r="L20" s="482"/>
    </row>
    <row r="21" spans="1:12">
      <c r="A21" s="37">
        <v>21</v>
      </c>
      <c r="B21" s="482"/>
      <c r="C21" s="482"/>
      <c r="D21" s="482"/>
      <c r="E21" s="482"/>
      <c r="F21" s="482"/>
      <c r="G21" s="482"/>
      <c r="H21" s="482"/>
      <c r="I21" s="482"/>
      <c r="J21" s="482"/>
      <c r="K21" s="482"/>
      <c r="L21" s="482"/>
    </row>
    <row r="22" spans="1:12">
      <c r="A22" s="37">
        <v>22</v>
      </c>
      <c r="B22" s="482"/>
      <c r="C22" s="482"/>
      <c r="D22" s="482"/>
      <c r="E22" s="482"/>
      <c r="F22" s="482"/>
      <c r="G22" s="482"/>
      <c r="H22" s="482"/>
      <c r="I22" s="482"/>
      <c r="J22" s="482"/>
      <c r="K22" s="482"/>
      <c r="L22" s="482"/>
    </row>
    <row r="23" spans="1:12">
      <c r="A23" s="37">
        <v>23</v>
      </c>
      <c r="B23" s="482"/>
      <c r="C23" s="482"/>
      <c r="D23" s="482"/>
      <c r="E23" s="482"/>
      <c r="F23" s="482"/>
      <c r="G23" s="482"/>
      <c r="H23" s="482"/>
      <c r="I23" s="482"/>
      <c r="J23" s="482"/>
      <c r="K23" s="482"/>
      <c r="L23" s="482"/>
    </row>
    <row r="24" spans="1:12">
      <c r="A24" s="37">
        <v>24</v>
      </c>
      <c r="B24" s="482"/>
      <c r="C24" s="482"/>
      <c r="D24" s="482"/>
      <c r="E24" s="482"/>
      <c r="F24" s="482"/>
      <c r="G24" s="482"/>
      <c r="H24" s="482"/>
      <c r="I24" s="482"/>
      <c r="J24" s="482"/>
      <c r="K24" s="482"/>
      <c r="L24" s="482"/>
    </row>
    <row r="25" spans="1:12">
      <c r="A25" s="37">
        <v>25</v>
      </c>
      <c r="B25" s="482"/>
      <c r="C25" s="482"/>
      <c r="D25" s="482"/>
      <c r="E25" s="482"/>
      <c r="F25" s="482"/>
      <c r="G25" s="482"/>
      <c r="H25" s="482"/>
      <c r="I25" s="482"/>
      <c r="J25" s="482"/>
      <c r="K25" s="482"/>
      <c r="L25" s="482"/>
    </row>
    <row r="26" spans="1:12">
      <c r="A26" s="37">
        <v>26</v>
      </c>
      <c r="B26" s="482"/>
      <c r="C26" s="482"/>
      <c r="D26" s="482"/>
      <c r="E26" s="482"/>
      <c r="F26" s="482"/>
      <c r="G26" s="482"/>
      <c r="H26" s="482"/>
      <c r="I26" s="482"/>
      <c r="J26" s="482"/>
      <c r="K26" s="482"/>
      <c r="L26" s="482"/>
    </row>
  </sheetData>
  <mergeCells count="26">
    <mergeCell ref="B23:L23"/>
    <mergeCell ref="B24:L24"/>
    <mergeCell ref="B25:L25"/>
    <mergeCell ref="B26:L26"/>
    <mergeCell ref="B11:L11"/>
    <mergeCell ref="B12:L12"/>
    <mergeCell ref="B13:L13"/>
    <mergeCell ref="B14:L14"/>
    <mergeCell ref="B15:L15"/>
    <mergeCell ref="B16:L16"/>
    <mergeCell ref="B1:L1"/>
    <mergeCell ref="B2:L2"/>
    <mergeCell ref="B3:L3"/>
    <mergeCell ref="B4:L4"/>
    <mergeCell ref="B5:L5"/>
    <mergeCell ref="B6:L6"/>
    <mergeCell ref="B19:L19"/>
    <mergeCell ref="B20:L20"/>
    <mergeCell ref="B21:L21"/>
    <mergeCell ref="B22:L22"/>
    <mergeCell ref="B17:L17"/>
    <mergeCell ref="B18:L18"/>
    <mergeCell ref="B7:L7"/>
    <mergeCell ref="B8:L8"/>
    <mergeCell ref="B9:L9"/>
    <mergeCell ref="B10:L10"/>
  </mergeCells>
  <phoneticPr fontId="4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3FDEB7480D88C498C9E4BCDBB7F2C9C" ma:contentTypeVersion="14" ma:contentTypeDescription="Create a new document." ma:contentTypeScope="" ma:versionID="c3eb0230307bece2494ca08cebee64a6">
  <xsd:schema xmlns:xsd="http://www.w3.org/2001/XMLSchema" xmlns:xs="http://www.w3.org/2001/XMLSchema" xmlns:p="http://schemas.microsoft.com/office/2006/metadata/properties" xmlns:ns3="866fbc3f-c8be-4287-828e-dd69ab056627" xmlns:ns4="f0a2f0f2-d12b-41c0-8e76-1afb37337146" targetNamespace="http://schemas.microsoft.com/office/2006/metadata/properties" ma:root="true" ma:fieldsID="1bfb94c2452136177d7995af33ac5d17" ns3:_="" ns4:_="">
    <xsd:import namespace="866fbc3f-c8be-4287-828e-dd69ab056627"/>
    <xsd:import namespace="f0a2f0f2-d12b-41c0-8e76-1afb37337146"/>
    <xsd:element name="properties">
      <xsd:complexType>
        <xsd:sequence>
          <xsd:element name="documentManagement">
            <xsd:complexType>
              <xsd:all>
                <xsd:element ref="ns3:MediaServiceMetadata" minOccurs="0"/>
                <xsd:element ref="ns3:MediaServiceFastMetadata" minOccurs="0"/>
                <xsd:element ref="ns3:_activity" minOccurs="0"/>
                <xsd:element ref="ns4:SharedWithUsers" minOccurs="0"/>
                <xsd:element ref="ns4:SharedWithDetails" minOccurs="0"/>
                <xsd:element ref="ns4:SharingHintHash" minOccurs="0"/>
                <xsd:element ref="ns3:MediaServiceObjectDetectorVersions" minOccurs="0"/>
                <xsd:element ref="ns3:MediaServiceSearchProperties" minOccurs="0"/>
                <xsd:element ref="ns3:MediaServiceDateTaken" minOccurs="0"/>
                <xsd:element ref="ns3:MediaServiceSystemTags" minOccurs="0"/>
                <xsd:element ref="ns3:MediaServiceGenerationTime" minOccurs="0"/>
                <xsd:element ref="ns3:MediaServiceEventHashCode" minOccurs="0"/>
                <xsd:element ref="ns3:MediaLengthInSeconds"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6fbc3f-c8be-4287-828e-dd69ab05662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0a2f0f2-d12b-41c0-8e76-1afb37337146"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SharingHintHash" ma:index="13"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866fbc3f-c8be-4287-828e-dd69ab056627" xsi:nil="true"/>
  </documentManagement>
</p:properties>
</file>

<file path=customXml/itemProps1.xml><?xml version="1.0" encoding="utf-8"?>
<ds:datastoreItem xmlns:ds="http://schemas.openxmlformats.org/officeDocument/2006/customXml" ds:itemID="{07D16C38-B6E0-40F7-8704-C86D13042D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6fbc3f-c8be-4287-828e-dd69ab056627"/>
    <ds:schemaRef ds:uri="f0a2f0f2-d12b-41c0-8e76-1afb373371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BD58DD4-1DD1-4992-92DA-E43F6F68C20C}">
  <ds:schemaRefs>
    <ds:schemaRef ds:uri="http://schemas.microsoft.com/sharepoint/v3/contenttype/forms"/>
  </ds:schemaRefs>
</ds:datastoreItem>
</file>

<file path=customXml/itemProps3.xml><?xml version="1.0" encoding="utf-8"?>
<ds:datastoreItem xmlns:ds="http://schemas.openxmlformats.org/officeDocument/2006/customXml" ds:itemID="{3D53C2ED-97C2-4FF5-8141-AF84381EFCED}">
  <ds:schemaRefs>
    <ds:schemaRef ds:uri="f0a2f0f2-d12b-41c0-8e76-1afb37337146"/>
    <ds:schemaRef ds:uri="http://purl.org/dc/dcmitype/"/>
    <ds:schemaRef ds:uri="http://schemas.microsoft.com/office/infopath/2007/PartnerControls"/>
    <ds:schemaRef ds:uri="http://schemas.openxmlformats.org/package/2006/metadata/core-properties"/>
    <ds:schemaRef ds:uri="http://purl.org/dc/terms/"/>
    <ds:schemaRef ds:uri="http://schemas.microsoft.com/office/2006/documentManagement/types"/>
    <ds:schemaRef ds:uri="http://purl.org/dc/elements/1.1/"/>
    <ds:schemaRef ds:uri="866fbc3f-c8be-4287-828e-dd69ab056627"/>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5</vt:i4>
      </vt:variant>
    </vt:vector>
  </HeadingPairs>
  <TitlesOfParts>
    <vt:vector size="17" baseType="lpstr">
      <vt:lpstr>Learning To-Do</vt:lpstr>
      <vt:lpstr>General To-Do</vt:lpstr>
      <vt:lpstr>Project Management</vt:lpstr>
      <vt:lpstr>Weekly Study Plan</vt:lpstr>
      <vt:lpstr>Monthly Study Summary</vt:lpstr>
      <vt:lpstr>Data Insights</vt:lpstr>
      <vt:lpstr>Tomorrow Plan</vt:lpstr>
      <vt:lpstr>Shopping &amp; Meal List</vt:lpstr>
      <vt:lpstr>Schedule</vt:lpstr>
      <vt:lpstr>Score Calculator</vt:lpstr>
      <vt:lpstr>Study Check-In</vt:lpstr>
      <vt:lpstr>Update Backlog</vt:lpstr>
      <vt:lpstr>ProjectIDList</vt:lpstr>
      <vt:lpstr>ProjectNameList</vt:lpstr>
      <vt:lpstr>ProjectPriorityList</vt:lpstr>
      <vt:lpstr>ProjectStatusList</vt:lpstr>
      <vt:lpstr>StepStatusList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Central Task Management Template</dc:title>
  <dc:subject/>
  <dc:creator/>
  <cp:keywords/>
  <dc:description/>
  <cp:lastModifiedBy/>
  <cp:revision/>
  <dcterms:created xsi:type="dcterms:W3CDTF">2023-11-01T04:36:53Z</dcterms:created>
  <dcterms:modified xsi:type="dcterms:W3CDTF">2026-08-28T14:14:35Z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0x010100D3FDEB7480D88C498C9E4BCDBB7F2C9C</vt:lpwstr>
  </property>
</Properties>
</file>